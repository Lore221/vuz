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сухтп\"/>
    </mc:Choice>
  </mc:AlternateContent>
  <xr:revisionPtr revIDLastSave="0" documentId="13_ncr:1_{381C6C29-F2DB-4D21-BF05-9F2C1204E08A}" xr6:coauthVersionLast="47" xr6:coauthVersionMax="47" xr10:uidLastSave="{00000000-0000-0000-0000-000000000000}"/>
  <bookViews>
    <workbookView xWindow="-120" yWindow="480" windowWidth="29040" windowHeight="15840" activeTab="1" xr2:uid="{D7FF53CD-3032-4663-84A8-BF7F924BFE1F}"/>
  </bookViews>
  <sheets>
    <sheet name="Вар18" sheetId="1" r:id="rId1"/>
    <sheet name="Лист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I16" i="2"/>
  <c r="I13" i="1"/>
  <c r="J16" i="2"/>
  <c r="G26" i="2"/>
  <c r="G23" i="2"/>
  <c r="G24" i="2"/>
  <c r="G25" i="2"/>
  <c r="G20" i="2"/>
  <c r="G21" i="2"/>
  <c r="G22" i="2"/>
  <c r="G17" i="2"/>
  <c r="G18" i="2"/>
  <c r="G19" i="2"/>
  <c r="G14" i="2"/>
  <c r="G15" i="2"/>
  <c r="G16" i="2"/>
  <c r="F13" i="1"/>
  <c r="F16" i="2"/>
  <c r="E1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6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J13" i="1"/>
  <c r="H13" i="1"/>
  <c r="G11" i="1"/>
  <c r="G12" i="1"/>
  <c r="G13" i="1"/>
  <c r="G14" i="1"/>
  <c r="G15" i="1"/>
  <c r="G16" i="1"/>
  <c r="G17" i="1"/>
  <c r="G18" i="1"/>
  <c r="E13" i="1"/>
  <c r="D5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</calcChain>
</file>

<file path=xl/sharedStrings.xml><?xml version="1.0" encoding="utf-8"?>
<sst xmlns="http://schemas.openxmlformats.org/spreadsheetml/2006/main" count="11" uniqueCount="8">
  <si>
    <t>С1</t>
  </si>
  <si>
    <t>Y(x)</t>
  </si>
  <si>
    <t>τ</t>
  </si>
  <si>
    <t>С0</t>
  </si>
  <si>
    <t>tн</t>
  </si>
  <si>
    <t>T</t>
  </si>
  <si>
    <t>C1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</si>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</sst>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947733895467789E-2"/>
          <c:y val="3.2463774043368532E-2"/>
          <c:w val="0.92874449748899501"/>
          <c:h val="0.9206996545839835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Вар18!$A$4:$A$71</c:f>
              <c:numCache>
                <c:formatCode>0.00</c:formatCode>
                <c:ptCount val="68"/>
                <c:pt idx="0">
                  <c:v>0</c:v>
                </c:pt>
                <c:pt idx="1">
                  <c:v>0.15694266424071901</c:v>
                </c:pt>
                <c:pt idx="2">
                  <c:v>0.491802811571799</c:v>
                </c:pt>
                <c:pt idx="3">
                  <c:v>1.01302164026424</c:v>
                </c:pt>
                <c:pt idx="4">
                  <c:v>1.72212725352757</c:v>
                </c:pt>
                <c:pt idx="5">
                  <c:v>2.64186343621664</c:v>
                </c:pt>
                <c:pt idx="6">
                  <c:v>3.7249608355159798</c:v>
                </c:pt>
                <c:pt idx="7">
                  <c:v>5.0247209265442301</c:v>
                </c:pt>
                <c:pt idx="8">
                  <c:v>6.6203411203976197</c:v>
                </c:pt>
                <c:pt idx="9">
                  <c:v>8.6486564460701096</c:v>
                </c:pt>
                <c:pt idx="10">
                  <c:v>11.3428222051578</c:v>
                </c:pt>
                <c:pt idx="11">
                  <c:v>15.024600552574199</c:v>
                </c:pt>
                <c:pt idx="12">
                  <c:v>19.024600552574199</c:v>
                </c:pt>
                <c:pt idx="13">
                  <c:v>22.029336988941701</c:v>
                </c:pt>
                <c:pt idx="14">
                  <c:v>25.034073425309199</c:v>
                </c:pt>
                <c:pt idx="15">
                  <c:v>28.530223469632901</c:v>
                </c:pt>
                <c:pt idx="16">
                  <c:v>32.344171579699101</c:v>
                </c:pt>
                <c:pt idx="17">
                  <c:v>35.849923891409198</c:v>
                </c:pt>
                <c:pt idx="18">
                  <c:v>38.829277015017702</c:v>
                </c:pt>
                <c:pt idx="19">
                  <c:v>41.6782599686738</c:v>
                </c:pt>
                <c:pt idx="20">
                  <c:v>44.919226173733598</c:v>
                </c:pt>
                <c:pt idx="21">
                  <c:v>48.681692250341797</c:v>
                </c:pt>
                <c:pt idx="22">
                  <c:v>52.436721582415302</c:v>
                </c:pt>
                <c:pt idx="23">
                  <c:v>55.635472424417301</c:v>
                </c:pt>
                <c:pt idx="24">
                  <c:v>58.443769476803297</c:v>
                </c:pt>
                <c:pt idx="25">
                  <c:v>61.427766707252999</c:v>
                </c:pt>
                <c:pt idx="26">
                  <c:v>64.983082895903806</c:v>
                </c:pt>
                <c:pt idx="27">
                  <c:v>68.875849786286693</c:v>
                </c:pt>
                <c:pt idx="28">
                  <c:v>72.377052518666503</c:v>
                </c:pt>
                <c:pt idx="29">
                  <c:v>75.288056356263297</c:v>
                </c:pt>
                <c:pt idx="30">
                  <c:v>78.0857827509777</c:v>
                </c:pt>
                <c:pt idx="31">
                  <c:v>81.347343620315996</c:v>
                </c:pt>
                <c:pt idx="32">
                  <c:v>85.1894288249038</c:v>
                </c:pt>
                <c:pt idx="33">
                  <c:v>88.984174705293299</c:v>
                </c:pt>
                <c:pt idx="34">
                  <c:v>92.138272831591706</c:v>
                </c:pt>
                <c:pt idx="35">
                  <c:v>94.882437478349303</c:v>
                </c:pt>
                <c:pt idx="36">
                  <c:v>97.850750320699007</c:v>
                </c:pt>
                <c:pt idx="37">
                  <c:v>101.45873933157399</c:v>
                </c:pt>
                <c:pt idx="38">
                  <c:v>105.418617754555</c:v>
                </c:pt>
                <c:pt idx="39">
                  <c:v>108.913159854491</c:v>
                </c:pt>
                <c:pt idx="40">
                  <c:v>111.766293726657</c:v>
                </c:pt>
                <c:pt idx="41">
                  <c:v>114.522591250573</c:v>
                </c:pt>
                <c:pt idx="42">
                  <c:v>117.801931998051</c:v>
                </c:pt>
                <c:pt idx="43">
                  <c:v>121.709467365751</c:v>
                </c:pt>
                <c:pt idx="44">
                  <c:v>125.535056681567</c:v>
                </c:pt>
                <c:pt idx="45">
                  <c:v>128.652513304493</c:v>
                </c:pt>
                <c:pt idx="46">
                  <c:v>131.346322390534</c:v>
                </c:pt>
                <c:pt idx="47">
                  <c:v>134.30288601609701</c:v>
                </c:pt>
                <c:pt idx="48">
                  <c:v>137.95124161311401</c:v>
                </c:pt>
                <c:pt idx="49">
                  <c:v>141.95124161311401</c:v>
                </c:pt>
                <c:pt idx="50">
                  <c:v>145.44226515857599</c:v>
                </c:pt>
                <c:pt idx="51">
                  <c:v>148.262073388326</c:v>
                </c:pt>
                <c:pt idx="52">
                  <c:v>150.99405131</c:v>
                </c:pt>
                <c:pt idx="53">
                  <c:v>154.28233276653501</c:v>
                </c:pt>
                <c:pt idx="54">
                  <c:v>158.22668415062901</c:v>
                </c:pt>
                <c:pt idx="55">
                  <c:v>162.07060970881301</c:v>
                </c:pt>
                <c:pt idx="56">
                  <c:v>165.16861240421301</c:v>
                </c:pt>
                <c:pt idx="57">
                  <c:v>167.83452273467501</c:v>
                </c:pt>
                <c:pt idx="58">
                  <c:v>170.78338967571901</c:v>
                </c:pt>
                <c:pt idx="59">
                  <c:v>174.452084002741</c:v>
                </c:pt>
                <c:pt idx="60">
                  <c:v>178.452084002741</c:v>
                </c:pt>
                <c:pt idx="61">
                  <c:v>181.94665302278099</c:v>
                </c:pt>
                <c:pt idx="62">
                  <c:v>184.76882215972</c:v>
                </c:pt>
                <c:pt idx="63">
                  <c:v>187.49977574654301</c:v>
                </c:pt>
                <c:pt idx="64">
                  <c:v>190.78463970688799</c:v>
                </c:pt>
                <c:pt idx="65">
                  <c:v>194.726755957547</c:v>
                </c:pt>
                <c:pt idx="66">
                  <c:v>198.573077312767</c:v>
                </c:pt>
                <c:pt idx="67">
                  <c:v>200</c:v>
                </c:pt>
              </c:numCache>
            </c:numRef>
          </c:xVal>
          <c:yVal>
            <c:numRef>
              <c:f>Вар18!$C$4:$C$71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5.5137986099365897E-6</c:v>
                </c:pt>
                <c:pt idx="8">
                  <c:v>1.2001250237624257E-2</c:v>
                </c:pt>
                <c:pt idx="9">
                  <c:v>3.6616910338060304E-2</c:v>
                </c:pt>
                <c:pt idx="10">
                  <c:v>6.700938248776217E-2</c:v>
                </c:pt>
                <c:pt idx="11">
                  <c:v>0.10027634695703215</c:v>
                </c:pt>
                <c:pt idx="12">
                  <c:v>0.12802286114829423</c:v>
                </c:pt>
                <c:pt idx="13">
                  <c:v>0.14418518051490095</c:v>
                </c:pt>
                <c:pt idx="14">
                  <c:v>0.15771948616631548</c:v>
                </c:pt>
                <c:pt idx="15">
                  <c:v>0.16985056570510648</c:v>
                </c:pt>
                <c:pt idx="16">
                  <c:v>0.1800388347316631</c:v>
                </c:pt>
                <c:pt idx="17">
                  <c:v>0.18724634930844658</c:v>
                </c:pt>
                <c:pt idx="18">
                  <c:v>0.19217337915418772</c:v>
                </c:pt>
                <c:pt idx="19">
                  <c:v>0.19602042939381556</c:v>
                </c:pt>
                <c:pt idx="20">
                  <c:v>0.19947199930910997</c:v>
                </c:pt>
                <c:pt idx="21">
                  <c:v>0.20258696295390791</c:v>
                </c:pt>
                <c:pt idx="22">
                  <c:v>0.20497048149146474</c:v>
                </c:pt>
                <c:pt idx="23">
                  <c:v>0.20656402305274491</c:v>
                </c:pt>
                <c:pt idx="24">
                  <c:v>0.20771368373101415</c:v>
                </c:pt>
                <c:pt idx="25">
                  <c:v>0.208688587103078</c:v>
                </c:pt>
                <c:pt idx="26">
                  <c:v>0.20959380698034757</c:v>
                </c:pt>
                <c:pt idx="27">
                  <c:v>0.21036113661918088</c:v>
                </c:pt>
                <c:pt idx="28">
                  <c:v>0.2108943816553403</c:v>
                </c:pt>
                <c:pt idx="29">
                  <c:v>0.21125451568193265</c:v>
                </c:pt>
                <c:pt idx="30">
                  <c:v>0.21153566964703904</c:v>
                </c:pt>
                <c:pt idx="31">
                  <c:v>0.21178578345805668</c:v>
                </c:pt>
                <c:pt idx="32">
                  <c:v>0.21201820275745753</c:v>
                </c:pt>
                <c:pt idx="33">
                  <c:v>0.21219783667043599</c:v>
                </c:pt>
                <c:pt idx="34">
                  <c:v>0.21231890298487952</c:v>
                </c:pt>
                <c:pt idx="35">
                  <c:v>0.2124052288255211</c:v>
                </c:pt>
                <c:pt idx="36">
                  <c:v>0.21247266613343238</c:v>
                </c:pt>
                <c:pt idx="37">
                  <c:v>0.21253446704251433</c:v>
                </c:pt>
                <c:pt idx="38">
                  <c:v>0.21259221541711681</c:v>
                </c:pt>
                <c:pt idx="39">
                  <c:v>0.21263626506347871</c:v>
                </c:pt>
                <c:pt idx="40">
                  <c:v>0.21266680828997181</c:v>
                </c:pt>
                <c:pt idx="41">
                  <c:v>0.21268817523649666</c:v>
                </c:pt>
                <c:pt idx="42">
                  <c:v>0.21269836686493243</c:v>
                </c:pt>
                <c:pt idx="43">
                  <c:v>0.21271315730463133</c:v>
                </c:pt>
                <c:pt idx="44">
                  <c:v>0.21272933306918818</c:v>
                </c:pt>
                <c:pt idx="45">
                  <c:v>0.21274419653560309</c:v>
                </c:pt>
                <c:pt idx="46">
                  <c:v>0.21275391498630492</c:v>
                </c:pt>
                <c:pt idx="47">
                  <c:v>0.21275355431831205</c:v>
                </c:pt>
                <c:pt idx="48">
                  <c:v>0.21275152839776579</c:v>
                </c:pt>
                <c:pt idx="49">
                  <c:v>0.2127561936087235</c:v>
                </c:pt>
                <c:pt idx="50">
                  <c:v>0.21276482878550024</c:v>
                </c:pt>
                <c:pt idx="51">
                  <c:v>0.21277175822475167</c:v>
                </c:pt>
                <c:pt idx="52">
                  <c:v>0.21277430096964531</c:v>
                </c:pt>
                <c:pt idx="53">
                  <c:v>0.21276582879036177</c:v>
                </c:pt>
                <c:pt idx="54">
                  <c:v>0.21276424717375891</c:v>
                </c:pt>
                <c:pt idx="55">
                  <c:v>0.21276851096531899</c:v>
                </c:pt>
                <c:pt idx="56">
                  <c:v>0.21277603193453892</c:v>
                </c:pt>
                <c:pt idx="57">
                  <c:v>0.21278046668872336</c:v>
                </c:pt>
                <c:pt idx="58">
                  <c:v>0.21277456521595739</c:v>
                </c:pt>
                <c:pt idx="59">
                  <c:v>0.21276746018187964</c:v>
                </c:pt>
                <c:pt idx="60">
                  <c:v>0.21276822490446806</c:v>
                </c:pt>
                <c:pt idx="61">
                  <c:v>0.21277421841652458</c:v>
                </c:pt>
                <c:pt idx="62">
                  <c:v>0.21277942144258843</c:v>
                </c:pt>
                <c:pt idx="63">
                  <c:v>0.21278062135911327</c:v>
                </c:pt>
                <c:pt idx="64">
                  <c:v>0.21277084979198574</c:v>
                </c:pt>
                <c:pt idx="65">
                  <c:v>0.21276801527056741</c:v>
                </c:pt>
                <c:pt idx="66">
                  <c:v>0.21277135164312047</c:v>
                </c:pt>
                <c:pt idx="67">
                  <c:v>0.21277351653138318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0-48B5-9C0D-A5673C53A05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Вар18!$A$4:$A$19</c:f>
              <c:numCache>
                <c:formatCode>0.00</c:formatCode>
                <c:ptCount val="16"/>
                <c:pt idx="0">
                  <c:v>0</c:v>
                </c:pt>
                <c:pt idx="1">
                  <c:v>0.15694266424071901</c:v>
                </c:pt>
                <c:pt idx="2">
                  <c:v>0.491802811571799</c:v>
                </c:pt>
                <c:pt idx="3">
                  <c:v>1.01302164026424</c:v>
                </c:pt>
                <c:pt idx="4">
                  <c:v>1.72212725352757</c:v>
                </c:pt>
                <c:pt idx="5">
                  <c:v>2.64186343621664</c:v>
                </c:pt>
                <c:pt idx="6">
                  <c:v>3.7249608355159798</c:v>
                </c:pt>
                <c:pt idx="7">
                  <c:v>5.0247209265442301</c:v>
                </c:pt>
                <c:pt idx="8">
                  <c:v>6.6203411203976197</c:v>
                </c:pt>
                <c:pt idx="9">
                  <c:v>8.6486564460701096</c:v>
                </c:pt>
                <c:pt idx="10">
                  <c:v>11.3428222051578</c:v>
                </c:pt>
                <c:pt idx="11">
                  <c:v>15.024600552574199</c:v>
                </c:pt>
                <c:pt idx="12">
                  <c:v>19.024600552574199</c:v>
                </c:pt>
                <c:pt idx="13">
                  <c:v>22.029336988941701</c:v>
                </c:pt>
                <c:pt idx="14">
                  <c:v>25.034073425309199</c:v>
                </c:pt>
                <c:pt idx="15">
                  <c:v>28.530223469632901</c:v>
                </c:pt>
              </c:numCache>
            </c:numRef>
          </c:xVal>
          <c:yVal>
            <c:numRef>
              <c:f>Вар18!$G$4:$G$19</c:f>
              <c:numCache>
                <c:formatCode>General</c:formatCode>
                <c:ptCount val="16"/>
                <c:pt idx="7">
                  <c:v>-7.3632163441507067E-3</c:v>
                </c:pt>
                <c:pt idx="8">
                  <c:v>1.2001250237624245E-2</c:v>
                </c:pt>
                <c:pt idx="9">
                  <c:v>3.6616910338060291E-2</c:v>
                </c:pt>
                <c:pt idx="10">
                  <c:v>6.9313339606496577E-2</c:v>
                </c:pt>
                <c:pt idx="11">
                  <c:v>0.11399544756971425</c:v>
                </c:pt>
                <c:pt idx="12">
                  <c:v>0.16253949747926114</c:v>
                </c:pt>
                <c:pt idx="13">
                  <c:v>0.19900501636227563</c:v>
                </c:pt>
                <c:pt idx="14">
                  <c:v>0.2354705352452901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C0-48B5-9C0D-A5673C53A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120303"/>
        <c:axId val="1597357743"/>
      </c:scatterChart>
      <c:valAx>
        <c:axId val="1855120303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7357743"/>
        <c:crosses val="autoZero"/>
        <c:crossBetween val="midCat"/>
      </c:valAx>
      <c:valAx>
        <c:axId val="1597357743"/>
        <c:scaling>
          <c:orientation val="minMax"/>
          <c:max val="0.2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512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Лист1!$A$5:$A$72</c:f>
              <c:numCache>
                <c:formatCode>0.00</c:formatCode>
                <c:ptCount val="68"/>
                <c:pt idx="0">
                  <c:v>0</c:v>
                </c:pt>
                <c:pt idx="1">
                  <c:v>0.389166776469346</c:v>
                </c:pt>
                <c:pt idx="2">
                  <c:v>0.86160647836899795</c:v>
                </c:pt>
                <c:pt idx="3">
                  <c:v>1.5177136856119899</c:v>
                </c:pt>
                <c:pt idx="4">
                  <c:v>2.37373210282896</c:v>
                </c:pt>
                <c:pt idx="5">
                  <c:v>3.4131721422826402</c:v>
                </c:pt>
                <c:pt idx="6">
                  <c:v>4.6466155034102004</c:v>
                </c:pt>
                <c:pt idx="7">
                  <c:v>6.1517986914810701</c:v>
                </c:pt>
                <c:pt idx="8">
                  <c:v>8.0444912776971105</c:v>
                </c:pt>
                <c:pt idx="9">
                  <c:v>10.5276081937374</c:v>
                </c:pt>
                <c:pt idx="10">
                  <c:v>13.9169975698772</c:v>
                </c:pt>
                <c:pt idx="11">
                  <c:v>17.9169975698772</c:v>
                </c:pt>
                <c:pt idx="12">
                  <c:v>21.113324097732502</c:v>
                </c:pt>
                <c:pt idx="13">
                  <c:v>24.3096506255878</c:v>
                </c:pt>
                <c:pt idx="14">
                  <c:v>27.774664390742402</c:v>
                </c:pt>
                <c:pt idx="15">
                  <c:v>31.3346047847092</c:v>
                </c:pt>
                <c:pt idx="16">
                  <c:v>34.679735718381103</c:v>
                </c:pt>
                <c:pt idx="17">
                  <c:v>37.766830025073503</c:v>
                </c:pt>
                <c:pt idx="18">
                  <c:v>40.851667825961499</c:v>
                </c:pt>
                <c:pt idx="19">
                  <c:v>44.199173813511003</c:v>
                </c:pt>
                <c:pt idx="20">
                  <c:v>47.785114057801202</c:v>
                </c:pt>
                <c:pt idx="21">
                  <c:v>51.275477555227702</c:v>
                </c:pt>
                <c:pt idx="22">
                  <c:v>54.448103917076097</c:v>
                </c:pt>
                <c:pt idx="23">
                  <c:v>57.465241330376699</c:v>
                </c:pt>
                <c:pt idx="24">
                  <c:v>60.661941582615498</c:v>
                </c:pt>
                <c:pt idx="25">
                  <c:v>64.188972125807396</c:v>
                </c:pt>
                <c:pt idx="26">
                  <c:v>67.800924336354001</c:v>
                </c:pt>
                <c:pt idx="27">
                  <c:v>71.122662975884793</c:v>
                </c:pt>
                <c:pt idx="28">
                  <c:v>74.144414754232301</c:v>
                </c:pt>
                <c:pt idx="29">
                  <c:v>77.196810877022699</c:v>
                </c:pt>
                <c:pt idx="30">
                  <c:v>80.585211913723398</c:v>
                </c:pt>
                <c:pt idx="31">
                  <c:v>84.245386659087302</c:v>
                </c:pt>
                <c:pt idx="32">
                  <c:v>87.749799680410703</c:v>
                </c:pt>
                <c:pt idx="33">
                  <c:v>90.863559514473494</c:v>
                </c:pt>
                <c:pt idx="34">
                  <c:v>93.821146453041905</c:v>
                </c:pt>
                <c:pt idx="35">
                  <c:v>97.024746479895001</c:v>
                </c:pt>
                <c:pt idx="36">
                  <c:v>100.626019725419</c:v>
                </c:pt>
                <c:pt idx="37">
                  <c:v>104.292274423802</c:v>
                </c:pt>
                <c:pt idx="38">
                  <c:v>107.58063346374</c:v>
                </c:pt>
                <c:pt idx="39">
                  <c:v>110.529405985387</c:v>
                </c:pt>
                <c:pt idx="40">
                  <c:v>113.551428651832</c:v>
                </c:pt>
                <c:pt idx="41">
                  <c:v>116.99079090006001</c:v>
                </c:pt>
                <c:pt idx="42">
                  <c:v>120.732748523757</c:v>
                </c:pt>
                <c:pt idx="43">
                  <c:v>124.24512034693301</c:v>
                </c:pt>
                <c:pt idx="44">
                  <c:v>127.291213381649</c:v>
                </c:pt>
                <c:pt idx="45">
                  <c:v>130.187847405681</c:v>
                </c:pt>
                <c:pt idx="46">
                  <c:v>133.404978351133</c:v>
                </c:pt>
                <c:pt idx="47">
                  <c:v>137.08927063577201</c:v>
                </c:pt>
                <c:pt idx="48">
                  <c:v>140.808564781451</c:v>
                </c:pt>
                <c:pt idx="49">
                  <c:v>144.05517395605401</c:v>
                </c:pt>
                <c:pt idx="50">
                  <c:v>146.92793485551101</c:v>
                </c:pt>
                <c:pt idx="51">
                  <c:v>149.92361455237599</c:v>
                </c:pt>
                <c:pt idx="52">
                  <c:v>150.00000000000199</c:v>
                </c:pt>
                <c:pt idx="53">
                  <c:v>153.49690342158101</c:v>
                </c:pt>
                <c:pt idx="54">
                  <c:v>156.993806843161</c:v>
                </c:pt>
                <c:pt idx="55">
                  <c:v>160.632938305229</c:v>
                </c:pt>
                <c:pt idx="56">
                  <c:v>164.00595752620501</c:v>
                </c:pt>
                <c:pt idx="57">
                  <c:v>167.04174362009201</c:v>
                </c:pt>
                <c:pt idx="58">
                  <c:v>170.05708119363001</c:v>
                </c:pt>
                <c:pt idx="59">
                  <c:v>173.39585820083099</c:v>
                </c:pt>
                <c:pt idx="60">
                  <c:v>177.05485121639299</c:v>
                </c:pt>
                <c:pt idx="61">
                  <c:v>180.61321057350099</c:v>
                </c:pt>
                <c:pt idx="62">
                  <c:v>183.76747853195999</c:v>
                </c:pt>
                <c:pt idx="63">
                  <c:v>186.708705073376</c:v>
                </c:pt>
                <c:pt idx="64">
                  <c:v>189.85613047585801</c:v>
                </c:pt>
                <c:pt idx="65">
                  <c:v>193.42313826868499</c:v>
                </c:pt>
                <c:pt idx="66">
                  <c:v>197.12682516544601</c:v>
                </c:pt>
                <c:pt idx="67">
                  <c:v>200</c:v>
                </c:pt>
              </c:numCache>
            </c:numRef>
          </c:xVal>
          <c:yVal>
            <c:numRef>
              <c:f>Лист1!$C$5:$C$72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2.6163002102137511E-3</c:v>
                </c:pt>
                <c:pt idx="10">
                  <c:v>5.6500003878480719E-2</c:v>
                </c:pt>
                <c:pt idx="11">
                  <c:v>0.12576468015354672</c:v>
                </c:pt>
                <c:pt idx="12">
                  <c:v>0.17538010420957306</c:v>
                </c:pt>
                <c:pt idx="13">
                  <c:v>0.22078236881045399</c:v>
                </c:pt>
                <c:pt idx="14">
                  <c:v>0.26537860427018717</c:v>
                </c:pt>
                <c:pt idx="15">
                  <c:v>0.30640299853762559</c:v>
                </c:pt>
                <c:pt idx="16">
                  <c:v>0.34106098627943976</c:v>
                </c:pt>
                <c:pt idx="17">
                  <c:v>0.37028928502149228</c:v>
                </c:pt>
                <c:pt idx="18">
                  <c:v>0.39655731444042647</c:v>
                </c:pt>
                <c:pt idx="19">
                  <c:v>0.42262822696296115</c:v>
                </c:pt>
                <c:pt idx="20">
                  <c:v>0.44789035781877357</c:v>
                </c:pt>
                <c:pt idx="21">
                  <c:v>0.46974234162477302</c:v>
                </c:pt>
                <c:pt idx="22">
                  <c:v>0.48782718793341218</c:v>
                </c:pt>
                <c:pt idx="23">
                  <c:v>0.50343602989834579</c:v>
                </c:pt>
                <c:pt idx="24">
                  <c:v>0.51846069588312105</c:v>
                </c:pt>
                <c:pt idx="25">
                  <c:v>0.53354608083949273</c:v>
                </c:pt>
                <c:pt idx="26">
                  <c:v>0.54733540772479949</c:v>
                </c:pt>
                <c:pt idx="27">
                  <c:v>0.55874049150285288</c:v>
                </c:pt>
                <c:pt idx="28">
                  <c:v>0.56824136877546749</c:v>
                </c:pt>
                <c:pt idx="29">
                  <c:v>0.57687159949360023</c:v>
                </c:pt>
                <c:pt idx="30">
                  <c:v>0.58564853569061393</c:v>
                </c:pt>
                <c:pt idx="31">
                  <c:v>0.59419182731759912</c:v>
                </c:pt>
                <c:pt idx="32">
                  <c:v>0.60145474839237301</c:v>
                </c:pt>
                <c:pt idx="33">
                  <c:v>0.60734473996231964</c:v>
                </c:pt>
                <c:pt idx="34">
                  <c:v>0.61242170038853294</c:v>
                </c:pt>
                <c:pt idx="35">
                  <c:v>0.61743020222085221</c:v>
                </c:pt>
                <c:pt idx="36">
                  <c:v>0.62254640534263928</c:v>
                </c:pt>
                <c:pt idx="37">
                  <c:v>0.62717159980807935</c:v>
                </c:pt>
                <c:pt idx="38">
                  <c:v>0.63091116453720042</c:v>
                </c:pt>
                <c:pt idx="39">
                  <c:v>0.63398980349568035</c:v>
                </c:pt>
                <c:pt idx="40">
                  <c:v>0.63682940040082769</c:v>
                </c:pt>
                <c:pt idx="41">
                  <c:v>0.63979192178266686</c:v>
                </c:pt>
                <c:pt idx="42">
                  <c:v>0.64267958211637222</c:v>
                </c:pt>
                <c:pt idx="43">
                  <c:v>0.64508688437895978</c:v>
                </c:pt>
                <c:pt idx="44">
                  <c:v>0.64699910780029291</c:v>
                </c:pt>
                <c:pt idx="45">
                  <c:v>0.64865018567789434</c:v>
                </c:pt>
                <c:pt idx="46">
                  <c:v>0.65032530715280024</c:v>
                </c:pt>
                <c:pt idx="47">
                  <c:v>0.6520601137122668</c:v>
                </c:pt>
                <c:pt idx="48">
                  <c:v>0.65360653494581322</c:v>
                </c:pt>
                <c:pt idx="49">
                  <c:v>0.65482884383562612</c:v>
                </c:pt>
                <c:pt idx="50">
                  <c:v>0.65582559269120111</c:v>
                </c:pt>
                <c:pt idx="51">
                  <c:v>0.65676417808239995</c:v>
                </c:pt>
                <c:pt idx="52">
                  <c:v>0.65678796431538677</c:v>
                </c:pt>
                <c:pt idx="53">
                  <c:v>0.65778652257823944</c:v>
                </c:pt>
                <c:pt idx="54">
                  <c:v>0.65867787273879941</c:v>
                </c:pt>
                <c:pt idx="55">
                  <c:v>0.65950474899157285</c:v>
                </c:pt>
                <c:pt idx="56">
                  <c:v>0.66020309910234687</c:v>
                </c:pt>
                <c:pt idx="57">
                  <c:v>0.66077674341647941</c:v>
                </c:pt>
                <c:pt idx="58">
                  <c:v>0.66129168303690733</c:v>
                </c:pt>
                <c:pt idx="59">
                  <c:v>0.66181204534282756</c:v>
                </c:pt>
                <c:pt idx="60">
                  <c:v>0.66232148005906788</c:v>
                </c:pt>
                <c:pt idx="61">
                  <c:v>0.6627606489950395</c:v>
                </c:pt>
                <c:pt idx="62">
                  <c:v>0.66311829173285253</c:v>
                </c:pt>
                <c:pt idx="63">
                  <c:v>0.66342459557597289</c:v>
                </c:pt>
                <c:pt idx="64">
                  <c:v>0.66372329562586663</c:v>
                </c:pt>
                <c:pt idx="65">
                  <c:v>0.66402563407530601</c:v>
                </c:pt>
                <c:pt idx="66">
                  <c:v>0.66430134339698554</c:v>
                </c:pt>
                <c:pt idx="67">
                  <c:v>0.6644985598222396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90-4775-BDA6-C9D129CBB59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Лист1!$A$14:$A$26</c:f>
              <c:numCache>
                <c:formatCode>0.00</c:formatCode>
                <c:ptCount val="13"/>
                <c:pt idx="0">
                  <c:v>10.5276081937374</c:v>
                </c:pt>
                <c:pt idx="1">
                  <c:v>13.9169975698772</c:v>
                </c:pt>
                <c:pt idx="2">
                  <c:v>17.9169975698772</c:v>
                </c:pt>
                <c:pt idx="3">
                  <c:v>21.113324097732502</c:v>
                </c:pt>
                <c:pt idx="4">
                  <c:v>24.3096506255878</c:v>
                </c:pt>
                <c:pt idx="5">
                  <c:v>27.774664390742402</c:v>
                </c:pt>
                <c:pt idx="6">
                  <c:v>31.3346047847092</c:v>
                </c:pt>
                <c:pt idx="7">
                  <c:v>34.679735718381103</c:v>
                </c:pt>
                <c:pt idx="8">
                  <c:v>37.766830025073503</c:v>
                </c:pt>
                <c:pt idx="9">
                  <c:v>40.851667825961499</c:v>
                </c:pt>
                <c:pt idx="10">
                  <c:v>44.199173813511003</c:v>
                </c:pt>
                <c:pt idx="11">
                  <c:v>47.785114057801202</c:v>
                </c:pt>
                <c:pt idx="12">
                  <c:v>51.275477555227702</c:v>
                </c:pt>
              </c:numCache>
            </c:numRef>
          </c:xVal>
          <c:yVal>
            <c:numRef>
              <c:f>Лист1!$G$14:$G$26</c:f>
              <c:numCache>
                <c:formatCode>General</c:formatCode>
                <c:ptCount val="13"/>
                <c:pt idx="0">
                  <c:v>-2.1912355986370424E-3</c:v>
                </c:pt>
                <c:pt idx="1">
                  <c:v>5.6500003878480726E-2</c:v>
                </c:pt>
                <c:pt idx="2">
                  <c:v>0.12576468015354669</c:v>
                </c:pt>
                <c:pt idx="3">
                  <c:v>0.18111281070887253</c:v>
                </c:pt>
                <c:pt idx="4">
                  <c:v>0.23646094126419825</c:v>
                </c:pt>
                <c:pt idx="5">
                  <c:v>0.2964617054472185</c:v>
                </c:pt>
                <c:pt idx="6">
                  <c:v>0.3581062351838788</c:v>
                </c:pt>
                <c:pt idx="7">
                  <c:v>0.41603108798850225</c:v>
                </c:pt>
                <c:pt idx="8">
                  <c:v>0.46948773493441426</c:v>
                </c:pt>
                <c:pt idx="9">
                  <c:v>0.52290530784431266</c:v>
                </c:pt>
                <c:pt idx="10">
                  <c:v>0.58087128748342809</c:v>
                </c:pt>
                <c:pt idx="11">
                  <c:v>0.64296603502405092</c:v>
                </c:pt>
                <c:pt idx="12">
                  <c:v>0.70340575945693939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90-4775-BDA6-C9D129CBB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096112"/>
        <c:axId val="583091952"/>
      </c:scatterChart>
      <c:valAx>
        <c:axId val="58309611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3091952"/>
        <c:crosses val="autoZero"/>
        <c:crossBetween val="midCat"/>
      </c:valAx>
      <c:valAx>
        <c:axId val="583091952"/>
        <c:scaling>
          <c:orientation val="minMax"/>
          <c:max val="0.7000000000000000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309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85725</xdr:colOff>
      <xdr:row>1</xdr:row>
      <xdr:rowOff>66675</xdr:rowOff>
    </xdr:from>
    <xdr:ext cx="8161967" cy="4580921"/>
    <xdr:pic>
      <xdr:nvPicPr>
        <xdr:cNvPr id="2" name="Рисунок 2">
          <a:extLst>
            <a:ext uri="{FF2B5EF4-FFF2-40B4-BE49-F238E27FC236}">
              <a16:creationId xmlns:a16="http://schemas.microsoft.com/office/drawing/2014/main" id="{6D1DD071-EAF4-49E1-B664-EC54B5CEC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2675" y="257175"/>
          <a:ext cx="8161967" cy="4580921"/>
        </a:xfrm>
        <a:prstGeom prst="rect">
          <a:avLst/>
        </a:prstGeom>
      </xdr:spPr>
    </xdr:pic>
    <xdr:clientData/>
  </xdr:oneCellAnchor>
  <xdr:twoCellAnchor>
    <xdr:from>
      <xdr:col>6</xdr:col>
      <xdr:colOff>28575</xdr:colOff>
      <xdr:row>26</xdr:row>
      <xdr:rowOff>171450</xdr:rowOff>
    </xdr:from>
    <xdr:to>
      <xdr:col>21</xdr:col>
      <xdr:colOff>561975</xdr:colOff>
      <xdr:row>55</xdr:row>
      <xdr:rowOff>123824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68B5D40-99C7-4299-8B2F-417418396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76200</xdr:colOff>
      <xdr:row>0</xdr:row>
      <xdr:rowOff>0</xdr:rowOff>
    </xdr:from>
    <xdr:ext cx="8123868" cy="4552350"/>
    <xdr:pic>
      <xdr:nvPicPr>
        <xdr:cNvPr id="2" name="Рисунок 1">
          <a:extLst>
            <a:ext uri="{FF2B5EF4-FFF2-40B4-BE49-F238E27FC236}">
              <a16:creationId xmlns:a16="http://schemas.microsoft.com/office/drawing/2014/main" id="{4D566057-CB78-4A2F-8482-CC8D8A086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3" r="1"/>
        <a:stretch/>
      </xdr:blipFill>
      <xdr:spPr>
        <a:xfrm>
          <a:off x="6781800" y="0"/>
          <a:ext cx="8123868" cy="4552350"/>
        </a:xfrm>
        <a:prstGeom prst="rect">
          <a:avLst/>
        </a:prstGeom>
      </xdr:spPr>
    </xdr:pic>
    <xdr:clientData/>
  </xdr:oneCellAnchor>
  <xdr:twoCellAnchor>
    <xdr:from>
      <xdr:col>11</xdr:col>
      <xdr:colOff>438149</xdr:colOff>
      <xdr:row>26</xdr:row>
      <xdr:rowOff>180974</xdr:rowOff>
    </xdr:from>
    <xdr:to>
      <xdr:col>21</xdr:col>
      <xdr:colOff>523874</xdr:colOff>
      <xdr:row>47</xdr:row>
      <xdr:rowOff>38099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35346BF-DB24-4494-AD76-FE6121F5E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B46F-1302-420C-9A9A-58F21B3F37A4}">
  <dimension ref="A3:J72"/>
  <sheetViews>
    <sheetView topLeftCell="A25" workbookViewId="0">
      <selection activeCell="J22" sqref="J22"/>
    </sheetView>
  </sheetViews>
  <sheetFormatPr defaultRowHeight="15" x14ac:dyDescent="0.25"/>
  <cols>
    <col min="1" max="2" width="9" style="1"/>
  </cols>
  <sheetData>
    <row r="3" spans="1:10" x14ac:dyDescent="0.25">
      <c r="G3" t="s">
        <v>1</v>
      </c>
    </row>
    <row r="4" spans="1:10" x14ac:dyDescent="0.25">
      <c r="A4" s="1">
        <v>0</v>
      </c>
      <c r="B4" s="1">
        <v>94</v>
      </c>
      <c r="C4">
        <f>(B4-$B$4)/($B$4*0.3)</f>
        <v>0</v>
      </c>
      <c r="D4" s="1"/>
    </row>
    <row r="5" spans="1:10" x14ac:dyDescent="0.25">
      <c r="A5" s="1">
        <v>0.15694266424071901</v>
      </c>
      <c r="B5" s="1">
        <v>94</v>
      </c>
      <c r="C5">
        <f t="shared" ref="C5:C68" si="0">(B5-$B$4)/($B$4*0.3)</f>
        <v>0</v>
      </c>
      <c r="D5" s="1">
        <f>(C5-C4)/(A5-A4)</f>
        <v>0</v>
      </c>
    </row>
    <row r="6" spans="1:10" x14ac:dyDescent="0.25">
      <c r="A6" s="1">
        <v>0.491802811571799</v>
      </c>
      <c r="B6" s="1">
        <v>94</v>
      </c>
      <c r="C6">
        <f t="shared" si="0"/>
        <v>0</v>
      </c>
      <c r="D6" s="1">
        <f t="shared" ref="D6:D69" si="1">(C6-C5)/(A6-A5)</f>
        <v>0</v>
      </c>
    </row>
    <row r="7" spans="1:10" x14ac:dyDescent="0.25">
      <c r="A7" s="1">
        <v>1.01302164026424</v>
      </c>
      <c r="B7" s="1">
        <v>94</v>
      </c>
      <c r="C7">
        <f t="shared" si="0"/>
        <v>0</v>
      </c>
      <c r="D7" s="1">
        <f t="shared" si="1"/>
        <v>0</v>
      </c>
    </row>
    <row r="8" spans="1:10" x14ac:dyDescent="0.25">
      <c r="A8" s="1">
        <v>1.72212725352757</v>
      </c>
      <c r="B8" s="1">
        <v>94</v>
      </c>
      <c r="C8">
        <f t="shared" si="0"/>
        <v>0</v>
      </c>
      <c r="D8" s="1">
        <f t="shared" si="1"/>
        <v>0</v>
      </c>
    </row>
    <row r="9" spans="1:10" x14ac:dyDescent="0.25">
      <c r="A9" s="1">
        <v>2.64186343621664</v>
      </c>
      <c r="B9" s="1">
        <v>94</v>
      </c>
      <c r="C9">
        <f t="shared" si="0"/>
        <v>0</v>
      </c>
      <c r="D9" s="1">
        <f t="shared" si="1"/>
        <v>0</v>
      </c>
    </row>
    <row r="10" spans="1:10" x14ac:dyDescent="0.25">
      <c r="A10" s="1">
        <v>3.7249608355159798</v>
      </c>
      <c r="B10" s="1">
        <v>94</v>
      </c>
      <c r="C10">
        <f t="shared" si="0"/>
        <v>0</v>
      </c>
      <c r="D10" s="1">
        <f t="shared" si="1"/>
        <v>0</v>
      </c>
    </row>
    <row r="11" spans="1:10" x14ac:dyDescent="0.25">
      <c r="A11" s="1">
        <v>5.0247209265442301</v>
      </c>
      <c r="B11" s="1">
        <v>94.0001554891208</v>
      </c>
      <c r="C11">
        <f t="shared" si="0"/>
        <v>5.5137986099365897E-6</v>
      </c>
      <c r="D11" s="1">
        <f t="shared" si="1"/>
        <v>4.2421664182461399E-6</v>
      </c>
      <c r="G11">
        <f t="shared" ref="G11:G18" si="2">$E$13*A11-$F$13</f>
        <v>-7.3632163441507067E-3</v>
      </c>
    </row>
    <row r="12" spans="1:10" x14ac:dyDescent="0.25">
      <c r="A12" s="1">
        <v>6.6203411203976197</v>
      </c>
      <c r="B12" s="1">
        <v>94.338435256701004</v>
      </c>
      <c r="C12">
        <f t="shared" si="0"/>
        <v>1.2001250237624257E-2</v>
      </c>
      <c r="D12" s="3">
        <f t="shared" si="1"/>
        <v>7.5179146548934464E-3</v>
      </c>
      <c r="E12" t="s">
        <v>0</v>
      </c>
      <c r="F12" t="s">
        <v>3</v>
      </c>
      <c r="G12">
        <f t="shared" si="2"/>
        <v>1.2001250237624245E-2</v>
      </c>
      <c r="H12" s="4" t="s">
        <v>2</v>
      </c>
      <c r="I12" t="s">
        <v>4</v>
      </c>
      <c r="J12" t="s">
        <v>5</v>
      </c>
    </row>
    <row r="13" spans="1:10" x14ac:dyDescent="0.25">
      <c r="A13" s="1">
        <v>8.6486564460701096</v>
      </c>
      <c r="B13" s="1">
        <v>95.0325968715333</v>
      </c>
      <c r="C13">
        <f t="shared" si="0"/>
        <v>3.6616910338060304E-2</v>
      </c>
      <c r="D13" s="3">
        <f t="shared" si="1"/>
        <v>1.213601247738672E-2</v>
      </c>
      <c r="E13">
        <f>(C13-C12)/(A13-A12)</f>
        <v>1.213601247738672E-2</v>
      </c>
      <c r="F13" s="1">
        <f>(C13*A12-C12*A13)/(A13-A12)</f>
        <v>6.8343292204077644E-2</v>
      </c>
      <c r="G13">
        <f t="shared" si="2"/>
        <v>3.6616910338060291E-2</v>
      </c>
      <c r="H13" s="2">
        <f>F13/E13</f>
        <v>5.6314454464695958</v>
      </c>
      <c r="I13" s="1">
        <f>(C71+F13)/E13</f>
        <v>23.163852975536368</v>
      </c>
      <c r="J13" s="2">
        <f>I13-H13</f>
        <v>17.532407529066774</v>
      </c>
    </row>
    <row r="14" spans="1:10" x14ac:dyDescent="0.25">
      <c r="A14" s="1">
        <v>11.3428222051578</v>
      </c>
      <c r="B14" s="1">
        <v>95.889664586154893</v>
      </c>
      <c r="C14">
        <f t="shared" si="0"/>
        <v>6.700938248776217E-2</v>
      </c>
      <c r="D14" s="3">
        <f t="shared" si="1"/>
        <v>1.1280847159156789E-2</v>
      </c>
      <c r="G14">
        <f t="shared" si="2"/>
        <v>6.9313339606496577E-2</v>
      </c>
    </row>
    <row r="15" spans="1:10" x14ac:dyDescent="0.25">
      <c r="A15" s="1">
        <v>15.024600552574199</v>
      </c>
      <c r="B15" s="1">
        <v>96.827792984188306</v>
      </c>
      <c r="C15">
        <f t="shared" si="0"/>
        <v>0.10027634695703215</v>
      </c>
      <c r="D15" s="3">
        <f t="shared" si="1"/>
        <v>9.0355695889771E-3</v>
      </c>
      <c r="G15">
        <f t="shared" si="2"/>
        <v>0.11399544756971425</v>
      </c>
    </row>
    <row r="16" spans="1:10" x14ac:dyDescent="0.25">
      <c r="A16" s="1">
        <v>19.024600552574199</v>
      </c>
      <c r="B16" s="1">
        <v>97.610244684381897</v>
      </c>
      <c r="C16">
        <f t="shared" si="0"/>
        <v>0.12802286114829423</v>
      </c>
      <c r="D16" s="3">
        <f t="shared" si="1"/>
        <v>6.9366285478155189E-3</v>
      </c>
      <c r="G16">
        <f t="shared" si="2"/>
        <v>0.16253949747926114</v>
      </c>
    </row>
    <row r="17" spans="1:7" x14ac:dyDescent="0.25">
      <c r="A17" s="1">
        <v>22.029336988941701</v>
      </c>
      <c r="B17" s="1">
        <v>98.066022090520207</v>
      </c>
      <c r="C17">
        <f t="shared" si="0"/>
        <v>0.14418518051490095</v>
      </c>
      <c r="D17" s="3">
        <f t="shared" si="1"/>
        <v>5.3789474414420663E-3</v>
      </c>
      <c r="G17">
        <f t="shared" si="2"/>
        <v>0.19900501636227563</v>
      </c>
    </row>
    <row r="18" spans="1:7" x14ac:dyDescent="0.25">
      <c r="A18" s="1">
        <v>25.034073425309199</v>
      </c>
      <c r="B18" s="1">
        <v>98.447689509890097</v>
      </c>
      <c r="C18">
        <f t="shared" si="0"/>
        <v>0.15771948616631548</v>
      </c>
      <c r="D18" s="1">
        <f t="shared" si="1"/>
        <v>4.5043237362197711E-3</v>
      </c>
      <c r="G18">
        <f t="shared" si="2"/>
        <v>0.2354705352452901</v>
      </c>
    </row>
    <row r="19" spans="1:7" x14ac:dyDescent="0.25">
      <c r="A19" s="1">
        <v>28.530223469632901</v>
      </c>
      <c r="B19" s="1">
        <v>98.789785952884003</v>
      </c>
      <c r="C19">
        <f t="shared" si="0"/>
        <v>0.16985056570510648</v>
      </c>
      <c r="D19" s="1">
        <f t="shared" si="1"/>
        <v>3.4698395048824758E-3</v>
      </c>
    </row>
    <row r="20" spans="1:7" x14ac:dyDescent="0.25">
      <c r="A20" s="1">
        <v>32.344171579699101</v>
      </c>
      <c r="B20" s="1">
        <v>99.077095139432899</v>
      </c>
      <c r="C20">
        <f t="shared" si="0"/>
        <v>0.1800388347316631</v>
      </c>
      <c r="D20" s="1">
        <f t="shared" si="1"/>
        <v>2.6713182068908059E-3</v>
      </c>
    </row>
    <row r="21" spans="1:7" x14ac:dyDescent="0.25">
      <c r="A21" s="1">
        <v>35.849923891409198</v>
      </c>
      <c r="B21" s="1">
        <v>99.280347050498193</v>
      </c>
      <c r="C21">
        <f t="shared" si="0"/>
        <v>0.18724634930844658</v>
      </c>
      <c r="D21" s="1">
        <f t="shared" si="1"/>
        <v>2.0559109531807377E-3</v>
      </c>
    </row>
    <row r="22" spans="1:7" x14ac:dyDescent="0.25">
      <c r="A22" s="1">
        <v>38.829277015017702</v>
      </c>
      <c r="B22" s="1">
        <v>99.419289292148093</v>
      </c>
      <c r="C22">
        <f t="shared" si="0"/>
        <v>0.19217337915418772</v>
      </c>
      <c r="D22" s="1">
        <f t="shared" si="1"/>
        <v>1.653724698391465E-3</v>
      </c>
    </row>
    <row r="23" spans="1:7" x14ac:dyDescent="0.25">
      <c r="A23" s="1">
        <v>41.6782599686738</v>
      </c>
      <c r="B23" s="1">
        <v>99.527776108905599</v>
      </c>
      <c r="C23">
        <f t="shared" si="0"/>
        <v>0.19602042939381556</v>
      </c>
      <c r="D23" s="1">
        <f t="shared" si="1"/>
        <v>1.3503240637824524E-3</v>
      </c>
    </row>
    <row r="24" spans="1:7" x14ac:dyDescent="0.25">
      <c r="A24" s="1">
        <v>44.919226173733598</v>
      </c>
      <c r="B24" s="1">
        <v>99.625110380516901</v>
      </c>
      <c r="C24">
        <f t="shared" si="0"/>
        <v>0.19947199930910997</v>
      </c>
      <c r="D24" s="1">
        <f t="shared" si="1"/>
        <v>1.0649817668279965E-3</v>
      </c>
    </row>
    <row r="25" spans="1:7" x14ac:dyDescent="0.25">
      <c r="A25" s="1">
        <v>48.681692250341797</v>
      </c>
      <c r="B25" s="1">
        <v>99.712952355300203</v>
      </c>
      <c r="C25">
        <f t="shared" si="0"/>
        <v>0.20258696295390791</v>
      </c>
      <c r="D25" s="1">
        <f t="shared" si="1"/>
        <v>8.2790477877371963E-4</v>
      </c>
    </row>
    <row r="26" spans="1:7" x14ac:dyDescent="0.25">
      <c r="A26" s="1">
        <v>52.436721582415302</v>
      </c>
      <c r="B26" s="1">
        <v>99.780167578059306</v>
      </c>
      <c r="C26">
        <f t="shared" si="0"/>
        <v>0.20497048149146474</v>
      </c>
      <c r="D26" s="1">
        <f t="shared" si="1"/>
        <v>6.3475364019078607E-4</v>
      </c>
    </row>
    <row r="27" spans="1:7" x14ac:dyDescent="0.25">
      <c r="A27" s="1">
        <v>55.635472424417301</v>
      </c>
      <c r="B27" s="1">
        <v>99.825105450087406</v>
      </c>
      <c r="C27">
        <f t="shared" si="0"/>
        <v>0.20656402305274491</v>
      </c>
      <c r="D27" s="1">
        <f t="shared" si="1"/>
        <v>4.9817620689794541E-4</v>
      </c>
    </row>
    <row r="28" spans="1:7" x14ac:dyDescent="0.25">
      <c r="A28" s="1">
        <v>58.443769476803297</v>
      </c>
      <c r="B28" s="1">
        <v>99.857525881214599</v>
      </c>
      <c r="C28">
        <f t="shared" si="0"/>
        <v>0.20771368373101415</v>
      </c>
      <c r="D28" s="1">
        <f t="shared" si="1"/>
        <v>4.0938001102570833E-4</v>
      </c>
    </row>
    <row r="29" spans="1:7" x14ac:dyDescent="0.25">
      <c r="A29" s="1">
        <v>61.427766707252999</v>
      </c>
      <c r="B29" s="1">
        <v>99.885018156306799</v>
      </c>
      <c r="C29">
        <f t="shared" si="0"/>
        <v>0.208688587103078</v>
      </c>
      <c r="D29" s="1">
        <f t="shared" si="1"/>
        <v>3.2671054856070648E-4</v>
      </c>
    </row>
    <row r="30" spans="1:7" x14ac:dyDescent="0.25">
      <c r="A30" s="1">
        <v>64.983082895903806</v>
      </c>
      <c r="B30" s="1">
        <v>99.910545356845802</v>
      </c>
      <c r="C30">
        <f t="shared" si="0"/>
        <v>0.20959380698034757</v>
      </c>
      <c r="D30" s="1">
        <f t="shared" si="1"/>
        <v>2.5461023133728473E-4</v>
      </c>
    </row>
    <row r="31" spans="1:7" x14ac:dyDescent="0.25">
      <c r="A31" s="1">
        <v>68.875849786286693</v>
      </c>
      <c r="B31" s="1">
        <v>99.932184052660901</v>
      </c>
      <c r="C31">
        <f t="shared" si="0"/>
        <v>0.21036113661918088</v>
      </c>
      <c r="D31" s="1">
        <f t="shared" si="1"/>
        <v>1.9711677078044335E-4</v>
      </c>
    </row>
    <row r="32" spans="1:7" x14ac:dyDescent="0.25">
      <c r="A32" s="1">
        <v>72.377052518666503</v>
      </c>
      <c r="B32" s="1">
        <v>99.947221562680596</v>
      </c>
      <c r="C32">
        <f t="shared" si="0"/>
        <v>0.2108943816553403</v>
      </c>
      <c r="D32" s="1">
        <f t="shared" si="1"/>
        <v>1.5230338741252245E-4</v>
      </c>
    </row>
    <row r="33" spans="1:4" x14ac:dyDescent="0.25">
      <c r="A33" s="1">
        <v>75.288056356263297</v>
      </c>
      <c r="B33" s="1">
        <v>99.957377342230501</v>
      </c>
      <c r="C33">
        <f t="shared" si="0"/>
        <v>0.21125451568193265</v>
      </c>
      <c r="D33" s="1">
        <f t="shared" si="1"/>
        <v>1.2371472065446099E-4</v>
      </c>
    </row>
    <row r="34" spans="1:4" x14ac:dyDescent="0.25">
      <c r="A34" s="1">
        <v>78.0857827509777</v>
      </c>
      <c r="B34" s="1">
        <v>99.965305884046501</v>
      </c>
      <c r="C34">
        <f t="shared" si="0"/>
        <v>0.21153566964703904</v>
      </c>
      <c r="D34" s="1">
        <f t="shared" si="1"/>
        <v>1.0049373149481641E-4</v>
      </c>
    </row>
    <row r="35" spans="1:4" x14ac:dyDescent="0.25">
      <c r="A35" s="1">
        <v>81.347343620315996</v>
      </c>
      <c r="B35" s="1">
        <v>99.972359093517198</v>
      </c>
      <c r="C35">
        <f t="shared" si="0"/>
        <v>0.21178578345805668</v>
      </c>
      <c r="D35" s="1">
        <f t="shared" si="1"/>
        <v>7.6685311431388709E-5</v>
      </c>
    </row>
    <row r="36" spans="1:4" x14ac:dyDescent="0.25">
      <c r="A36" s="1">
        <v>85.1894288249038</v>
      </c>
      <c r="B36" s="1">
        <v>99.978913317760302</v>
      </c>
      <c r="C36">
        <f t="shared" si="0"/>
        <v>0.21201820275745753</v>
      </c>
      <c r="D36" s="1">
        <f t="shared" si="1"/>
        <v>6.049301018189781E-5</v>
      </c>
    </row>
    <row r="37" spans="1:4" x14ac:dyDescent="0.25">
      <c r="A37" s="1">
        <v>88.984174705293299</v>
      </c>
      <c r="B37" s="1">
        <v>99.983978994106295</v>
      </c>
      <c r="C37">
        <f t="shared" si="0"/>
        <v>0.21219783667043599</v>
      </c>
      <c r="D37" s="1">
        <f t="shared" si="1"/>
        <v>4.7337534222454255E-5</v>
      </c>
    </row>
    <row r="38" spans="1:4" x14ac:dyDescent="0.25">
      <c r="A38" s="1">
        <v>92.138272831591706</v>
      </c>
      <c r="B38" s="1">
        <v>99.987393064173602</v>
      </c>
      <c r="C38">
        <f t="shared" si="0"/>
        <v>0.21231890298487952</v>
      </c>
      <c r="D38" s="1">
        <f t="shared" si="1"/>
        <v>3.8383813564358258E-5</v>
      </c>
    </row>
    <row r="39" spans="1:4" x14ac:dyDescent="0.25">
      <c r="A39" s="1">
        <v>94.882437478349303</v>
      </c>
      <c r="B39" s="1">
        <v>99.989827452879695</v>
      </c>
      <c r="C39">
        <f t="shared" si="0"/>
        <v>0.2124052288255211</v>
      </c>
      <c r="D39" s="1">
        <f t="shared" si="1"/>
        <v>3.1457966905732774E-5</v>
      </c>
    </row>
    <row r="40" spans="1:4" x14ac:dyDescent="0.25">
      <c r="A40" s="1">
        <v>97.850750320699007</v>
      </c>
      <c r="B40" s="1">
        <v>99.991729184962793</v>
      </c>
      <c r="C40">
        <f t="shared" si="0"/>
        <v>0.21247266613343238</v>
      </c>
      <c r="D40" s="1">
        <f t="shared" si="1"/>
        <v>2.271907022371006E-5</v>
      </c>
    </row>
    <row r="41" spans="1:4" x14ac:dyDescent="0.25">
      <c r="A41" s="1">
        <v>101.45873933157399</v>
      </c>
      <c r="B41" s="1">
        <v>99.993471970598904</v>
      </c>
      <c r="C41">
        <f t="shared" si="0"/>
        <v>0.21253446704251433</v>
      </c>
      <c r="D41" s="1">
        <f t="shared" si="1"/>
        <v>1.7128907237708511E-5</v>
      </c>
    </row>
    <row r="42" spans="1:4" x14ac:dyDescent="0.25">
      <c r="A42" s="1">
        <v>105.418617754555</v>
      </c>
      <c r="B42" s="1">
        <v>99.995100474762694</v>
      </c>
      <c r="C42">
        <f t="shared" si="0"/>
        <v>0.21259221541711681</v>
      </c>
      <c r="D42" s="1">
        <f t="shared" si="1"/>
        <v>1.4583370607376162E-5</v>
      </c>
    </row>
    <row r="43" spans="1:4" x14ac:dyDescent="0.25">
      <c r="A43" s="1">
        <v>108.913159854491</v>
      </c>
      <c r="B43" s="1">
        <v>99.9963426747901</v>
      </c>
      <c r="C43">
        <f t="shared" si="0"/>
        <v>0.21263626506347871</v>
      </c>
      <c r="D43" s="1">
        <f t="shared" si="1"/>
        <v>1.2605269904376215E-5</v>
      </c>
    </row>
    <row r="44" spans="1:4" x14ac:dyDescent="0.25">
      <c r="A44" s="1">
        <v>111.766293726657</v>
      </c>
      <c r="B44" s="1">
        <v>99.997203993777205</v>
      </c>
      <c r="C44">
        <f t="shared" si="0"/>
        <v>0.21266680828997181</v>
      </c>
      <c r="D44" s="1">
        <f t="shared" si="1"/>
        <v>1.0705150147724654E-5</v>
      </c>
    </row>
    <row r="45" spans="1:4" x14ac:dyDescent="0.25">
      <c r="A45" s="1">
        <v>114.522591250573</v>
      </c>
      <c r="B45" s="1">
        <v>99.997806541669206</v>
      </c>
      <c r="C45">
        <f t="shared" si="0"/>
        <v>0.21268817523649666</v>
      </c>
      <c r="D45" s="1">
        <f t="shared" si="1"/>
        <v>7.7520464824480697E-6</v>
      </c>
    </row>
    <row r="46" spans="1:4" x14ac:dyDescent="0.25">
      <c r="A46" s="1">
        <v>117.801931998051</v>
      </c>
      <c r="B46" s="1">
        <v>99.998093945591094</v>
      </c>
      <c r="C46">
        <f t="shared" si="0"/>
        <v>0.21269836686493243</v>
      </c>
      <c r="D46" s="1">
        <f t="shared" si="1"/>
        <v>3.1078284388733648E-6</v>
      </c>
    </row>
    <row r="47" spans="1:4" x14ac:dyDescent="0.25">
      <c r="A47" s="1">
        <v>121.709467365751</v>
      </c>
      <c r="B47" s="1">
        <v>99.998511035990603</v>
      </c>
      <c r="C47">
        <f t="shared" si="0"/>
        <v>0.21271315730463133</v>
      </c>
      <c r="D47" s="1">
        <f t="shared" si="1"/>
        <v>3.7851070578047508E-6</v>
      </c>
    </row>
    <row r="48" spans="1:4" x14ac:dyDescent="0.25">
      <c r="A48" s="1">
        <v>125.535056681567</v>
      </c>
      <c r="B48" s="1">
        <v>99.998967192551106</v>
      </c>
      <c r="C48">
        <f t="shared" si="0"/>
        <v>0.21272933306918818</v>
      </c>
      <c r="D48" s="1">
        <f t="shared" si="1"/>
        <v>4.2283066010161499E-6</v>
      </c>
    </row>
    <row r="49" spans="1:4" x14ac:dyDescent="0.25">
      <c r="A49" s="1">
        <v>128.652513304493</v>
      </c>
      <c r="B49" s="1">
        <v>99.999386342304007</v>
      </c>
      <c r="C49">
        <f t="shared" si="0"/>
        <v>0.21274419653560309</v>
      </c>
      <c r="D49" s="1">
        <f t="shared" si="1"/>
        <v>4.7678181969248726E-6</v>
      </c>
    </row>
    <row r="50" spans="1:4" x14ac:dyDescent="0.25">
      <c r="A50" s="1">
        <v>131.346322390534</v>
      </c>
      <c r="B50" s="1">
        <v>99.999660402613799</v>
      </c>
      <c r="C50">
        <f t="shared" si="0"/>
        <v>0.21275391498630492</v>
      </c>
      <c r="D50" s="1">
        <f t="shared" si="1"/>
        <v>3.607698389684972E-6</v>
      </c>
    </row>
    <row r="51" spans="1:4" x14ac:dyDescent="0.25">
      <c r="A51" s="1">
        <v>134.30288601609701</v>
      </c>
      <c r="B51" s="1">
        <v>99.9996502317764</v>
      </c>
      <c r="C51">
        <f t="shared" si="0"/>
        <v>0.21275355431831205</v>
      </c>
      <c r="D51" s="1">
        <f t="shared" si="1"/>
        <v>-1.2198891636962306E-7</v>
      </c>
    </row>
    <row r="52" spans="1:4" x14ac:dyDescent="0.25">
      <c r="A52" s="1">
        <v>137.95124161311401</v>
      </c>
      <c r="B52" s="1">
        <v>99.999593100816995</v>
      </c>
      <c r="C52">
        <f t="shared" si="0"/>
        <v>0.21275152839776579</v>
      </c>
      <c r="D52" s="1">
        <f t="shared" si="1"/>
        <v>-5.552968981212754E-7</v>
      </c>
    </row>
    <row r="53" spans="1:4" x14ac:dyDescent="0.25">
      <c r="A53" s="1">
        <v>141.95124161311401</v>
      </c>
      <c r="B53" s="1">
        <v>99.999724659766002</v>
      </c>
      <c r="C53">
        <f t="shared" si="0"/>
        <v>0.2127561936087235</v>
      </c>
      <c r="D53" s="1">
        <f t="shared" si="1"/>
        <v>1.1663027394276382E-6</v>
      </c>
    </row>
    <row r="54" spans="1:4" x14ac:dyDescent="0.25">
      <c r="A54" s="1">
        <v>145.44226515857599</v>
      </c>
      <c r="B54" s="1">
        <v>99.999968171751107</v>
      </c>
      <c r="C54">
        <f t="shared" si="0"/>
        <v>0.21276482878550024</v>
      </c>
      <c r="D54" s="1">
        <f t="shared" si="1"/>
        <v>2.473537248972131E-6</v>
      </c>
    </row>
    <row r="55" spans="1:4" x14ac:dyDescent="0.25">
      <c r="A55" s="1">
        <v>148.262073388326</v>
      </c>
      <c r="B55" s="1">
        <v>100.000163581938</v>
      </c>
      <c r="C55">
        <f t="shared" si="0"/>
        <v>0.21277175822475167</v>
      </c>
      <c r="D55" s="1">
        <f t="shared" si="1"/>
        <v>2.4574150746570335E-6</v>
      </c>
    </row>
    <row r="56" spans="1:4" x14ac:dyDescent="0.25">
      <c r="A56" s="1">
        <v>150.99405131</v>
      </c>
      <c r="B56" s="1">
        <v>100.000235287344</v>
      </c>
      <c r="C56">
        <f t="shared" si="0"/>
        <v>0.21277430096964531</v>
      </c>
      <c r="D56" s="1">
        <f t="shared" si="1"/>
        <v>9.3073405662187245E-7</v>
      </c>
    </row>
    <row r="57" spans="1:4" x14ac:dyDescent="0.25">
      <c r="A57" s="1">
        <v>154.28233276653501</v>
      </c>
      <c r="B57" s="1">
        <v>99.999996371888201</v>
      </c>
      <c r="C57">
        <f t="shared" si="0"/>
        <v>0.21276582879036177</v>
      </c>
      <c r="D57" s="1">
        <f t="shared" si="1"/>
        <v>-2.5764763130919177E-6</v>
      </c>
    </row>
    <row r="58" spans="1:4" x14ac:dyDescent="0.25">
      <c r="A58" s="1">
        <v>158.22668415062901</v>
      </c>
      <c r="B58" s="1">
        <v>99.999951770300001</v>
      </c>
      <c r="C58">
        <f t="shared" si="0"/>
        <v>0.21276424717375891</v>
      </c>
      <c r="D58" s="1">
        <f t="shared" si="1"/>
        <v>-4.0098268354858986E-7</v>
      </c>
    </row>
    <row r="59" spans="1:4" x14ac:dyDescent="0.25">
      <c r="A59" s="1">
        <v>162.07060970881301</v>
      </c>
      <c r="B59" s="1">
        <v>100.000072009222</v>
      </c>
      <c r="C59">
        <f t="shared" si="0"/>
        <v>0.21276851096531899</v>
      </c>
      <c r="D59" s="1">
        <f t="shared" si="1"/>
        <v>1.109228442521192E-6</v>
      </c>
    </row>
    <row r="60" spans="1:4" x14ac:dyDescent="0.25">
      <c r="A60" s="1">
        <v>165.16861240421301</v>
      </c>
      <c r="B60" s="1">
        <v>100.000284100554</v>
      </c>
      <c r="C60">
        <f t="shared" si="0"/>
        <v>0.21277603193453892</v>
      </c>
      <c r="D60" s="1">
        <f t="shared" si="1"/>
        <v>2.4276832396255617E-6</v>
      </c>
    </row>
    <row r="61" spans="1:4" x14ac:dyDescent="0.25">
      <c r="A61" s="1">
        <v>167.83452273467501</v>
      </c>
      <c r="B61" s="1">
        <v>100.000409160622</v>
      </c>
      <c r="C61">
        <f t="shared" si="0"/>
        <v>0.21278046668872336</v>
      </c>
      <c r="D61" s="1">
        <f t="shared" si="1"/>
        <v>1.6635046324555842E-6</v>
      </c>
    </row>
    <row r="62" spans="1:4" x14ac:dyDescent="0.25">
      <c r="A62" s="1">
        <v>170.78338967571901</v>
      </c>
      <c r="B62" s="1">
        <v>100.00024273909</v>
      </c>
      <c r="C62">
        <f t="shared" si="0"/>
        <v>0.21277456521595739</v>
      </c>
      <c r="D62" s="1">
        <f t="shared" si="1"/>
        <v>-2.0012679052512742E-6</v>
      </c>
    </row>
    <row r="63" spans="1:4" x14ac:dyDescent="0.25">
      <c r="A63" s="1">
        <v>174.452084002741</v>
      </c>
      <c r="B63" s="1">
        <v>100.00004237712901</v>
      </c>
      <c r="C63">
        <f t="shared" si="0"/>
        <v>0.21276746018187964</v>
      </c>
      <c r="D63" s="1">
        <f t="shared" si="1"/>
        <v>-1.936665593918606E-6</v>
      </c>
    </row>
    <row r="64" spans="1:4" x14ac:dyDescent="0.25">
      <c r="A64" s="1">
        <v>178.452084002741</v>
      </c>
      <c r="B64" s="1">
        <v>100.000063942306</v>
      </c>
      <c r="C64">
        <f t="shared" si="0"/>
        <v>0.21276822490446806</v>
      </c>
      <c r="D64" s="1">
        <f t="shared" si="1"/>
        <v>1.9118064710499372E-7</v>
      </c>
    </row>
    <row r="65" spans="1:4" x14ac:dyDescent="0.25">
      <c r="A65" s="1">
        <v>181.94665302278099</v>
      </c>
      <c r="B65" s="1">
        <v>100.00023295934599</v>
      </c>
      <c r="C65">
        <f t="shared" si="0"/>
        <v>0.21277421841652458</v>
      </c>
      <c r="D65" s="1">
        <f t="shared" si="1"/>
        <v>1.7150933411666899E-6</v>
      </c>
    </row>
    <row r="66" spans="1:4" x14ac:dyDescent="0.25">
      <c r="A66" s="1">
        <v>184.76882215972</v>
      </c>
      <c r="B66" s="1">
        <v>100.00037968468099</v>
      </c>
      <c r="C66">
        <f t="shared" si="0"/>
        <v>0.21277942144258843</v>
      </c>
      <c r="D66" s="1">
        <f t="shared" si="1"/>
        <v>1.8436265905373841E-6</v>
      </c>
    </row>
    <row r="67" spans="1:4" x14ac:dyDescent="0.25">
      <c r="A67" s="1">
        <v>187.49977574654301</v>
      </c>
      <c r="B67" s="1">
        <v>100.00041352232699</v>
      </c>
      <c r="C67">
        <f t="shared" si="0"/>
        <v>0.21278062135911327</v>
      </c>
      <c r="D67" s="1">
        <f t="shared" si="1"/>
        <v>4.3937638875489925E-7</v>
      </c>
    </row>
    <row r="68" spans="1:4" x14ac:dyDescent="0.25">
      <c r="A68" s="1">
        <v>190.78463970688799</v>
      </c>
      <c r="B68" s="1">
        <v>100.000137964134</v>
      </c>
      <c r="C68">
        <f t="shared" si="0"/>
        <v>0.21277084979198574</v>
      </c>
      <c r="D68" s="1">
        <f t="shared" si="1"/>
        <v>-2.9747250557386606E-6</v>
      </c>
    </row>
    <row r="69" spans="1:4" x14ac:dyDescent="0.25">
      <c r="A69" s="1">
        <v>194.726755957547</v>
      </c>
      <c r="B69" s="1">
        <v>100.00005803063</v>
      </c>
      <c r="C69">
        <f t="shared" ref="C69:C71" si="3">(B69-$B$4)/($B$4*0.3)</f>
        <v>0.21276801527056741</v>
      </c>
      <c r="D69" s="1">
        <f t="shared" si="1"/>
        <v>-7.1903547183785836E-7</v>
      </c>
    </row>
    <row r="70" spans="1:4" x14ac:dyDescent="0.25">
      <c r="A70" s="1">
        <v>198.573077312767</v>
      </c>
      <c r="B70" s="1">
        <v>100.000152116336</v>
      </c>
      <c r="C70">
        <f t="shared" si="3"/>
        <v>0.21277135164312047</v>
      </c>
      <c r="D70" s="1">
        <f t="shared" ref="D70:D71" si="4">(C70-C69)/(A70-A69)</f>
        <v>8.6741908565088493E-7</v>
      </c>
    </row>
    <row r="71" spans="1:4" x14ac:dyDescent="0.25">
      <c r="A71" s="1">
        <v>200</v>
      </c>
      <c r="B71" s="1">
        <v>100.00021316618501</v>
      </c>
      <c r="C71">
        <f t="shared" si="3"/>
        <v>0.21277351653138318</v>
      </c>
      <c r="D71" s="1">
        <f t="shared" si="4"/>
        <v>1.5171727817365785E-6</v>
      </c>
    </row>
    <row r="72" spans="1:4" x14ac:dyDescent="0.25">
      <c r="D72" s="1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54F1-9A81-4316-8F1E-5810186FE302}">
  <dimension ref="A5:J72"/>
  <sheetViews>
    <sheetView tabSelected="1" topLeftCell="A7" workbookViewId="0">
      <selection activeCell="J24" sqref="J24"/>
    </sheetView>
  </sheetViews>
  <sheetFormatPr defaultRowHeight="15" x14ac:dyDescent="0.25"/>
  <sheetData>
    <row r="5" spans="1:10" x14ac:dyDescent="0.25">
      <c r="A5" s="6">
        <v>0</v>
      </c>
      <c r="B5" s="6">
        <v>7.5</v>
      </c>
      <c r="C5" s="5">
        <f>(B5-$B$5)/($B$5*0.05)</f>
        <v>0</v>
      </c>
    </row>
    <row r="6" spans="1:10" x14ac:dyDescent="0.25">
      <c r="A6" s="6">
        <v>0.389166776469346</v>
      </c>
      <c r="B6" s="6">
        <v>7.5</v>
      </c>
      <c r="C6" s="5">
        <f t="shared" ref="C6:C69" si="0">(B6-$B$5)/($B$5*0.05)</f>
        <v>0</v>
      </c>
      <c r="D6">
        <f>(C6-C5)/(A6-A5)</f>
        <v>0</v>
      </c>
    </row>
    <row r="7" spans="1:10" x14ac:dyDescent="0.25">
      <c r="A7" s="6">
        <v>0.86160647836899795</v>
      </c>
      <c r="B7" s="6">
        <v>7.5</v>
      </c>
      <c r="C7" s="5">
        <f t="shared" si="0"/>
        <v>0</v>
      </c>
      <c r="D7" s="5">
        <f t="shared" ref="D7:E70" si="1">(C7-C6)/(A7-A6)</f>
        <v>0</v>
      </c>
    </row>
    <row r="8" spans="1:10" x14ac:dyDescent="0.25">
      <c r="A8" s="6">
        <v>1.5177136856119899</v>
      </c>
      <c r="B8" s="6">
        <v>7.5</v>
      </c>
      <c r="C8" s="5">
        <f t="shared" si="0"/>
        <v>0</v>
      </c>
      <c r="D8" s="5">
        <f t="shared" si="1"/>
        <v>0</v>
      </c>
    </row>
    <row r="9" spans="1:10" x14ac:dyDescent="0.25">
      <c r="A9" s="6">
        <v>2.37373210282896</v>
      </c>
      <c r="B9" s="6">
        <v>7.5</v>
      </c>
      <c r="C9" s="5">
        <f t="shared" si="0"/>
        <v>0</v>
      </c>
      <c r="D9" s="5">
        <f t="shared" si="1"/>
        <v>0</v>
      </c>
    </row>
    <row r="10" spans="1:10" x14ac:dyDescent="0.25">
      <c r="A10" s="6">
        <v>3.4131721422826402</v>
      </c>
      <c r="B10" s="6">
        <v>7.5</v>
      </c>
      <c r="C10" s="5">
        <f t="shared" si="0"/>
        <v>0</v>
      </c>
      <c r="D10" s="5">
        <f t="shared" si="1"/>
        <v>0</v>
      </c>
    </row>
    <row r="11" spans="1:10" x14ac:dyDescent="0.25">
      <c r="A11" s="6">
        <v>4.6466155034102004</v>
      </c>
      <c r="B11" s="6">
        <v>7.5</v>
      </c>
      <c r="C11" s="5">
        <f t="shared" si="0"/>
        <v>0</v>
      </c>
      <c r="D11" s="5">
        <f t="shared" si="1"/>
        <v>0</v>
      </c>
    </row>
    <row r="12" spans="1:10" x14ac:dyDescent="0.25">
      <c r="A12" s="6">
        <v>6.1517986914810701</v>
      </c>
      <c r="B12" s="6">
        <v>7.5</v>
      </c>
      <c r="C12" s="5">
        <f t="shared" si="0"/>
        <v>0</v>
      </c>
      <c r="D12" s="5">
        <f t="shared" si="1"/>
        <v>0</v>
      </c>
    </row>
    <row r="13" spans="1:10" x14ac:dyDescent="0.25">
      <c r="A13" s="6">
        <v>8.0444912776971105</v>
      </c>
      <c r="B13" s="6">
        <v>7.5</v>
      </c>
      <c r="C13" s="5">
        <f t="shared" si="0"/>
        <v>0</v>
      </c>
      <c r="D13" s="5">
        <f t="shared" si="1"/>
        <v>0</v>
      </c>
      <c r="G13" s="5"/>
    </row>
    <row r="14" spans="1:10" x14ac:dyDescent="0.25">
      <c r="A14" s="6">
        <v>10.5276081937374</v>
      </c>
      <c r="B14" s="6">
        <v>7.5009811125788302</v>
      </c>
      <c r="C14" s="5">
        <f t="shared" si="0"/>
        <v>2.6163002102137511E-3</v>
      </c>
      <c r="D14" s="5">
        <f t="shared" si="1"/>
        <v>1.053635530938206E-3</v>
      </c>
      <c r="G14" s="5">
        <f t="shared" ref="G13:G26" si="2">$E$16*A14-$F$16</f>
        <v>-2.1912355986370424E-3</v>
      </c>
    </row>
    <row r="15" spans="1:10" x14ac:dyDescent="0.25">
      <c r="A15" s="6">
        <v>13.9169975698772</v>
      </c>
      <c r="B15" s="6">
        <v>7.5211875014544303</v>
      </c>
      <c r="C15" s="5">
        <f t="shared" si="0"/>
        <v>5.6500003878480719E-2</v>
      </c>
      <c r="D15" s="5">
        <f t="shared" si="1"/>
        <v>1.5897761422039833E-2</v>
      </c>
      <c r="E15" t="s">
        <v>6</v>
      </c>
      <c r="F15" t="s">
        <v>7</v>
      </c>
      <c r="G15" s="5">
        <f t="shared" si="2"/>
        <v>5.6500003878480726E-2</v>
      </c>
      <c r="H15" s="4" t="s">
        <v>2</v>
      </c>
      <c r="I15" s="5" t="s">
        <v>4</v>
      </c>
      <c r="J15" s="5" t="s">
        <v>5</v>
      </c>
    </row>
    <row r="16" spans="1:10" x14ac:dyDescent="0.25">
      <c r="A16" s="6">
        <v>17.9169975698772</v>
      </c>
      <c r="B16" s="6">
        <v>7.54716175505758</v>
      </c>
      <c r="C16" s="5">
        <f t="shared" si="0"/>
        <v>0.12576468015354672</v>
      </c>
      <c r="D16" s="5">
        <f t="shared" si="1"/>
        <v>1.7316169068766499E-2</v>
      </c>
      <c r="E16">
        <f>(C16-C15)/(A16-A15)</f>
        <v>1.7316169068766499E-2</v>
      </c>
      <c r="F16">
        <f>(C16*A15-C15*A16)/(A16-A15)</f>
        <v>0.18448907897112538</v>
      </c>
      <c r="G16">
        <f>$E$16*A16-$F$16</f>
        <v>0.12576468015354669</v>
      </c>
      <c r="H16" s="2">
        <f>F16/E16</f>
        <v>10.654150940573329</v>
      </c>
      <c r="I16" s="6">
        <f>(C72+F16)/E16</f>
        <v>49.028606467275722</v>
      </c>
      <c r="J16" s="2">
        <f>I16-H16</f>
        <v>38.374455526702391</v>
      </c>
    </row>
    <row r="17" spans="1:7" x14ac:dyDescent="0.25">
      <c r="A17" s="6">
        <v>21.113324097732502</v>
      </c>
      <c r="B17" s="6">
        <v>7.5657675390785899</v>
      </c>
      <c r="C17" s="5">
        <f t="shared" si="0"/>
        <v>0.17538010420957306</v>
      </c>
      <c r="D17" s="5">
        <f t="shared" si="1"/>
        <v>1.5522639387321208E-2</v>
      </c>
      <c r="G17" s="5">
        <f t="shared" si="2"/>
        <v>0.18111281070887253</v>
      </c>
    </row>
    <row r="18" spans="1:7" x14ac:dyDescent="0.25">
      <c r="A18" s="6">
        <v>24.3096506255878</v>
      </c>
      <c r="B18" s="6">
        <v>7.5827933883039202</v>
      </c>
      <c r="C18" s="5">
        <f t="shared" si="0"/>
        <v>0.22078236881045399</v>
      </c>
      <c r="D18" s="5">
        <f t="shared" si="1"/>
        <v>1.4204513902196774E-2</v>
      </c>
      <c r="G18" s="5">
        <f t="shared" si="2"/>
        <v>0.23646094126419825</v>
      </c>
    </row>
    <row r="19" spans="1:7" x14ac:dyDescent="0.25">
      <c r="A19" s="6">
        <v>27.774664390742402</v>
      </c>
      <c r="B19" s="6">
        <v>7.5995169766013202</v>
      </c>
      <c r="C19" s="5">
        <f t="shared" si="0"/>
        <v>0.26537860427018717</v>
      </c>
      <c r="D19" s="5">
        <f t="shared" si="1"/>
        <v>1.2870435294719063E-2</v>
      </c>
      <c r="G19" s="5">
        <f t="shared" si="2"/>
        <v>0.2964617054472185</v>
      </c>
    </row>
    <row r="20" spans="1:7" x14ac:dyDescent="0.25">
      <c r="A20" s="6">
        <v>31.3346047847092</v>
      </c>
      <c r="B20" s="6">
        <v>7.6149011244516096</v>
      </c>
      <c r="C20" s="5">
        <f t="shared" si="0"/>
        <v>0.30640299853762559</v>
      </c>
      <c r="D20" s="5">
        <f t="shared" si="1"/>
        <v>1.1523899202628347E-2</v>
      </c>
      <c r="G20" s="5">
        <f t="shared" si="2"/>
        <v>0.3581062351838788</v>
      </c>
    </row>
    <row r="21" spans="1:7" x14ac:dyDescent="0.25">
      <c r="A21" s="6">
        <v>34.679735718381103</v>
      </c>
      <c r="B21" s="6">
        <v>7.6278978698547899</v>
      </c>
      <c r="C21" s="5">
        <f t="shared" si="0"/>
        <v>0.34106098627943976</v>
      </c>
      <c r="D21" s="5">
        <f t="shared" si="1"/>
        <v>1.0360726808313771E-2</v>
      </c>
      <c r="G21" s="5">
        <f t="shared" si="2"/>
        <v>0.41603108798850225</v>
      </c>
    </row>
    <row r="22" spans="1:7" x14ac:dyDescent="0.25">
      <c r="A22" s="6">
        <v>37.766830025073503</v>
      </c>
      <c r="B22" s="6">
        <v>7.6388584818830596</v>
      </c>
      <c r="C22" s="5">
        <f t="shared" si="0"/>
        <v>0.37028928502149228</v>
      </c>
      <c r="D22" s="5">
        <f t="shared" si="1"/>
        <v>9.4678995321553824E-3</v>
      </c>
      <c r="G22" s="5">
        <f t="shared" si="2"/>
        <v>0.46948773493441426</v>
      </c>
    </row>
    <row r="23" spans="1:7" x14ac:dyDescent="0.25">
      <c r="A23" s="6">
        <v>40.851667825961499</v>
      </c>
      <c r="B23" s="6">
        <v>7.6487089929151599</v>
      </c>
      <c r="C23" s="5">
        <f t="shared" si="0"/>
        <v>0.39655731444042647</v>
      </c>
      <c r="D23" s="5">
        <f t="shared" si="1"/>
        <v>8.515206021973901E-3</v>
      </c>
      <c r="G23" s="5">
        <f t="shared" si="2"/>
        <v>0.52290530784431266</v>
      </c>
    </row>
    <row r="24" spans="1:7" x14ac:dyDescent="0.25">
      <c r="A24" s="6">
        <v>44.199173813511003</v>
      </c>
      <c r="B24" s="6">
        <v>7.6584855851111104</v>
      </c>
      <c r="C24" s="5">
        <f t="shared" si="0"/>
        <v>0.42262822696296115</v>
      </c>
      <c r="D24" s="5">
        <f t="shared" si="1"/>
        <v>7.7881600867933153E-3</v>
      </c>
      <c r="G24" s="5">
        <f t="shared" si="2"/>
        <v>0.58087128748342809</v>
      </c>
    </row>
    <row r="25" spans="1:7" x14ac:dyDescent="0.25">
      <c r="A25" s="6">
        <v>47.785114057801202</v>
      </c>
      <c r="B25" s="6">
        <v>7.6679588841820401</v>
      </c>
      <c r="C25" s="5">
        <f t="shared" si="0"/>
        <v>0.44789035781877357</v>
      </c>
      <c r="D25" s="5">
        <f t="shared" si="1"/>
        <v>7.0447718408126452E-3</v>
      </c>
      <c r="G25" s="5">
        <f t="shared" si="2"/>
        <v>0.64296603502405092</v>
      </c>
    </row>
    <row r="26" spans="1:7" x14ac:dyDescent="0.25">
      <c r="A26" s="6">
        <v>51.275477555227702</v>
      </c>
      <c r="B26" s="6">
        <v>7.6761533781092899</v>
      </c>
      <c r="C26" s="5">
        <f t="shared" si="0"/>
        <v>0.46974234162477302</v>
      </c>
      <c r="D26" s="5">
        <f t="shared" si="1"/>
        <v>6.2606613386001955E-3</v>
      </c>
      <c r="G26" s="5">
        <f t="shared" si="2"/>
        <v>0.70340575945693939</v>
      </c>
    </row>
    <row r="27" spans="1:7" x14ac:dyDescent="0.25">
      <c r="A27" s="6">
        <v>54.448103917076097</v>
      </c>
      <c r="B27" s="6">
        <v>7.6829351954750296</v>
      </c>
      <c r="C27" s="5">
        <f t="shared" si="0"/>
        <v>0.48782718793341218</v>
      </c>
      <c r="D27" s="5">
        <f t="shared" si="1"/>
        <v>5.7002761264653935E-3</v>
      </c>
    </row>
    <row r="28" spans="1:7" x14ac:dyDescent="0.25">
      <c r="A28" s="6">
        <v>57.465241330376699</v>
      </c>
      <c r="B28" s="6">
        <v>7.6887885112118797</v>
      </c>
      <c r="C28" s="5">
        <f t="shared" si="0"/>
        <v>0.50343602989834579</v>
      </c>
      <c r="D28" s="5">
        <f t="shared" si="1"/>
        <v>5.1733944553285357E-3</v>
      </c>
    </row>
    <row r="29" spans="1:7" x14ac:dyDescent="0.25">
      <c r="A29" s="6">
        <v>60.661941582615498</v>
      </c>
      <c r="B29" s="6">
        <v>7.6944227609561704</v>
      </c>
      <c r="C29" s="5">
        <f t="shared" si="0"/>
        <v>0.51846069588312105</v>
      </c>
      <c r="D29" s="5">
        <f t="shared" si="1"/>
        <v>4.7000546811521594E-3</v>
      </c>
    </row>
    <row r="30" spans="1:7" x14ac:dyDescent="0.25">
      <c r="A30" s="6">
        <v>64.188972125807396</v>
      </c>
      <c r="B30" s="6">
        <v>7.7000797803148098</v>
      </c>
      <c r="C30" s="5">
        <f t="shared" si="0"/>
        <v>0.53354608083949273</v>
      </c>
      <c r="D30" s="5">
        <f t="shared" si="1"/>
        <v>4.2770780608890569E-3</v>
      </c>
    </row>
    <row r="31" spans="1:7" x14ac:dyDescent="0.25">
      <c r="A31" s="6">
        <v>67.800924336354001</v>
      </c>
      <c r="B31" s="6">
        <v>7.7052507778967998</v>
      </c>
      <c r="C31" s="5">
        <f t="shared" si="0"/>
        <v>0.54733540772479949</v>
      </c>
      <c r="D31" s="5">
        <f t="shared" si="1"/>
        <v>3.8176936131776766E-3</v>
      </c>
    </row>
    <row r="32" spans="1:7" x14ac:dyDescent="0.25">
      <c r="A32" s="6">
        <v>71.122662975884793</v>
      </c>
      <c r="B32" s="6">
        <v>7.7095276843135698</v>
      </c>
      <c r="C32" s="5">
        <f t="shared" si="0"/>
        <v>0.55874049150285288</v>
      </c>
      <c r="D32" s="5">
        <f t="shared" si="1"/>
        <v>3.4334681369345755E-3</v>
      </c>
    </row>
    <row r="33" spans="1:4" x14ac:dyDescent="0.25">
      <c r="A33" s="6">
        <v>74.144414754232301</v>
      </c>
      <c r="B33" s="6">
        <v>7.7130905132908003</v>
      </c>
      <c r="C33" s="5">
        <f t="shared" si="0"/>
        <v>0.56824136877546749</v>
      </c>
      <c r="D33" s="5">
        <f t="shared" si="1"/>
        <v>3.1441620521889197E-3</v>
      </c>
    </row>
    <row r="34" spans="1:4" x14ac:dyDescent="0.25">
      <c r="A34" s="6">
        <v>77.196810877022699</v>
      </c>
      <c r="B34" s="6">
        <v>7.7163268498101001</v>
      </c>
      <c r="C34" s="5">
        <f t="shared" si="0"/>
        <v>0.57687159949360023</v>
      </c>
      <c r="D34" s="5">
        <f t="shared" si="1"/>
        <v>2.8273626262646633E-3</v>
      </c>
    </row>
    <row r="35" spans="1:4" x14ac:dyDescent="0.25">
      <c r="A35" s="6">
        <v>80.585211913723398</v>
      </c>
      <c r="B35" s="6">
        <v>7.7196182008839802</v>
      </c>
      <c r="C35" s="5">
        <f t="shared" si="0"/>
        <v>0.58564853569061393</v>
      </c>
      <c r="D35" s="5">
        <f t="shared" si="1"/>
        <v>2.5902884876814452E-3</v>
      </c>
    </row>
    <row r="36" spans="1:4" x14ac:dyDescent="0.25">
      <c r="A36" s="6">
        <v>84.245386659087302</v>
      </c>
      <c r="B36" s="6">
        <v>7.7228219352440997</v>
      </c>
      <c r="C36" s="5">
        <f t="shared" si="0"/>
        <v>0.59419182731759912</v>
      </c>
      <c r="D36" s="5">
        <f t="shared" si="1"/>
        <v>2.3341212432019553E-3</v>
      </c>
    </row>
    <row r="37" spans="1:4" x14ac:dyDescent="0.25">
      <c r="A37" s="6">
        <v>87.749799680410703</v>
      </c>
      <c r="B37" s="6">
        <v>7.7255455306471399</v>
      </c>
      <c r="C37" s="5">
        <f t="shared" si="0"/>
        <v>0.60145474839237301</v>
      </c>
      <c r="D37" s="5">
        <f t="shared" si="1"/>
        <v>2.0725071589966664E-3</v>
      </c>
    </row>
    <row r="38" spans="1:4" x14ac:dyDescent="0.25">
      <c r="A38" s="6">
        <v>90.863559514473494</v>
      </c>
      <c r="B38" s="6">
        <v>7.7277542774858698</v>
      </c>
      <c r="C38" s="5">
        <f t="shared" si="0"/>
        <v>0.60734473996231964</v>
      </c>
      <c r="D38" s="5">
        <f t="shared" si="1"/>
        <v>1.891601113712566E-3</v>
      </c>
    </row>
    <row r="39" spans="1:4" x14ac:dyDescent="0.25">
      <c r="A39" s="6">
        <v>93.821146453041905</v>
      </c>
      <c r="B39" s="6">
        <v>7.7296581376456999</v>
      </c>
      <c r="C39" s="5">
        <f t="shared" si="0"/>
        <v>0.61242170038853294</v>
      </c>
      <c r="D39" s="5">
        <f t="shared" si="1"/>
        <v>1.7165887365835997E-3</v>
      </c>
    </row>
    <row r="40" spans="1:4" x14ac:dyDescent="0.25">
      <c r="A40" s="6">
        <v>97.024746479895001</v>
      </c>
      <c r="B40" s="6">
        <v>7.7315363258328196</v>
      </c>
      <c r="C40" s="5">
        <f t="shared" si="0"/>
        <v>0.61743020222085221</v>
      </c>
      <c r="D40" s="5">
        <f t="shared" si="1"/>
        <v>1.563397986745284E-3</v>
      </c>
    </row>
    <row r="41" spans="1:4" x14ac:dyDescent="0.25">
      <c r="A41" s="6">
        <v>100.626019725419</v>
      </c>
      <c r="B41" s="6">
        <v>7.7334549020034897</v>
      </c>
      <c r="C41" s="5">
        <f t="shared" si="0"/>
        <v>0.62254640534263928</v>
      </c>
      <c r="D41" s="5">
        <f t="shared" si="1"/>
        <v>1.4206650739834767E-3</v>
      </c>
    </row>
    <row r="42" spans="1:4" x14ac:dyDescent="0.25">
      <c r="A42" s="6">
        <v>104.292274423802</v>
      </c>
      <c r="B42" s="6">
        <v>7.7351893499280298</v>
      </c>
      <c r="C42" s="5">
        <f t="shared" si="0"/>
        <v>0.62717159980807935</v>
      </c>
      <c r="D42" s="5">
        <f t="shared" si="1"/>
        <v>1.261558414771351E-3</v>
      </c>
    </row>
    <row r="43" spans="1:4" x14ac:dyDescent="0.25">
      <c r="A43" s="6">
        <v>107.58063346374</v>
      </c>
      <c r="B43" s="6">
        <v>7.7365916867014501</v>
      </c>
      <c r="C43" s="5">
        <f t="shared" si="0"/>
        <v>0.63091116453720042</v>
      </c>
      <c r="D43" s="5">
        <f t="shared" si="1"/>
        <v>1.1372130244000289E-3</v>
      </c>
    </row>
    <row r="44" spans="1:4" x14ac:dyDescent="0.25">
      <c r="A44" s="6">
        <v>110.529405985387</v>
      </c>
      <c r="B44" s="6">
        <v>7.7377461763108801</v>
      </c>
      <c r="C44" s="5">
        <f t="shared" si="0"/>
        <v>0.63398980349568035</v>
      </c>
      <c r="D44" s="5">
        <f t="shared" si="1"/>
        <v>1.0440408461078552E-3</v>
      </c>
    </row>
    <row r="45" spans="1:4" x14ac:dyDescent="0.25">
      <c r="A45" s="6">
        <v>113.551428651832</v>
      </c>
      <c r="B45" s="6">
        <v>7.7388110251503104</v>
      </c>
      <c r="C45" s="5">
        <f t="shared" si="0"/>
        <v>0.63682940040082769</v>
      </c>
      <c r="D45" s="5">
        <f t="shared" si="1"/>
        <v>9.3963454896509751E-4</v>
      </c>
    </row>
    <row r="46" spans="1:4" x14ac:dyDescent="0.25">
      <c r="A46" s="6">
        <v>116.99079090006001</v>
      </c>
      <c r="B46" s="6">
        <v>7.7399219706685001</v>
      </c>
      <c r="C46" s="5">
        <f t="shared" si="0"/>
        <v>0.63979192178266686</v>
      </c>
      <c r="D46" s="5">
        <f t="shared" si="1"/>
        <v>8.6135776577924762E-4</v>
      </c>
    </row>
    <row r="47" spans="1:4" x14ac:dyDescent="0.25">
      <c r="A47" s="6">
        <v>120.732748523757</v>
      </c>
      <c r="B47" s="6">
        <v>7.7410048432936396</v>
      </c>
      <c r="C47" s="5">
        <f t="shared" si="0"/>
        <v>0.64267958211637222</v>
      </c>
      <c r="D47" s="5">
        <f t="shared" si="1"/>
        <v>7.7169776467227765E-4</v>
      </c>
    </row>
    <row r="48" spans="1:4" x14ac:dyDescent="0.25">
      <c r="A48" s="6">
        <v>124.24512034693301</v>
      </c>
      <c r="B48" s="6">
        <v>7.7419075816421099</v>
      </c>
      <c r="C48" s="5">
        <f t="shared" si="0"/>
        <v>0.64508688437895978</v>
      </c>
      <c r="D48" s="5">
        <f t="shared" si="1"/>
        <v>6.8537796787436793E-4</v>
      </c>
    </row>
    <row r="49" spans="1:4" x14ac:dyDescent="0.25">
      <c r="A49" s="6">
        <v>127.291213381649</v>
      </c>
      <c r="B49" s="6">
        <v>7.7426246654251099</v>
      </c>
      <c r="C49" s="5">
        <f t="shared" si="0"/>
        <v>0.64699910780029291</v>
      </c>
      <c r="D49" s="5">
        <f t="shared" si="1"/>
        <v>6.2776264530981863E-4</v>
      </c>
    </row>
    <row r="50" spans="1:4" x14ac:dyDescent="0.25">
      <c r="A50" s="6">
        <v>130.187847405681</v>
      </c>
      <c r="B50" s="6">
        <v>7.7432438196292104</v>
      </c>
      <c r="C50" s="5">
        <f t="shared" si="0"/>
        <v>0.64865018567789434</v>
      </c>
      <c r="D50" s="5">
        <f t="shared" si="1"/>
        <v>5.6999878614392703E-4</v>
      </c>
    </row>
    <row r="51" spans="1:4" x14ac:dyDescent="0.25">
      <c r="A51" s="6">
        <v>133.404978351133</v>
      </c>
      <c r="B51" s="6">
        <v>7.7438719901823001</v>
      </c>
      <c r="C51" s="5">
        <f t="shared" si="0"/>
        <v>0.65032530715280024</v>
      </c>
      <c r="D51" s="5">
        <f t="shared" si="1"/>
        <v>5.2068799912356192E-4</v>
      </c>
    </row>
    <row r="52" spans="1:4" x14ac:dyDescent="0.25">
      <c r="A52" s="6">
        <v>137.08927063577201</v>
      </c>
      <c r="B52" s="6">
        <v>7.7445225426421</v>
      </c>
      <c r="C52" s="5">
        <f t="shared" si="0"/>
        <v>0.6520601137122668</v>
      </c>
      <c r="D52" s="5">
        <f t="shared" si="1"/>
        <v>4.7086561690545619E-4</v>
      </c>
    </row>
    <row r="53" spans="1:4" x14ac:dyDescent="0.25">
      <c r="A53" s="6">
        <v>140.808564781451</v>
      </c>
      <c r="B53" s="6">
        <v>7.7451024506046799</v>
      </c>
      <c r="C53" s="5">
        <f t="shared" si="0"/>
        <v>0.65360653494581322</v>
      </c>
      <c r="D53" s="5">
        <f t="shared" si="1"/>
        <v>4.1578352584536251E-4</v>
      </c>
    </row>
    <row r="54" spans="1:4" x14ac:dyDescent="0.25">
      <c r="A54" s="6">
        <v>144.05517395605401</v>
      </c>
      <c r="B54" s="6">
        <v>7.7455608164383598</v>
      </c>
      <c r="C54" s="5">
        <f t="shared" si="0"/>
        <v>0.65482884383562612</v>
      </c>
      <c r="D54" s="5">
        <f t="shared" si="1"/>
        <v>3.7648784441766313E-4</v>
      </c>
    </row>
    <row r="55" spans="1:4" x14ac:dyDescent="0.25">
      <c r="A55" s="6">
        <v>146.92793485551101</v>
      </c>
      <c r="B55" s="6">
        <v>7.7459345972592004</v>
      </c>
      <c r="C55" s="5">
        <f t="shared" si="0"/>
        <v>0.65582559269120111</v>
      </c>
      <c r="D55" s="5">
        <f t="shared" si="1"/>
        <v>3.469654769261833E-4</v>
      </c>
    </row>
    <row r="56" spans="1:4" x14ac:dyDescent="0.25">
      <c r="A56" s="6">
        <v>149.92361455237599</v>
      </c>
      <c r="B56" s="6">
        <v>7.7462865667809</v>
      </c>
      <c r="C56" s="5">
        <f t="shared" si="0"/>
        <v>0.65676417808239995</v>
      </c>
      <c r="D56" s="5">
        <f t="shared" si="1"/>
        <v>3.1331299944419445E-4</v>
      </c>
    </row>
    <row r="57" spans="1:4" x14ac:dyDescent="0.25">
      <c r="A57" s="6">
        <v>150.00000000000199</v>
      </c>
      <c r="B57" s="6">
        <v>7.7462954866182701</v>
      </c>
      <c r="C57" s="5">
        <f t="shared" si="0"/>
        <v>0.65678796431538677</v>
      </c>
      <c r="D57" s="5">
        <f t="shared" si="1"/>
        <v>3.1139744186990063E-4</v>
      </c>
    </row>
    <row r="58" spans="1:4" x14ac:dyDescent="0.25">
      <c r="A58" s="6">
        <v>153.49690342158101</v>
      </c>
      <c r="B58" s="6">
        <v>7.7466699459668398</v>
      </c>
      <c r="C58" s="5">
        <f t="shared" si="0"/>
        <v>0.65778652257823944</v>
      </c>
      <c r="D58" s="5">
        <f t="shared" si="1"/>
        <v>2.8555500180264332E-4</v>
      </c>
    </row>
    <row r="59" spans="1:4" x14ac:dyDescent="0.25">
      <c r="A59" s="6">
        <v>156.993806843161</v>
      </c>
      <c r="B59" s="6">
        <v>7.7470042022770498</v>
      </c>
      <c r="C59" s="5">
        <f t="shared" si="0"/>
        <v>0.65867787273879941</v>
      </c>
      <c r="D59" s="5">
        <f t="shared" si="1"/>
        <v>2.5489699116632545E-4</v>
      </c>
    </row>
    <row r="60" spans="1:4" x14ac:dyDescent="0.25">
      <c r="A60" s="6">
        <v>160.632938305229</v>
      </c>
      <c r="B60" s="6">
        <v>7.7473142808718398</v>
      </c>
      <c r="C60" s="5">
        <f t="shared" si="0"/>
        <v>0.65950474899157285</v>
      </c>
      <c r="D60" s="5">
        <f t="shared" si="1"/>
        <v>2.2721802204517136E-4</v>
      </c>
    </row>
    <row r="61" spans="1:4" x14ac:dyDescent="0.25">
      <c r="A61" s="6">
        <v>164.00595752620501</v>
      </c>
      <c r="B61" s="6">
        <v>7.7475761621633801</v>
      </c>
      <c r="C61" s="5">
        <f t="shared" si="0"/>
        <v>0.66020309910234687</v>
      </c>
      <c r="D61" s="5">
        <f t="shared" si="1"/>
        <v>2.0704006263324619E-4</v>
      </c>
    </row>
    <row r="62" spans="1:4" x14ac:dyDescent="0.25">
      <c r="A62" s="6">
        <v>167.04174362009201</v>
      </c>
      <c r="B62" s="6">
        <v>7.7477912787811798</v>
      </c>
      <c r="C62" s="5">
        <f t="shared" si="0"/>
        <v>0.66077674341647941</v>
      </c>
      <c r="D62" s="5">
        <f t="shared" si="1"/>
        <v>1.8896071606878194E-4</v>
      </c>
    </row>
    <row r="63" spans="1:4" x14ac:dyDescent="0.25">
      <c r="A63" s="6">
        <v>170.05708119363001</v>
      </c>
      <c r="B63" s="6">
        <v>7.7479843811388402</v>
      </c>
      <c r="C63" s="5">
        <f t="shared" si="0"/>
        <v>0.66129168303690733</v>
      </c>
      <c r="D63" s="5">
        <f t="shared" si="1"/>
        <v>1.7077345665935702E-4</v>
      </c>
    </row>
    <row r="64" spans="1:4" x14ac:dyDescent="0.25">
      <c r="A64" s="6">
        <v>173.39585820083099</v>
      </c>
      <c r="B64" s="6">
        <v>7.7481795170035603</v>
      </c>
      <c r="C64" s="5">
        <f t="shared" si="0"/>
        <v>0.66181204534282756</v>
      </c>
      <c r="D64" s="5">
        <f t="shared" si="1"/>
        <v>1.5585416600088242E-4</v>
      </c>
    </row>
    <row r="65" spans="1:4" x14ac:dyDescent="0.25">
      <c r="A65" s="6">
        <v>177.05485121639299</v>
      </c>
      <c r="B65" s="6">
        <v>7.7483705550221504</v>
      </c>
      <c r="C65" s="5">
        <f t="shared" si="0"/>
        <v>0.66232148005906788</v>
      </c>
      <c r="D65" s="5">
        <f t="shared" si="1"/>
        <v>1.3922811934148318E-4</v>
      </c>
    </row>
    <row r="66" spans="1:4" x14ac:dyDescent="0.25">
      <c r="A66" s="6">
        <v>180.61321057350099</v>
      </c>
      <c r="B66" s="6">
        <v>7.7485352433731398</v>
      </c>
      <c r="C66" s="5">
        <f t="shared" si="0"/>
        <v>0.6627606489950395</v>
      </c>
      <c r="D66" s="5">
        <f t="shared" si="1"/>
        <v>1.2341893886978029E-4</v>
      </c>
    </row>
    <row r="67" spans="1:4" x14ac:dyDescent="0.25">
      <c r="A67" s="6">
        <v>183.76747853195999</v>
      </c>
      <c r="B67" s="6">
        <v>7.7486693593998197</v>
      </c>
      <c r="C67" s="5">
        <f t="shared" si="0"/>
        <v>0.66311829173285253</v>
      </c>
      <c r="D67" s="5">
        <f t="shared" si="1"/>
        <v>1.1338375259270884E-4</v>
      </c>
    </row>
    <row r="68" spans="1:4" x14ac:dyDescent="0.25">
      <c r="A68" s="6">
        <v>186.708705073376</v>
      </c>
      <c r="B68" s="6">
        <v>7.7487842233409898</v>
      </c>
      <c r="C68" s="5">
        <f t="shared" si="0"/>
        <v>0.66342459557597289</v>
      </c>
      <c r="D68" s="5">
        <f t="shared" si="1"/>
        <v>1.0414153374697028E-4</v>
      </c>
    </row>
    <row r="69" spans="1:4" x14ac:dyDescent="0.25">
      <c r="A69" s="6">
        <v>189.85613047585801</v>
      </c>
      <c r="B69" s="6">
        <v>7.7488962358597</v>
      </c>
      <c r="C69" s="5">
        <f t="shared" si="0"/>
        <v>0.66372329562586663</v>
      </c>
      <c r="D69" s="5">
        <f t="shared" si="1"/>
        <v>9.4902979958854739E-5</v>
      </c>
    </row>
    <row r="70" spans="1:4" x14ac:dyDescent="0.25">
      <c r="A70" s="6">
        <v>193.42313826868499</v>
      </c>
      <c r="B70" s="6">
        <v>7.7490096127782397</v>
      </c>
      <c r="C70" s="5">
        <f t="shared" ref="C70:C72" si="3">(B70-$B$5)/($B$5*0.05)</f>
        <v>0.66402563407530601</v>
      </c>
      <c r="D70" s="5">
        <f t="shared" si="1"/>
        <v>8.475968290491829E-5</v>
      </c>
    </row>
    <row r="71" spans="1:4" x14ac:dyDescent="0.25">
      <c r="A71" s="6">
        <v>197.12682516544601</v>
      </c>
      <c r="B71" s="6">
        <v>7.7491130037738696</v>
      </c>
      <c r="C71" s="5">
        <f t="shared" si="3"/>
        <v>0.66430134339698554</v>
      </c>
      <c r="D71" s="5">
        <f t="shared" ref="D71:D72" si="4">(C71-C70)/(A71-A70)</f>
        <v>7.4441854661268854E-5</v>
      </c>
    </row>
    <row r="72" spans="1:4" x14ac:dyDescent="0.25">
      <c r="A72" s="6">
        <v>200</v>
      </c>
      <c r="B72" s="6">
        <v>7.7491869599333398</v>
      </c>
      <c r="C72" s="5">
        <f t="shared" si="3"/>
        <v>0.6644985598222396</v>
      </c>
      <c r="D72" s="5">
        <f t="shared" si="4"/>
        <v>6.864059328456024E-5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Вар18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Hitori Uchujin</dc:creator>
  <cp:lastModifiedBy>андрей леготин</cp:lastModifiedBy>
  <dcterms:created xsi:type="dcterms:W3CDTF">2023-11-28T09:08:30Z</dcterms:created>
  <dcterms:modified xsi:type="dcterms:W3CDTF">2026-03-30T23:38:06Z</dcterms:modified>
</cp:coreProperties>
</file>