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"/>
    </mc:Choice>
  </mc:AlternateContent>
  <xr:revisionPtr revIDLastSave="0" documentId="13_ncr:1_{4B1509CB-F73C-4182-909E-3171788E837E}" xr6:coauthVersionLast="47" xr6:coauthVersionMax="47" xr10:uidLastSave="{00000000-0000-0000-0000-000000000000}"/>
  <bookViews>
    <workbookView xWindow="-120" yWindow="480" windowWidth="29040" windowHeight="15840" activeTab="1" xr2:uid="{44C40582-5B58-467A-A4C7-0E7DC4641293}"/>
  </bookViews>
  <sheets>
    <sheet name="Данные" sheetId="1" r:id="rId1"/>
    <sheet name="Задание 1" sheetId="2" r:id="rId2"/>
    <sheet name="Задание 2" sheetId="3" r:id="rId3"/>
  </sheets>
  <definedNames>
    <definedName name="_xlnm.Print_Area" localSheetId="0">Данные!$AB$17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H44" i="1"/>
  <c r="B32" i="2"/>
  <c r="B23" i="2"/>
  <c r="B17" i="3"/>
  <c r="B7" i="3"/>
  <c r="B12" i="3"/>
  <c r="B4" i="3"/>
  <c r="B2" i="2"/>
  <c r="B7" i="2" s="1"/>
  <c r="I44" i="1"/>
  <c r="G44" i="1"/>
  <c r="B34" i="2" l="1"/>
</calcChain>
</file>

<file path=xl/sharedStrings.xml><?xml version="1.0" encoding="utf-8"?>
<sst xmlns="http://schemas.openxmlformats.org/spreadsheetml/2006/main" count="47" uniqueCount="45">
  <si>
    <r>
      <t xml:space="preserve">t, </t>
    </r>
    <r>
      <rPr>
        <sz val="11"/>
        <color theme="1"/>
        <rFont val="Aptos Narrow"/>
        <family val="2"/>
      </rPr>
      <t>°C</t>
    </r>
  </si>
  <si>
    <t>τ, мин</t>
  </si>
  <si>
    <t>режим</t>
  </si>
  <si>
    <t>добавление соли</t>
  </si>
  <si>
    <t>m ст, г</t>
  </si>
  <si>
    <t>m меш, г</t>
  </si>
  <si>
    <t>масса мешалки</t>
  </si>
  <si>
    <t>V термометра, мл</t>
  </si>
  <si>
    <t>m воды, г</t>
  </si>
  <si>
    <t>m навески, г</t>
  </si>
  <si>
    <t>Интегральная теплота растворения</t>
  </si>
  <si>
    <t>Ск</t>
  </si>
  <si>
    <t>г</t>
  </si>
  <si>
    <t>ΔT1</t>
  </si>
  <si>
    <t>ΔT2</t>
  </si>
  <si>
    <t>ΔT3</t>
  </si>
  <si>
    <t>2,67-1,93</t>
  </si>
  <si>
    <t>2,02-1,,08</t>
  </si>
  <si>
    <r>
      <t>Δ</t>
    </r>
    <r>
      <rPr>
        <sz val="11"/>
        <color theme="1"/>
        <rFont val="Aptos Narrow"/>
        <family val="2"/>
        <charset val="204"/>
      </rPr>
      <t>H</t>
    </r>
    <r>
      <rPr>
        <sz val="11"/>
        <color theme="1"/>
        <rFont val="Aptos Narrow"/>
        <family val="2"/>
      </rPr>
      <t xml:space="preserve"> = Cк*ΔT2*M/g</t>
    </r>
  </si>
  <si>
    <t>ΔH</t>
  </si>
  <si>
    <t>M соли, г/моль</t>
  </si>
  <si>
    <t>кДж/моль</t>
  </si>
  <si>
    <t>Дж/К</t>
  </si>
  <si>
    <t>Ск = mст*Cст+mмеш*Cмеш+Vтерм*Cтерм+mвод*Cвод</t>
  </si>
  <si>
    <t>mмеш</t>
  </si>
  <si>
    <t>1) Для чистой воды</t>
  </si>
  <si>
    <t>Ск.в</t>
  </si>
  <si>
    <t>Напряжение, В</t>
  </si>
  <si>
    <t>Сила тока, А</t>
  </si>
  <si>
    <t>2) Для расствора</t>
  </si>
  <si>
    <r>
      <t>Cк.в = I*U*t/</t>
    </r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T1</t>
    </r>
  </si>
  <si>
    <r>
      <t>Cк.ж = I*U*t/</t>
    </r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T3</t>
    </r>
  </si>
  <si>
    <t>Ск.ж</t>
  </si>
  <si>
    <t>Cв = Cк.в - cp*g(h2o)</t>
  </si>
  <si>
    <t>Дж/к</t>
  </si>
  <si>
    <t xml:space="preserve">Cв  </t>
  </si>
  <si>
    <t>3) изобарная теплоёмкость</t>
  </si>
  <si>
    <t>c p.ж = (Cк.ж-Cв)/gж</t>
  </si>
  <si>
    <t xml:space="preserve">c p.ж  </t>
  </si>
  <si>
    <t>Дж/(К*г)</t>
  </si>
  <si>
    <t>Погрешность</t>
  </si>
  <si>
    <r>
      <t>Δ</t>
    </r>
    <r>
      <rPr>
        <sz val="11"/>
        <color theme="1"/>
        <rFont val="Aptos Narrow"/>
        <family val="2"/>
        <charset val="204"/>
      </rPr>
      <t>(ΔH)/ΔH</t>
    </r>
  </si>
  <si>
    <t>ΔС/С</t>
  </si>
  <si>
    <t>Δ(ΔH)</t>
  </si>
  <si>
    <t>2,73-1,4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</si>
</sst>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080927384076991E-2"/>
          <c:y val="5.799236459078979E-2"/>
          <c:w val="0.8964746281714786"/>
          <c:h val="0.807038892865664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Данные!$B$2:$B$70</c:f>
              <c:numCache>
                <c:formatCode>General</c:formatCode>
                <c:ptCount val="6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</c:numCache>
            </c:numRef>
          </c:cat>
          <c:val>
            <c:numRef>
              <c:f>Данные!$C$2:$C$70</c:f>
              <c:numCache>
                <c:formatCode>General</c:formatCode>
                <c:ptCount val="69"/>
                <c:pt idx="0">
                  <c:v>1.82</c:v>
                </c:pt>
                <c:pt idx="1">
                  <c:v>1.83</c:v>
                </c:pt>
                <c:pt idx="2">
                  <c:v>1.84</c:v>
                </c:pt>
                <c:pt idx="3">
                  <c:v>1.84</c:v>
                </c:pt>
                <c:pt idx="4">
                  <c:v>1.85</c:v>
                </c:pt>
                <c:pt idx="5">
                  <c:v>1.85</c:v>
                </c:pt>
                <c:pt idx="6">
                  <c:v>1.86</c:v>
                </c:pt>
                <c:pt idx="7">
                  <c:v>1.86</c:v>
                </c:pt>
                <c:pt idx="8">
                  <c:v>1.86</c:v>
                </c:pt>
                <c:pt idx="9">
                  <c:v>1.87</c:v>
                </c:pt>
                <c:pt idx="10">
                  <c:v>1.87</c:v>
                </c:pt>
                <c:pt idx="11">
                  <c:v>1.87</c:v>
                </c:pt>
                <c:pt idx="12">
                  <c:v>1.92</c:v>
                </c:pt>
                <c:pt idx="13">
                  <c:v>1.99</c:v>
                </c:pt>
                <c:pt idx="14">
                  <c:v>2.12</c:v>
                </c:pt>
                <c:pt idx="15">
                  <c:v>2.1800000000000002</c:v>
                </c:pt>
                <c:pt idx="16">
                  <c:v>2.2400000000000002</c:v>
                </c:pt>
                <c:pt idx="17">
                  <c:v>2.35</c:v>
                </c:pt>
                <c:pt idx="18">
                  <c:v>2.41</c:v>
                </c:pt>
                <c:pt idx="19">
                  <c:v>2.5</c:v>
                </c:pt>
                <c:pt idx="20">
                  <c:v>2.58</c:v>
                </c:pt>
                <c:pt idx="21">
                  <c:v>2.67</c:v>
                </c:pt>
                <c:pt idx="22">
                  <c:v>2.69</c:v>
                </c:pt>
                <c:pt idx="23">
                  <c:v>2.72</c:v>
                </c:pt>
                <c:pt idx="24">
                  <c:v>2.72</c:v>
                </c:pt>
                <c:pt idx="25">
                  <c:v>2.73</c:v>
                </c:pt>
                <c:pt idx="26">
                  <c:v>2.73</c:v>
                </c:pt>
                <c:pt idx="27">
                  <c:v>2.73</c:v>
                </c:pt>
                <c:pt idx="28">
                  <c:v>2.73</c:v>
                </c:pt>
                <c:pt idx="29">
                  <c:v>2.73</c:v>
                </c:pt>
                <c:pt idx="30">
                  <c:v>2.73</c:v>
                </c:pt>
                <c:pt idx="31">
                  <c:v>2.73</c:v>
                </c:pt>
                <c:pt idx="32">
                  <c:v>2.73</c:v>
                </c:pt>
                <c:pt idx="33">
                  <c:v>2.73</c:v>
                </c:pt>
                <c:pt idx="34">
                  <c:v>2.2000000000000002</c:v>
                </c:pt>
                <c:pt idx="35">
                  <c:v>1.91</c:v>
                </c:pt>
                <c:pt idx="36">
                  <c:v>1.69</c:v>
                </c:pt>
                <c:pt idx="37">
                  <c:v>1.53</c:v>
                </c:pt>
                <c:pt idx="38">
                  <c:v>1.45</c:v>
                </c:pt>
                <c:pt idx="39">
                  <c:v>1.38</c:v>
                </c:pt>
                <c:pt idx="40">
                  <c:v>1.34</c:v>
                </c:pt>
                <c:pt idx="41">
                  <c:v>1.32</c:v>
                </c:pt>
                <c:pt idx="42">
                  <c:v>1.29</c:v>
                </c:pt>
                <c:pt idx="43">
                  <c:v>1.27</c:v>
                </c:pt>
                <c:pt idx="44">
                  <c:v>1.25</c:v>
                </c:pt>
                <c:pt idx="45">
                  <c:v>1.24</c:v>
                </c:pt>
                <c:pt idx="46">
                  <c:v>1.26</c:v>
                </c:pt>
                <c:pt idx="47">
                  <c:v>1.31</c:v>
                </c:pt>
                <c:pt idx="48">
                  <c:v>1.39</c:v>
                </c:pt>
                <c:pt idx="49">
                  <c:v>1.46</c:v>
                </c:pt>
                <c:pt idx="50">
                  <c:v>1.56</c:v>
                </c:pt>
                <c:pt idx="51">
                  <c:v>1.63</c:v>
                </c:pt>
                <c:pt idx="52">
                  <c:v>1.71</c:v>
                </c:pt>
                <c:pt idx="53">
                  <c:v>1.78</c:v>
                </c:pt>
                <c:pt idx="54">
                  <c:v>1.86</c:v>
                </c:pt>
                <c:pt idx="55">
                  <c:v>1.92</c:v>
                </c:pt>
                <c:pt idx="56">
                  <c:v>2.0299999999999998</c:v>
                </c:pt>
                <c:pt idx="57">
                  <c:v>2.04</c:v>
                </c:pt>
                <c:pt idx="58">
                  <c:v>2.0299999999999998</c:v>
                </c:pt>
                <c:pt idx="59">
                  <c:v>2.0299999999999998</c:v>
                </c:pt>
                <c:pt idx="60">
                  <c:v>2.04</c:v>
                </c:pt>
                <c:pt idx="61">
                  <c:v>2.04</c:v>
                </c:pt>
                <c:pt idx="62">
                  <c:v>2.04</c:v>
                </c:pt>
                <c:pt idx="63">
                  <c:v>2.0499999999999998</c:v>
                </c:pt>
                <c:pt idx="64">
                  <c:v>2.0499999999999998</c:v>
                </c:pt>
                <c:pt idx="65">
                  <c:v>2.0499999999999998</c:v>
                </c:pt>
                <c:pt idx="66">
                  <c:v>2.06</c:v>
                </c:pt>
                <c:pt idx="67">
                  <c:v>2.06</c:v>
                </c:pt>
                <c:pt idx="68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7-4CE3-9C30-DFF3FE03C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331616"/>
        <c:axId val="137676256"/>
      </c:lineChart>
      <c:catAx>
        <c:axId val="180033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676256"/>
        <c:crosses val="autoZero"/>
        <c:auto val="1"/>
        <c:lblAlgn val="ctr"/>
        <c:lblOffset val="100"/>
        <c:noMultiLvlLbl val="0"/>
      </c:catAx>
      <c:valAx>
        <c:axId val="13767625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033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20778</xdr:colOff>
      <xdr:row>0</xdr:row>
      <xdr:rowOff>190501</xdr:rowOff>
    </xdr:from>
    <xdr:to>
      <xdr:col>22</xdr:col>
      <xdr:colOff>350641</xdr:colOff>
      <xdr:row>34</xdr:row>
      <xdr:rowOff>72274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3932B9-B9BB-620A-32A5-A3C916EC6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192741</xdr:colOff>
      <xdr:row>40</xdr:row>
      <xdr:rowOff>159123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D603D6-80D8-67F4-208F-CB38D7F2859C}"/>
            </a:ext>
          </a:extLst>
        </xdr:cNvPr>
        <xdr:cNvSpPr txBox="1"/>
      </xdr:nvSpPr>
      <xdr:spPr>
        <a:xfrm>
          <a:off x="8059270" y="80928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 kern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161925</xdr:rowOff>
    </xdr:from>
    <xdr:to>
      <xdr:col>4</xdr:col>
      <xdr:colOff>409973</xdr:colOff>
      <xdr:row>29</xdr:row>
      <xdr:rowOff>152505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E5DA336-8827-0DFC-25C0-CC2EB47B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24425"/>
          <a:ext cx="2848373" cy="752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76200</xdr:rowOff>
    </xdr:from>
    <xdr:to>
      <xdr:col>4</xdr:col>
      <xdr:colOff>276604</xdr:colOff>
      <xdr:row>20</xdr:row>
      <xdr:rowOff>142964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EBCC01C-700C-FD0E-A5DF-D7BAEBA4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4700"/>
          <a:ext cx="2715004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76C3-B73F-42D2-82F1-69390761EF9A}">
  <dimension ref="A1:J71"/>
  <sheetViews>
    <sheetView topLeftCell="A24" zoomScale="115" zoomScaleNormal="115" workbookViewId="0">
      <selection activeCell="I52" sqref="I52"/>
    </sheetView>
  </sheetViews>
  <sheetFormatPr defaultRowHeight="15" x14ac:dyDescent="0.25"/>
  <cols>
    <col min="9" max="9" width="10" bestFit="1" customWidth="1"/>
    <col min="11" max="12" width="8.85546875" bestFit="1" customWidth="1"/>
    <col min="13" max="13" width="9.42578125" bestFit="1" customWidth="1"/>
  </cols>
  <sheetData>
    <row r="1" spans="1:3" ht="16.5" thickTop="1" thickBot="1" x14ac:dyDescent="0.3">
      <c r="A1" s="5" t="s">
        <v>2</v>
      </c>
      <c r="B1" s="4" t="s">
        <v>1</v>
      </c>
      <c r="C1" s="1" t="s">
        <v>0</v>
      </c>
    </row>
    <row r="2" spans="1:3" ht="15.75" thickTop="1" x14ac:dyDescent="0.25">
      <c r="A2" s="30"/>
      <c r="B2" s="2">
        <v>0.5</v>
      </c>
      <c r="C2" s="2">
        <v>1.82</v>
      </c>
    </row>
    <row r="3" spans="1:3" x14ac:dyDescent="0.25">
      <c r="A3" s="31"/>
      <c r="B3" s="2">
        <v>1</v>
      </c>
      <c r="C3" s="2">
        <v>1.83</v>
      </c>
    </row>
    <row r="4" spans="1:3" x14ac:dyDescent="0.25">
      <c r="A4" s="31"/>
      <c r="B4" s="2">
        <v>1.5</v>
      </c>
      <c r="C4" s="2">
        <v>1.84</v>
      </c>
    </row>
    <row r="5" spans="1:3" x14ac:dyDescent="0.25">
      <c r="A5" s="31"/>
      <c r="B5" s="2">
        <v>2</v>
      </c>
      <c r="C5" s="2">
        <v>1.84</v>
      </c>
    </row>
    <row r="6" spans="1:3" x14ac:dyDescent="0.25">
      <c r="A6" s="31"/>
      <c r="B6" s="2">
        <v>2.5</v>
      </c>
      <c r="C6" s="2">
        <v>1.85</v>
      </c>
    </row>
    <row r="7" spans="1:3" x14ac:dyDescent="0.25">
      <c r="A7" s="31"/>
      <c r="B7" s="2">
        <v>3</v>
      </c>
      <c r="C7" s="2">
        <v>1.85</v>
      </c>
    </row>
    <row r="8" spans="1:3" x14ac:dyDescent="0.25">
      <c r="A8" s="31"/>
      <c r="B8" s="2">
        <v>3.5</v>
      </c>
      <c r="C8" s="2">
        <v>1.86</v>
      </c>
    </row>
    <row r="9" spans="1:3" x14ac:dyDescent="0.25">
      <c r="A9" s="31"/>
      <c r="B9" s="2">
        <v>4</v>
      </c>
      <c r="C9" s="2">
        <v>1.86</v>
      </c>
    </row>
    <row r="10" spans="1:3" x14ac:dyDescent="0.25">
      <c r="A10" s="31"/>
      <c r="B10" s="2">
        <v>4.5</v>
      </c>
      <c r="C10" s="2">
        <v>1.86</v>
      </c>
    </row>
    <row r="11" spans="1:3" x14ac:dyDescent="0.25">
      <c r="A11" s="31"/>
      <c r="B11" s="2">
        <v>5</v>
      </c>
      <c r="C11" s="2">
        <v>1.87</v>
      </c>
    </row>
    <row r="12" spans="1:3" x14ac:dyDescent="0.25">
      <c r="A12" s="31"/>
      <c r="B12" s="2">
        <v>5.5</v>
      </c>
      <c r="C12" s="2">
        <v>1.87</v>
      </c>
    </row>
    <row r="13" spans="1:3" ht="15.75" thickBot="1" x14ac:dyDescent="0.3">
      <c r="A13" s="32"/>
      <c r="B13" s="3">
        <v>6</v>
      </c>
      <c r="C13" s="3">
        <v>1.87</v>
      </c>
    </row>
    <row r="14" spans="1:3" ht="15.75" thickTop="1" x14ac:dyDescent="0.25">
      <c r="A14" s="30"/>
      <c r="B14" s="2">
        <v>6.5</v>
      </c>
      <c r="C14" s="2">
        <v>1.92</v>
      </c>
    </row>
    <row r="15" spans="1:3" x14ac:dyDescent="0.25">
      <c r="A15" s="31"/>
      <c r="B15" s="2">
        <v>7</v>
      </c>
      <c r="C15" s="2">
        <v>1.99</v>
      </c>
    </row>
    <row r="16" spans="1:3" x14ac:dyDescent="0.25">
      <c r="A16" s="31"/>
      <c r="B16" s="2">
        <v>7.5</v>
      </c>
      <c r="C16" s="2">
        <v>2.12</v>
      </c>
    </row>
    <row r="17" spans="1:3" x14ac:dyDescent="0.25">
      <c r="A17" s="31"/>
      <c r="B17" s="2">
        <v>8</v>
      </c>
      <c r="C17" s="2">
        <v>2.1800000000000002</v>
      </c>
    </row>
    <row r="18" spans="1:3" x14ac:dyDescent="0.25">
      <c r="A18" s="31"/>
      <c r="B18" s="2">
        <v>8.5</v>
      </c>
      <c r="C18" s="2">
        <v>2.2400000000000002</v>
      </c>
    </row>
    <row r="19" spans="1:3" x14ac:dyDescent="0.25">
      <c r="A19" s="31"/>
      <c r="B19" s="2">
        <v>9</v>
      </c>
      <c r="C19" s="2">
        <v>2.35</v>
      </c>
    </row>
    <row r="20" spans="1:3" x14ac:dyDescent="0.25">
      <c r="A20" s="31"/>
      <c r="B20" s="2">
        <v>9.5</v>
      </c>
      <c r="C20" s="2">
        <v>2.41</v>
      </c>
    </row>
    <row r="21" spans="1:3" x14ac:dyDescent="0.25">
      <c r="A21" s="31"/>
      <c r="B21" s="2">
        <v>10</v>
      </c>
      <c r="C21" s="2">
        <v>2.5</v>
      </c>
    </row>
    <row r="22" spans="1:3" x14ac:dyDescent="0.25">
      <c r="A22" s="31"/>
      <c r="B22" s="2">
        <v>10.5</v>
      </c>
      <c r="C22" s="2">
        <v>2.58</v>
      </c>
    </row>
    <row r="23" spans="1:3" ht="15.75" thickBot="1" x14ac:dyDescent="0.3">
      <c r="A23" s="32"/>
      <c r="B23" s="3">
        <v>11</v>
      </c>
      <c r="C23" s="3">
        <v>2.67</v>
      </c>
    </row>
    <row r="24" spans="1:3" ht="15.75" thickTop="1" x14ac:dyDescent="0.25">
      <c r="A24" s="21"/>
      <c r="B24" s="2">
        <v>11.5</v>
      </c>
      <c r="C24" s="2">
        <v>2.69</v>
      </c>
    </row>
    <row r="25" spans="1:3" x14ac:dyDescent="0.25">
      <c r="A25" s="22"/>
      <c r="B25" s="2">
        <v>12</v>
      </c>
      <c r="C25" s="2">
        <v>2.72</v>
      </c>
    </row>
    <row r="26" spans="1:3" x14ac:dyDescent="0.25">
      <c r="A26" s="22"/>
      <c r="B26" s="2">
        <v>12.5</v>
      </c>
      <c r="C26" s="2">
        <v>2.72</v>
      </c>
    </row>
    <row r="27" spans="1:3" x14ac:dyDescent="0.25">
      <c r="A27" s="22"/>
      <c r="B27" s="2">
        <v>13</v>
      </c>
      <c r="C27" s="2">
        <v>2.73</v>
      </c>
    </row>
    <row r="28" spans="1:3" x14ac:dyDescent="0.25">
      <c r="A28" s="22"/>
      <c r="B28" s="2">
        <v>13.5</v>
      </c>
      <c r="C28" s="2">
        <v>2.73</v>
      </c>
    </row>
    <row r="29" spans="1:3" x14ac:dyDescent="0.25">
      <c r="A29" s="22"/>
      <c r="B29" s="2">
        <v>14</v>
      </c>
      <c r="C29" s="2">
        <v>2.73</v>
      </c>
    </row>
    <row r="30" spans="1:3" x14ac:dyDescent="0.25">
      <c r="A30" s="22"/>
      <c r="B30" s="2">
        <v>14.5</v>
      </c>
      <c r="C30" s="2">
        <v>2.73</v>
      </c>
    </row>
    <row r="31" spans="1:3" x14ac:dyDescent="0.25">
      <c r="A31" s="22"/>
      <c r="B31" s="2">
        <v>15</v>
      </c>
      <c r="C31" s="2">
        <v>2.73</v>
      </c>
    </row>
    <row r="32" spans="1:3" x14ac:dyDescent="0.25">
      <c r="A32" s="22"/>
      <c r="B32" s="2">
        <v>15.5</v>
      </c>
      <c r="C32" s="2">
        <v>2.73</v>
      </c>
    </row>
    <row r="33" spans="1:10" x14ac:dyDescent="0.25">
      <c r="A33" s="22"/>
      <c r="B33" s="2">
        <v>16</v>
      </c>
      <c r="C33" s="2">
        <v>2.73</v>
      </c>
    </row>
    <row r="34" spans="1:10" ht="15.75" thickBot="1" x14ac:dyDescent="0.3">
      <c r="A34" s="22"/>
      <c r="B34" s="2">
        <v>16.5</v>
      </c>
      <c r="C34" s="2">
        <v>2.73</v>
      </c>
    </row>
    <row r="35" spans="1:10" ht="15.75" customHeight="1" thickTop="1" thickBot="1" x14ac:dyDescent="0.3">
      <c r="A35" s="23"/>
      <c r="B35" s="3">
        <v>17</v>
      </c>
      <c r="C35" s="3">
        <v>2.73</v>
      </c>
      <c r="D35" s="24" t="s">
        <v>3</v>
      </c>
      <c r="E35" s="25"/>
      <c r="F35" s="26"/>
    </row>
    <row r="36" spans="1:10" ht="15.75" customHeight="1" thickTop="1" thickBot="1" x14ac:dyDescent="0.3">
      <c r="A36" s="21"/>
      <c r="B36" s="2">
        <v>17.5</v>
      </c>
      <c r="C36" s="2">
        <v>2.2000000000000002</v>
      </c>
      <c r="D36" s="27"/>
      <c r="E36" s="28"/>
      <c r="F36" s="29"/>
    </row>
    <row r="37" spans="1:10" ht="15.75" thickTop="1" x14ac:dyDescent="0.25">
      <c r="A37" s="22"/>
      <c r="B37" s="2">
        <v>18</v>
      </c>
      <c r="C37" s="2">
        <v>1.91</v>
      </c>
    </row>
    <row r="38" spans="1:10" x14ac:dyDescent="0.25">
      <c r="A38" s="22"/>
      <c r="B38" s="2">
        <v>18.5</v>
      </c>
      <c r="C38" s="2">
        <v>1.69</v>
      </c>
    </row>
    <row r="39" spans="1:10" x14ac:dyDescent="0.25">
      <c r="A39" s="22"/>
      <c r="B39" s="2">
        <v>19</v>
      </c>
      <c r="C39" s="2">
        <v>1.53</v>
      </c>
    </row>
    <row r="40" spans="1:10" x14ac:dyDescent="0.25">
      <c r="A40" s="22"/>
      <c r="B40" s="2">
        <v>19.5</v>
      </c>
      <c r="C40" s="2">
        <v>1.45</v>
      </c>
    </row>
    <row r="41" spans="1:10" ht="15.75" thickBot="1" x14ac:dyDescent="0.3">
      <c r="A41" s="22"/>
      <c r="B41" s="2">
        <v>20</v>
      </c>
      <c r="C41" s="2">
        <v>1.38</v>
      </c>
    </row>
    <row r="42" spans="1:10" ht="15.75" thickBot="1" x14ac:dyDescent="0.3">
      <c r="A42" s="22"/>
      <c r="B42" s="2">
        <v>20.5</v>
      </c>
      <c r="C42" s="2">
        <v>1.34</v>
      </c>
      <c r="G42" s="11" t="s">
        <v>13</v>
      </c>
      <c r="H42" s="13" t="s">
        <v>14</v>
      </c>
      <c r="I42" s="12" t="s">
        <v>15</v>
      </c>
    </row>
    <row r="43" spans="1:10" ht="15.75" thickBot="1" x14ac:dyDescent="0.3">
      <c r="A43" s="22"/>
      <c r="B43" s="2">
        <v>21</v>
      </c>
      <c r="C43" s="2">
        <v>1.32</v>
      </c>
      <c r="G43" s="11" t="s">
        <v>16</v>
      </c>
      <c r="H43" s="13" t="s">
        <v>44</v>
      </c>
      <c r="I43" s="13" t="s">
        <v>17</v>
      </c>
      <c r="J43" s="7"/>
    </row>
    <row r="44" spans="1:10" ht="15.75" thickBot="1" x14ac:dyDescent="0.3">
      <c r="A44" s="22"/>
      <c r="B44" s="2">
        <v>21.5</v>
      </c>
      <c r="C44" s="2">
        <v>1.29</v>
      </c>
      <c r="G44" s="9">
        <f>2.67-1.93</f>
        <v>0.74</v>
      </c>
      <c r="H44" s="14">
        <f>2.73-1.4</f>
        <v>1.33</v>
      </c>
      <c r="I44" s="10">
        <f>2.02-1.08</f>
        <v>0.94</v>
      </c>
    </row>
    <row r="45" spans="1:10" x14ac:dyDescent="0.25">
      <c r="A45" s="22"/>
      <c r="B45" s="2">
        <v>22</v>
      </c>
      <c r="C45" s="2">
        <v>1.27</v>
      </c>
    </row>
    <row r="46" spans="1:10" x14ac:dyDescent="0.25">
      <c r="A46" s="22"/>
      <c r="B46" s="2">
        <v>22.5</v>
      </c>
      <c r="C46" s="2">
        <v>1.25</v>
      </c>
    </row>
    <row r="47" spans="1:10" ht="15.75" thickBot="1" x14ac:dyDescent="0.3">
      <c r="A47" s="23"/>
      <c r="B47" s="3">
        <v>23</v>
      </c>
      <c r="C47" s="3">
        <v>1.24</v>
      </c>
    </row>
    <row r="48" spans="1:10" ht="16.5" thickTop="1" thickBot="1" x14ac:dyDescent="0.3">
      <c r="A48" s="21"/>
      <c r="B48" s="2">
        <v>23.5</v>
      </c>
      <c r="C48" s="2">
        <v>1.26</v>
      </c>
      <c r="G48" s="15" t="s">
        <v>4</v>
      </c>
      <c r="H48" s="16"/>
      <c r="I48" s="13">
        <v>63</v>
      </c>
    </row>
    <row r="49" spans="1:9" ht="15.75" thickBot="1" x14ac:dyDescent="0.3">
      <c r="A49" s="22"/>
      <c r="B49" s="2">
        <v>24</v>
      </c>
      <c r="C49" s="2">
        <v>1.31</v>
      </c>
      <c r="G49" s="20" t="s">
        <v>5</v>
      </c>
      <c r="H49" s="19"/>
      <c r="I49" s="14">
        <v>49</v>
      </c>
    </row>
    <row r="50" spans="1:9" ht="15.75" thickBot="1" x14ac:dyDescent="0.3">
      <c r="A50" s="22"/>
      <c r="B50" s="2">
        <v>24.5</v>
      </c>
      <c r="C50" s="2">
        <v>1.39</v>
      </c>
      <c r="F50" s="8"/>
      <c r="G50" s="17" t="s">
        <v>7</v>
      </c>
      <c r="H50" s="16"/>
      <c r="I50" s="13">
        <v>7</v>
      </c>
    </row>
    <row r="51" spans="1:9" ht="15.75" thickBot="1" x14ac:dyDescent="0.3">
      <c r="A51" s="22"/>
      <c r="B51" s="2">
        <v>25</v>
      </c>
      <c r="C51" s="2">
        <v>1.46</v>
      </c>
      <c r="F51" s="8"/>
      <c r="G51" s="18" t="s">
        <v>8</v>
      </c>
      <c r="H51" s="19"/>
      <c r="I51" s="10">
        <v>500</v>
      </c>
    </row>
    <row r="52" spans="1:9" ht="15.75" thickBot="1" x14ac:dyDescent="0.3">
      <c r="A52" s="22"/>
      <c r="B52" s="2">
        <v>25.5</v>
      </c>
      <c r="C52" s="2">
        <v>1.56</v>
      </c>
      <c r="F52" s="8"/>
      <c r="G52" s="17" t="s">
        <v>9</v>
      </c>
      <c r="H52" s="16"/>
      <c r="I52" s="13">
        <v>14.9</v>
      </c>
    </row>
    <row r="53" spans="1:9" ht="15.75" thickBot="1" x14ac:dyDescent="0.3">
      <c r="A53" s="22"/>
      <c r="B53" s="2">
        <v>26</v>
      </c>
      <c r="C53" s="2">
        <v>1.63</v>
      </c>
      <c r="G53" s="20" t="s">
        <v>20</v>
      </c>
      <c r="H53" s="19"/>
      <c r="I53" s="10">
        <v>74.5</v>
      </c>
    </row>
    <row r="54" spans="1:9" ht="15.75" thickBot="1" x14ac:dyDescent="0.3">
      <c r="A54" s="22"/>
      <c r="B54" s="2">
        <v>26.5</v>
      </c>
      <c r="C54" s="2">
        <v>1.71</v>
      </c>
      <c r="G54" s="15" t="s">
        <v>27</v>
      </c>
      <c r="H54" s="16"/>
      <c r="I54" s="13">
        <v>5.5</v>
      </c>
    </row>
    <row r="55" spans="1:9" ht="15.75" thickBot="1" x14ac:dyDescent="0.3">
      <c r="A55" s="22"/>
      <c r="B55" s="2">
        <v>27</v>
      </c>
      <c r="C55" s="2">
        <v>1.78</v>
      </c>
      <c r="G55" s="15" t="s">
        <v>28</v>
      </c>
      <c r="H55" s="16"/>
      <c r="I55" s="13">
        <v>1.2</v>
      </c>
    </row>
    <row r="56" spans="1:9" x14ac:dyDescent="0.25">
      <c r="A56" s="22"/>
      <c r="B56" s="2">
        <v>27.5</v>
      </c>
      <c r="C56" s="2">
        <v>1.86</v>
      </c>
    </row>
    <row r="57" spans="1:9" ht="15.75" thickBot="1" x14ac:dyDescent="0.3">
      <c r="A57" s="23"/>
      <c r="B57" s="3">
        <v>28</v>
      </c>
      <c r="C57" s="3">
        <v>1.92</v>
      </c>
    </row>
    <row r="58" spans="1:9" ht="15.75" thickTop="1" x14ac:dyDescent="0.25">
      <c r="A58" s="21"/>
      <c r="B58" s="2">
        <v>28.5</v>
      </c>
      <c r="C58" s="2">
        <v>2.0299999999999998</v>
      </c>
    </row>
    <row r="59" spans="1:9" x14ac:dyDescent="0.25">
      <c r="A59" s="22"/>
      <c r="B59" s="2">
        <v>29</v>
      </c>
      <c r="C59" s="2">
        <v>2.04</v>
      </c>
    </row>
    <row r="60" spans="1:9" x14ac:dyDescent="0.25">
      <c r="A60" s="22"/>
      <c r="B60" s="2">
        <v>29.5</v>
      </c>
      <c r="C60" s="2">
        <v>2.0299999999999998</v>
      </c>
    </row>
    <row r="61" spans="1:9" x14ac:dyDescent="0.25">
      <c r="A61" s="22"/>
      <c r="B61" s="2">
        <v>30</v>
      </c>
      <c r="C61" s="2">
        <v>2.0299999999999998</v>
      </c>
    </row>
    <row r="62" spans="1:9" x14ac:dyDescent="0.25">
      <c r="A62" s="22"/>
      <c r="B62" s="2">
        <v>30.5</v>
      </c>
      <c r="C62" s="2">
        <v>2.04</v>
      </c>
    </row>
    <row r="63" spans="1:9" x14ac:dyDescent="0.25">
      <c r="A63" s="22"/>
      <c r="B63" s="2">
        <v>31</v>
      </c>
      <c r="C63" s="2">
        <v>2.04</v>
      </c>
    </row>
    <row r="64" spans="1:9" x14ac:dyDescent="0.25">
      <c r="A64" s="22"/>
      <c r="B64" s="2">
        <v>31.5</v>
      </c>
      <c r="C64" s="2">
        <v>2.04</v>
      </c>
    </row>
    <row r="65" spans="1:3" x14ac:dyDescent="0.25">
      <c r="A65" s="22"/>
      <c r="B65" s="2">
        <v>32</v>
      </c>
      <c r="C65" s="2">
        <v>2.0499999999999998</v>
      </c>
    </row>
    <row r="66" spans="1:3" x14ac:dyDescent="0.25">
      <c r="A66" s="22"/>
      <c r="B66" s="2">
        <v>32.5</v>
      </c>
      <c r="C66" s="2">
        <v>2.0499999999999998</v>
      </c>
    </row>
    <row r="67" spans="1:3" x14ac:dyDescent="0.25">
      <c r="A67" s="22"/>
      <c r="B67" s="2">
        <v>33</v>
      </c>
      <c r="C67" s="2">
        <v>2.0499999999999998</v>
      </c>
    </row>
    <row r="68" spans="1:3" x14ac:dyDescent="0.25">
      <c r="A68" s="22"/>
      <c r="B68" s="2">
        <v>33.5</v>
      </c>
      <c r="C68" s="2">
        <v>2.06</v>
      </c>
    </row>
    <row r="69" spans="1:3" x14ac:dyDescent="0.25">
      <c r="A69" s="22"/>
      <c r="B69" s="2">
        <v>34</v>
      </c>
      <c r="C69" s="2">
        <v>2.06</v>
      </c>
    </row>
    <row r="70" spans="1:3" ht="15.75" thickBot="1" x14ac:dyDescent="0.3">
      <c r="A70" s="23"/>
      <c r="B70" s="3">
        <v>34.5</v>
      </c>
      <c r="C70" s="3">
        <v>2.06</v>
      </c>
    </row>
    <row r="71" spans="1:3" ht="15.75" thickTop="1" x14ac:dyDescent="0.25"/>
  </sheetData>
  <mergeCells count="15">
    <mergeCell ref="A2:A13"/>
    <mergeCell ref="A14:A23"/>
    <mergeCell ref="A24:A35"/>
    <mergeCell ref="A36:A47"/>
    <mergeCell ref="G48:H48"/>
    <mergeCell ref="G49:H49"/>
    <mergeCell ref="A48:A57"/>
    <mergeCell ref="A58:A70"/>
    <mergeCell ref="D35:F36"/>
    <mergeCell ref="G54:H54"/>
    <mergeCell ref="G55:H55"/>
    <mergeCell ref="G50:H50"/>
    <mergeCell ref="G51:H51"/>
    <mergeCell ref="G52:H52"/>
    <mergeCell ref="G53:H5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E15C-C028-4494-8012-C55E6D64A41F}">
  <dimension ref="A1:C34"/>
  <sheetViews>
    <sheetView tabSelected="1" zoomScale="85" zoomScaleNormal="85" workbookViewId="0">
      <selection activeCell="B34" sqref="B34"/>
    </sheetView>
  </sheetViews>
  <sheetFormatPr defaultRowHeight="15" x14ac:dyDescent="0.25"/>
  <sheetData>
    <row r="1" spans="1:3" x14ac:dyDescent="0.25">
      <c r="A1" t="s">
        <v>6</v>
      </c>
    </row>
    <row r="2" spans="1:3" x14ac:dyDescent="0.25">
      <c r="A2" t="s">
        <v>24</v>
      </c>
      <c r="B2">
        <f>Данные!I49/5</f>
        <v>9.8000000000000007</v>
      </c>
      <c r="C2" t="s">
        <v>12</v>
      </c>
    </row>
    <row r="6" spans="1:3" x14ac:dyDescent="0.25">
      <c r="A6" t="s">
        <v>23</v>
      </c>
    </row>
    <row r="7" spans="1:3" x14ac:dyDescent="0.25">
      <c r="A7" t="s">
        <v>11</v>
      </c>
      <c r="B7">
        <f>Данные!I48*2.301+B2*2.301+Данные!I50*1.925+Данные!I51*4.1796</f>
        <v>2270.7877999999996</v>
      </c>
      <c r="C7" t="s">
        <v>22</v>
      </c>
    </row>
    <row r="11" spans="1:3" x14ac:dyDescent="0.25">
      <c r="A11" t="s">
        <v>10</v>
      </c>
    </row>
    <row r="12" spans="1:3" x14ac:dyDescent="0.25">
      <c r="A12" s="6" t="s">
        <v>18</v>
      </c>
    </row>
    <row r="13" spans="1:3" x14ac:dyDescent="0.25">
      <c r="A13" t="s">
        <v>19</v>
      </c>
      <c r="B13">
        <f>'Задание 1'!B7*Данные!H44*Данные!I53/Данные!I52/1000</f>
        <v>15.100738869999999</v>
      </c>
      <c r="C13" t="s">
        <v>21</v>
      </c>
    </row>
    <row r="17" spans="1:2" x14ac:dyDescent="0.25">
      <c r="A17" t="s">
        <v>40</v>
      </c>
    </row>
    <row r="23" spans="1:2" x14ac:dyDescent="0.25">
      <c r="A23" t="s">
        <v>42</v>
      </c>
      <c r="B23">
        <f>0.01/1.2+0.025/5.5+0.001/300+2*0.005/Данные!I44</f>
        <v>2.352041908446164E-2</v>
      </c>
    </row>
    <row r="32" spans="1:2" x14ac:dyDescent="0.25">
      <c r="A32" s="6" t="s">
        <v>41</v>
      </c>
      <c r="B32">
        <f>B23+2*0.005/Данные!H44+2*0.05/Данные!I52</f>
        <v>3.7750625472915994E-2</v>
      </c>
    </row>
    <row r="34" spans="1:2" x14ac:dyDescent="0.25">
      <c r="A34" t="s">
        <v>43</v>
      </c>
      <c r="B34">
        <f>B32*B13</f>
        <v>0.57006233744567469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61DB-5036-4212-A886-936182294AAE}">
  <dimension ref="A1:E21"/>
  <sheetViews>
    <sheetView workbookViewId="0">
      <selection activeCell="E21" sqref="E21"/>
    </sheetView>
  </sheetViews>
  <sheetFormatPr defaultRowHeight="15" x14ac:dyDescent="0.25"/>
  <sheetData>
    <row r="1" spans="1:3" x14ac:dyDescent="0.25">
      <c r="A1" t="s">
        <v>25</v>
      </c>
    </row>
    <row r="3" spans="1:3" x14ac:dyDescent="0.25">
      <c r="A3" t="s">
        <v>30</v>
      </c>
    </row>
    <row r="4" spans="1:3" x14ac:dyDescent="0.25">
      <c r="A4" t="s">
        <v>26</v>
      </c>
      <c r="B4">
        <f>Данные!I55*Данные!I54*300/Данные!G44</f>
        <v>2675.6756756756758</v>
      </c>
      <c r="C4" t="s">
        <v>22</v>
      </c>
    </row>
    <row r="6" spans="1:3" x14ac:dyDescent="0.25">
      <c r="A6" t="s">
        <v>33</v>
      </c>
    </row>
    <row r="7" spans="1:3" x14ac:dyDescent="0.25">
      <c r="A7" t="s">
        <v>35</v>
      </c>
      <c r="B7">
        <f>B4-4.1796*500</f>
        <v>585.87567567567612</v>
      </c>
      <c r="C7" t="s">
        <v>34</v>
      </c>
    </row>
    <row r="9" spans="1:3" x14ac:dyDescent="0.25">
      <c r="A9" t="s">
        <v>29</v>
      </c>
    </row>
    <row r="11" spans="1:3" x14ac:dyDescent="0.25">
      <c r="A11" t="s">
        <v>31</v>
      </c>
    </row>
    <row r="12" spans="1:3" x14ac:dyDescent="0.25">
      <c r="A12" t="s">
        <v>32</v>
      </c>
      <c r="B12">
        <f>Данные!I55*Данные!I54*300/Данные!I44</f>
        <v>2106.3829787234044</v>
      </c>
      <c r="C12" t="s">
        <v>22</v>
      </c>
    </row>
    <row r="14" spans="1:3" x14ac:dyDescent="0.25">
      <c r="A14" t="s">
        <v>36</v>
      </c>
    </row>
    <row r="16" spans="1:3" x14ac:dyDescent="0.25">
      <c r="A16" t="s">
        <v>37</v>
      </c>
    </row>
    <row r="17" spans="1:5" x14ac:dyDescent="0.25">
      <c r="A17" t="s">
        <v>38</v>
      </c>
      <c r="B17">
        <f>(B12-B7)/(Данные!I51+Данные!I52)</f>
        <v>2.9530147660666701</v>
      </c>
      <c r="C17" t="s">
        <v>39</v>
      </c>
    </row>
    <row r="21" spans="1:5" x14ac:dyDescent="0.25">
      <c r="E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</vt:lpstr>
      <vt:lpstr>Задание 1</vt:lpstr>
      <vt:lpstr>Задание 2</vt:lpstr>
      <vt:lpstr>Данные!Область_печати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2024-11-17T12:15:32Z</dcterms:created>
  <dcterms:modified xsi:type="dcterms:W3CDTF">2024-12-25T00:14:45Z</dcterms:modified>
</cp:coreProperties>
</file>