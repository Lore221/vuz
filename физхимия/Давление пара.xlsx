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"/>
    </mc:Choice>
  </mc:AlternateContent>
  <xr:revisionPtr revIDLastSave="0" documentId="8_{ED4159B5-0579-423B-BEF0-0C69973E8B09}" xr6:coauthVersionLast="47" xr6:coauthVersionMax="47" xr10:uidLastSave="{00000000-0000-0000-0000-000000000000}"/>
  <bookViews>
    <workbookView xWindow="-120" yWindow="480" windowWidth="29040" windowHeight="15840" xr2:uid="{623B7C9F-B0C0-4FF1-B0BE-F82FAF5BDD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2" i="1"/>
  <c r="D4" i="1"/>
  <c r="D5" i="1"/>
  <c r="D6" i="1"/>
  <c r="D7" i="1"/>
  <c r="D8" i="1"/>
  <c r="D9" i="1"/>
  <c r="D10" i="1"/>
  <c r="D11" i="1"/>
  <c r="D12" i="1"/>
  <c r="C12" i="1"/>
  <c r="C4" i="1"/>
  <c r="C5" i="1"/>
  <c r="C6" i="1"/>
  <c r="C7" i="1"/>
  <c r="C8" i="1"/>
  <c r="C9" i="1"/>
  <c r="C10" i="1"/>
  <c r="C11" i="1"/>
  <c r="D2" i="1"/>
  <c r="C2" i="1"/>
  <c r="C3" i="1"/>
  <c r="D3" i="1" s="1"/>
</calcChain>
</file>

<file path=xl/sharedStrings.xml><?xml version="1.0" encoding="utf-8"?>
<sst xmlns="http://schemas.openxmlformats.org/spreadsheetml/2006/main" count="9" uniqueCount="9">
  <si>
    <t>t</t>
  </si>
  <si>
    <t>№</t>
  </si>
  <si>
    <t>T</t>
  </si>
  <si>
    <t>1/T*10^3</t>
  </si>
  <si>
    <t>h1</t>
  </si>
  <si>
    <t>h2</t>
  </si>
  <si>
    <t>P</t>
  </si>
  <si>
    <t>lgP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</si>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</sst>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P=f(t)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4692038495188096E-2"/>
          <c:y val="0.17171296296296298"/>
          <c:w val="0.89030796150481195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Лист1!$B$2:$B$12</c:f>
              <c:numCache>
                <c:formatCode>General</c:formatCode>
                <c:ptCount val="11"/>
                <c:pt idx="0">
                  <c:v>22</c:v>
                </c:pt>
                <c:pt idx="1">
                  <c:v>49</c:v>
                </c:pt>
                <c:pt idx="2">
                  <c:v>53</c:v>
                </c:pt>
                <c:pt idx="3">
                  <c:v>57</c:v>
                </c:pt>
                <c:pt idx="4">
                  <c:v>60</c:v>
                </c:pt>
                <c:pt idx="5">
                  <c:v>63</c:v>
                </c:pt>
                <c:pt idx="6">
                  <c:v>66</c:v>
                </c:pt>
                <c:pt idx="7">
                  <c:v>70</c:v>
                </c:pt>
                <c:pt idx="8">
                  <c:v>74</c:v>
                </c:pt>
                <c:pt idx="9">
                  <c:v>77</c:v>
                </c:pt>
                <c:pt idx="10">
                  <c:v>81</c:v>
                </c:pt>
              </c:numCache>
            </c:numRef>
          </c:cat>
          <c:val>
            <c:numRef>
              <c:f>Лист1!$G$2:$G$12</c:f>
              <c:numCache>
                <c:formatCode>General</c:formatCode>
                <c:ptCount val="11"/>
                <c:pt idx="0">
                  <c:v>211</c:v>
                </c:pt>
                <c:pt idx="1">
                  <c:v>271</c:v>
                </c:pt>
                <c:pt idx="2">
                  <c:v>311</c:v>
                </c:pt>
                <c:pt idx="3">
                  <c:v>346</c:v>
                </c:pt>
                <c:pt idx="4">
                  <c:v>393</c:v>
                </c:pt>
                <c:pt idx="5">
                  <c:v>431</c:v>
                </c:pt>
                <c:pt idx="6">
                  <c:v>473</c:v>
                </c:pt>
                <c:pt idx="7">
                  <c:v>552</c:v>
                </c:pt>
                <c:pt idx="8">
                  <c:v>631</c:v>
                </c:pt>
                <c:pt idx="9">
                  <c:v>683</c:v>
                </c:pt>
                <c:pt idx="10">
                  <c:v>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F-4D2D-A98D-B250EDCA3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291600"/>
        <c:axId val="1529291120"/>
      </c:lineChart>
      <c:catAx>
        <c:axId val="15292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291120"/>
        <c:crosses val="autoZero"/>
        <c:auto val="1"/>
        <c:lblAlgn val="ctr"/>
        <c:lblOffset val="100"/>
        <c:noMultiLvlLbl val="0"/>
      </c:catAx>
      <c:valAx>
        <c:axId val="15292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29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lgP=f(1/T)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Лист1!$D$2:$D$12</c:f>
              <c:numCache>
                <c:formatCode>0.00</c:formatCode>
                <c:ptCount val="11"/>
                <c:pt idx="0">
                  <c:v>3.3898305084745761</c:v>
                </c:pt>
                <c:pt idx="1">
                  <c:v>3.1055900621118009</c:v>
                </c:pt>
                <c:pt idx="2">
                  <c:v>3.0674846625766872</c:v>
                </c:pt>
                <c:pt idx="3">
                  <c:v>3.0303030303030303</c:v>
                </c:pt>
                <c:pt idx="4">
                  <c:v>3.0030030030030028</c:v>
                </c:pt>
                <c:pt idx="5">
                  <c:v>2.9761904761904758</c:v>
                </c:pt>
                <c:pt idx="6">
                  <c:v>2.9498525073746311</c:v>
                </c:pt>
                <c:pt idx="7">
                  <c:v>2.9154518950437316</c:v>
                </c:pt>
                <c:pt idx="8">
                  <c:v>2.8818443804034581</c:v>
                </c:pt>
                <c:pt idx="9">
                  <c:v>2.8571428571428572</c:v>
                </c:pt>
                <c:pt idx="10">
                  <c:v>2.8248587570621471</c:v>
                </c:pt>
              </c:numCache>
            </c:numRef>
          </c:cat>
          <c:val>
            <c:numRef>
              <c:f>Лист1!$H$2:$H$12</c:f>
              <c:numCache>
                <c:formatCode>_(* #,##0.00_);_(* \(#,##0.00\);_(* "-"??_);_(@_)</c:formatCode>
                <c:ptCount val="11"/>
                <c:pt idx="0">
                  <c:v>2.3242824552976926</c:v>
                </c:pt>
                <c:pt idx="1">
                  <c:v>2.4329692908744058</c:v>
                </c:pt>
                <c:pt idx="2">
                  <c:v>2.4927603890268375</c:v>
                </c:pt>
                <c:pt idx="3">
                  <c:v>2.5390760987927767</c:v>
                </c:pt>
                <c:pt idx="4">
                  <c:v>2.5943925503754266</c:v>
                </c:pt>
                <c:pt idx="5">
                  <c:v>2.6344772701607315</c:v>
                </c:pt>
                <c:pt idx="6">
                  <c:v>2.6748611407378116</c:v>
                </c:pt>
                <c:pt idx="7">
                  <c:v>2.741939077729199</c:v>
                </c:pt>
                <c:pt idx="8">
                  <c:v>2.8000293592441343</c:v>
                </c:pt>
                <c:pt idx="9">
                  <c:v>2.8344207036815328</c:v>
                </c:pt>
                <c:pt idx="10">
                  <c:v>2.8870543780509568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5-49A2-B743-BE6590474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500527"/>
        <c:axId val="1597487087"/>
      </c:lineChart>
      <c:catAx>
        <c:axId val="159750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7487087"/>
        <c:crosses val="autoZero"/>
        <c:auto val="1"/>
        <c:lblAlgn val="ctr"/>
        <c:lblOffset val="100"/>
        <c:noMultiLvlLbl val="0"/>
      </c:catAx>
      <c:valAx>
        <c:axId val="1597487087"/>
        <c:scaling>
          <c:orientation val="minMax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750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8</xdr:col>
      <xdr:colOff>0</xdr:colOff>
      <xdr:row>29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BE7245-DEF0-76C5-3190-97D68FDB3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604837</xdr:colOff>
      <xdr:row>13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F8CA599-5ECA-4A50-496B-806BB289A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FE35-CAED-4ACF-B061-5BB0031F505D}">
  <dimension ref="A1:I35"/>
  <sheetViews>
    <sheetView tabSelected="1" workbookViewId="0">
      <selection activeCell="L5" sqref="L5"/>
    </sheetView>
  </sheetViews>
  <sheetFormatPr defaultRowHeight="15" x14ac:dyDescent="0.25"/>
  <cols>
    <col min="4" max="4" width="8.8554687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22</v>
      </c>
      <c r="C2">
        <f>B2+273</f>
        <v>295</v>
      </c>
      <c r="D2" s="1">
        <f>1/C2*1000</f>
        <v>3.3898305084745761</v>
      </c>
      <c r="E2">
        <v>772</v>
      </c>
      <c r="F2">
        <v>212</v>
      </c>
      <c r="G2">
        <f>771-(E2-F2)</f>
        <v>211</v>
      </c>
      <c r="H2" s="2">
        <f>LOG10(G2)</f>
        <v>2.3242824552976926</v>
      </c>
    </row>
    <row r="3" spans="1:8" x14ac:dyDescent="0.25">
      <c r="A3">
        <v>2</v>
      </c>
      <c r="B3">
        <v>49</v>
      </c>
      <c r="C3">
        <f>B3+273</f>
        <v>322</v>
      </c>
      <c r="D3" s="1">
        <f>1/C3*1000</f>
        <v>3.1055900621118009</v>
      </c>
      <c r="E3">
        <v>738</v>
      </c>
      <c r="F3">
        <v>238</v>
      </c>
      <c r="G3">
        <f t="shared" ref="G3:G12" si="0">771-(E3-F3)</f>
        <v>271</v>
      </c>
      <c r="H3" s="2">
        <f t="shared" ref="H3:H12" si="1">LOG10(G3)</f>
        <v>2.4329692908744058</v>
      </c>
    </row>
    <row r="4" spans="1:8" x14ac:dyDescent="0.25">
      <c r="A4">
        <v>3</v>
      </c>
      <c r="B4">
        <v>53</v>
      </c>
      <c r="C4">
        <f t="shared" ref="C4:C12" si="2">B4+273</f>
        <v>326</v>
      </c>
      <c r="D4" s="1">
        <f t="shared" ref="D4:D12" si="3">1/C4*1000</f>
        <v>3.0674846625766872</v>
      </c>
      <c r="E4">
        <v>716</v>
      </c>
      <c r="F4">
        <v>256</v>
      </c>
      <c r="G4">
        <f t="shared" si="0"/>
        <v>311</v>
      </c>
      <c r="H4" s="2">
        <f t="shared" si="1"/>
        <v>2.4927603890268375</v>
      </c>
    </row>
    <row r="5" spans="1:8" x14ac:dyDescent="0.25">
      <c r="A5">
        <v>4</v>
      </c>
      <c r="B5">
        <v>57</v>
      </c>
      <c r="C5">
        <f t="shared" si="2"/>
        <v>330</v>
      </c>
      <c r="D5" s="1">
        <f t="shared" si="3"/>
        <v>3.0303030303030303</v>
      </c>
      <c r="E5">
        <v>695</v>
      </c>
      <c r="F5">
        <v>270</v>
      </c>
      <c r="G5">
        <f t="shared" si="0"/>
        <v>346</v>
      </c>
      <c r="H5" s="2">
        <f t="shared" si="1"/>
        <v>2.5390760987927767</v>
      </c>
    </row>
    <row r="6" spans="1:8" x14ac:dyDescent="0.25">
      <c r="A6">
        <v>5</v>
      </c>
      <c r="B6">
        <v>60</v>
      </c>
      <c r="C6">
        <f t="shared" si="2"/>
        <v>333</v>
      </c>
      <c r="D6" s="1">
        <f t="shared" si="3"/>
        <v>3.0030030030030028</v>
      </c>
      <c r="E6">
        <v>668</v>
      </c>
      <c r="F6">
        <v>290</v>
      </c>
      <c r="G6">
        <f t="shared" si="0"/>
        <v>393</v>
      </c>
      <c r="H6" s="2">
        <f t="shared" si="1"/>
        <v>2.5943925503754266</v>
      </c>
    </row>
    <row r="7" spans="1:8" x14ac:dyDescent="0.25">
      <c r="A7">
        <v>6</v>
      </c>
      <c r="B7">
        <v>63</v>
      </c>
      <c r="C7">
        <f t="shared" si="2"/>
        <v>336</v>
      </c>
      <c r="D7" s="1">
        <f t="shared" si="3"/>
        <v>2.9761904761904758</v>
      </c>
      <c r="E7">
        <v>646</v>
      </c>
      <c r="F7">
        <v>306</v>
      </c>
      <c r="G7">
        <f t="shared" si="0"/>
        <v>431</v>
      </c>
      <c r="H7" s="2">
        <f t="shared" si="1"/>
        <v>2.6344772701607315</v>
      </c>
    </row>
    <row r="8" spans="1:8" x14ac:dyDescent="0.25">
      <c r="A8">
        <v>7</v>
      </c>
      <c r="B8">
        <v>66</v>
      </c>
      <c r="C8">
        <f t="shared" si="2"/>
        <v>339</v>
      </c>
      <c r="D8" s="1">
        <f t="shared" si="3"/>
        <v>2.9498525073746311</v>
      </c>
      <c r="E8">
        <v>626</v>
      </c>
      <c r="F8">
        <v>328</v>
      </c>
      <c r="G8">
        <f t="shared" si="0"/>
        <v>473</v>
      </c>
      <c r="H8" s="2">
        <f t="shared" si="1"/>
        <v>2.6748611407378116</v>
      </c>
    </row>
    <row r="9" spans="1:8" x14ac:dyDescent="0.25">
      <c r="A9">
        <v>8</v>
      </c>
      <c r="B9">
        <v>70</v>
      </c>
      <c r="C9">
        <f t="shared" si="2"/>
        <v>343</v>
      </c>
      <c r="D9" s="1">
        <f t="shared" si="3"/>
        <v>2.9154518950437316</v>
      </c>
      <c r="E9">
        <v>575</v>
      </c>
      <c r="F9">
        <v>356</v>
      </c>
      <c r="G9">
        <f t="shared" si="0"/>
        <v>552</v>
      </c>
      <c r="H9" s="2">
        <f t="shared" si="1"/>
        <v>2.741939077729199</v>
      </c>
    </row>
    <row r="10" spans="1:8" x14ac:dyDescent="0.25">
      <c r="A10">
        <v>9</v>
      </c>
      <c r="B10">
        <v>74</v>
      </c>
      <c r="C10">
        <f t="shared" si="2"/>
        <v>347</v>
      </c>
      <c r="D10" s="1">
        <f t="shared" si="3"/>
        <v>2.8818443804034581</v>
      </c>
      <c r="E10">
        <v>534</v>
      </c>
      <c r="F10">
        <v>394</v>
      </c>
      <c r="G10">
        <f t="shared" si="0"/>
        <v>631</v>
      </c>
      <c r="H10" s="2">
        <f t="shared" si="1"/>
        <v>2.8000293592441343</v>
      </c>
    </row>
    <row r="11" spans="1:8" x14ac:dyDescent="0.25">
      <c r="A11">
        <v>10</v>
      </c>
      <c r="B11">
        <v>77</v>
      </c>
      <c r="C11">
        <f t="shared" si="2"/>
        <v>350</v>
      </c>
      <c r="D11" s="1">
        <f t="shared" si="3"/>
        <v>2.8571428571428572</v>
      </c>
      <c r="E11">
        <v>496</v>
      </c>
      <c r="F11">
        <v>408</v>
      </c>
      <c r="G11">
        <f t="shared" si="0"/>
        <v>683</v>
      </c>
      <c r="H11" s="2">
        <f t="shared" si="1"/>
        <v>2.8344207036815328</v>
      </c>
    </row>
    <row r="12" spans="1:8" x14ac:dyDescent="0.25">
      <c r="A12">
        <v>11</v>
      </c>
      <c r="B12">
        <v>81</v>
      </c>
      <c r="C12">
        <f t="shared" si="2"/>
        <v>354</v>
      </c>
      <c r="D12" s="1">
        <f t="shared" si="3"/>
        <v>2.8248587570621471</v>
      </c>
      <c r="E12">
        <v>442</v>
      </c>
      <c r="F12">
        <v>442</v>
      </c>
      <c r="G12">
        <f t="shared" si="0"/>
        <v>771</v>
      </c>
      <c r="H12" s="2">
        <f t="shared" si="1"/>
        <v>2.8870543780509568</v>
      </c>
    </row>
    <row r="35" spans="9:9" x14ac:dyDescent="0.25">
      <c r="I35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2024-10-15T22:03:17Z</dcterms:created>
  <dcterms:modified xsi:type="dcterms:W3CDTF">2024-10-15T22:24:33Z</dcterms:modified>
</cp:coreProperties>
</file>