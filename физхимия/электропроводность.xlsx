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физхимия\"/>
    </mc:Choice>
  </mc:AlternateContent>
  <xr:revisionPtr revIDLastSave="0" documentId="8_{BA8ACB6A-0F87-4C1F-88EF-CFDA7A9A052D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1" l="1"/>
  <c r="C52" i="1"/>
  <c r="C53" i="1"/>
  <c r="C54" i="1"/>
  <c r="C55" i="1"/>
  <c r="C56" i="1"/>
  <c r="C57" i="1"/>
  <c r="C50" i="1"/>
  <c r="B42" i="1"/>
  <c r="B43" i="1"/>
  <c r="B44" i="1"/>
  <c r="B45" i="1"/>
  <c r="B46" i="1"/>
  <c r="B47" i="1"/>
  <c r="B48" i="1"/>
  <c r="B49" i="1"/>
  <c r="B50" i="1"/>
  <c r="B41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A5" i="1"/>
  <c r="A4" i="1"/>
  <c r="A3" i="1"/>
  <c r="A2" i="1"/>
</calcChain>
</file>

<file path=xl/sharedStrings.xml><?xml version="1.0" encoding="utf-8"?>
<sst xmlns="http://schemas.openxmlformats.org/spreadsheetml/2006/main" count="4" uniqueCount="4">
  <si>
    <t> λ</t>
  </si>
  <si>
    <t>√С</t>
  </si>
  <si>
    <r>
      <t>V</t>
    </r>
    <r>
      <rPr>
        <sz val="8"/>
        <color theme="1"/>
        <rFont val="Calibri"/>
        <family val="2"/>
        <charset val="204"/>
        <scheme val="minor"/>
      </rPr>
      <t>NaOH</t>
    </r>
  </si>
  <si>
    <t>1/R*10^3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</si>
</sst>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  <charset val="204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490205178183769"/>
          <c:y val="7.4378554243219597E-2"/>
          <c:w val="0.80852291302486989"/>
          <c:h val="0.7379890433158943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63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backward val="0.11180300000000001"/>
            <c:dispRSqr val="0"/>
            <c:dispEq val="1"/>
            <c:trendlineLbl>
              <c:layout>
                <c:manualLayout>
                  <c:x val="-2.2635230086324197E-2"/>
                  <c:y val="-0.5316448462906079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 = -2537,3x + 1814,8</a:t>
                    </a:r>
                    <a:endParaRPr lang="en-US" sz="140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Лист1!$A$2:$A$5</c:f>
              <c:numCache>
                <c:formatCode>General</c:formatCode>
                <c:ptCount val="4"/>
                <c:pt idx="0">
                  <c:v>0.31622776601683794</c:v>
                </c:pt>
                <c:pt idx="1">
                  <c:v>0.22360679774997896</c:v>
                </c:pt>
                <c:pt idx="2">
                  <c:v>0.15811388300841897</c:v>
                </c:pt>
                <c:pt idx="3">
                  <c:v>0.11180339887498948</c:v>
                </c:pt>
              </c:numCache>
            </c:numRef>
          </c:xVal>
          <c:yVal>
            <c:numRef>
              <c:f>Лист1!$B$2:$B$5</c:f>
              <c:numCache>
                <c:formatCode>General</c:formatCode>
                <c:ptCount val="4"/>
                <c:pt idx="0">
                  <c:v>1050.8</c:v>
                </c:pt>
                <c:pt idx="1">
                  <c:v>1191.2</c:v>
                </c:pt>
                <c:pt idx="2">
                  <c:v>1380.4</c:v>
                </c:pt>
                <c:pt idx="3">
                  <c:v>1582.4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EF-4E8B-9541-84BC40818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064800"/>
        <c:axId val="582066240"/>
      </c:scatterChart>
      <c:valAx>
        <c:axId val="58206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√С</a:t>
                </a:r>
                <a:r>
                  <a:rPr lang="en-US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,</a:t>
                </a:r>
                <a:r>
                  <a:rPr lang="en-US" sz="1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r>
                  <a:rPr lang="ru-RU" sz="1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моль</a:t>
                </a:r>
                <a:r>
                  <a:rPr lang="en-US" sz="1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/</a:t>
                </a:r>
                <a:r>
                  <a:rPr lang="ru-RU" sz="1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л</a:t>
                </a:r>
                <a:endParaRPr lang="ru-RU" sz="14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0523779321298004"/>
              <c:y val="0.88254068241469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2066240"/>
        <c:crosses val="autoZero"/>
        <c:crossBetween val="midCat"/>
      </c:valAx>
      <c:valAx>
        <c:axId val="582066240"/>
        <c:scaling>
          <c:orientation val="minMax"/>
          <c:max val="19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 </a:t>
                </a:r>
                <a:r>
                  <a:rPr lang="el-GR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λ</a:t>
                </a:r>
                <a:endParaRPr lang="ru-RU" sz="14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69971671388102E-2"/>
              <c:y val="0.440028646992928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206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63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intercept val="0"/>
            <c:dispRSqr val="0"/>
            <c:dispEq val="0"/>
          </c:trendline>
          <c:xVal>
            <c:numRef>
              <c:f>Лист1!$A$20:$A$36</c:f>
              <c:numCache>
                <c:formatCode>General</c:formatCode>
                <c:ptCount val="1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</c:numCache>
            </c:numRef>
          </c:xVal>
          <c:yVal>
            <c:numRef>
              <c:f>Лист1!$B$20:$B$36</c:f>
              <c:numCache>
                <c:formatCode>General</c:formatCode>
                <c:ptCount val="17"/>
                <c:pt idx="0">
                  <c:v>54.644808743169399</c:v>
                </c:pt>
                <c:pt idx="1">
                  <c:v>45.454545454545453</c:v>
                </c:pt>
                <c:pt idx="2">
                  <c:v>41.32231404958678</c:v>
                </c:pt>
                <c:pt idx="3">
                  <c:v>35.714285714285715</c:v>
                </c:pt>
                <c:pt idx="4">
                  <c:v>30.487804878048784</c:v>
                </c:pt>
                <c:pt idx="5">
                  <c:v>25.641025641025639</c:v>
                </c:pt>
                <c:pt idx="6">
                  <c:v>21.141649048625794</c:v>
                </c:pt>
                <c:pt idx="7">
                  <c:v>16.920473773265652</c:v>
                </c:pt>
                <c:pt idx="8">
                  <c:v>12.987012987012989</c:v>
                </c:pt>
                <c:pt idx="9">
                  <c:v>11.45475372279496</c:v>
                </c:pt>
                <c:pt idx="10">
                  <c:v>11.947431302270012</c:v>
                </c:pt>
                <c:pt idx="11">
                  <c:v>12.5</c:v>
                </c:pt>
                <c:pt idx="12">
                  <c:v>13.245033112582782</c:v>
                </c:pt>
                <c:pt idx="13">
                  <c:v>14.144271570014144</c:v>
                </c:pt>
                <c:pt idx="14">
                  <c:v>15.243902439024392</c:v>
                </c:pt>
                <c:pt idx="15">
                  <c:v>16.339869281045754</c:v>
                </c:pt>
                <c:pt idx="16">
                  <c:v>17.48251748251748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79-4BEE-AC5F-8A0542998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539808"/>
        <c:axId val="618538368"/>
      </c:scatterChart>
      <c:valAx>
        <c:axId val="61853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8538368"/>
        <c:crosses val="autoZero"/>
        <c:crossBetween val="midCat"/>
      </c:valAx>
      <c:valAx>
        <c:axId val="61853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8539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3694975703723382E-2"/>
                  <c:y val="-0.550959434526129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Лист1!$A$20:$A$29</c:f>
              <c:numCache>
                <c:formatCode>General</c:formatCode>
                <c:ptCount val="1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</c:numCache>
            </c:numRef>
          </c:xVal>
          <c:yVal>
            <c:numRef>
              <c:f>Лист1!$B$20:$B$29</c:f>
              <c:numCache>
                <c:formatCode>General</c:formatCode>
                <c:ptCount val="10"/>
                <c:pt idx="0">
                  <c:v>54.644808743169399</c:v>
                </c:pt>
                <c:pt idx="1">
                  <c:v>45.454545454545453</c:v>
                </c:pt>
                <c:pt idx="2">
                  <c:v>41.32231404958678</c:v>
                </c:pt>
                <c:pt idx="3">
                  <c:v>35.714285714285715</c:v>
                </c:pt>
                <c:pt idx="4">
                  <c:v>30.487804878048784</c:v>
                </c:pt>
                <c:pt idx="5">
                  <c:v>25.641025641025639</c:v>
                </c:pt>
                <c:pt idx="6">
                  <c:v>21.141649048625794</c:v>
                </c:pt>
                <c:pt idx="7">
                  <c:v>16.920473773265652</c:v>
                </c:pt>
                <c:pt idx="8">
                  <c:v>12.987012987012989</c:v>
                </c:pt>
                <c:pt idx="9">
                  <c:v>11.45475372279496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85-43A6-A82A-CB3BFA0F7B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9473187870767314"/>
                  <c:y val="-0.40806268028377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Лист1!$A$29:$A$36</c:f>
              <c:numCache>
                <c:formatCode>General</c:formatCode>
                <c:ptCount val="8"/>
                <c:pt idx="0">
                  <c:v>4.5</c:v>
                </c:pt>
                <c:pt idx="1">
                  <c:v>5</c:v>
                </c:pt>
                <c:pt idx="2">
                  <c:v>5.5</c:v>
                </c:pt>
                <c:pt idx="3">
                  <c:v>6</c:v>
                </c:pt>
                <c:pt idx="4">
                  <c:v>6.5</c:v>
                </c:pt>
                <c:pt idx="5">
                  <c:v>7</c:v>
                </c:pt>
                <c:pt idx="6">
                  <c:v>7.5</c:v>
                </c:pt>
                <c:pt idx="7">
                  <c:v>8</c:v>
                </c:pt>
              </c:numCache>
            </c:numRef>
          </c:xVal>
          <c:yVal>
            <c:numRef>
              <c:f>Лист1!$B$29:$B$36</c:f>
              <c:numCache>
                <c:formatCode>General</c:formatCode>
                <c:ptCount val="8"/>
                <c:pt idx="0">
                  <c:v>11.45475372279496</c:v>
                </c:pt>
                <c:pt idx="1">
                  <c:v>11.947431302270012</c:v>
                </c:pt>
                <c:pt idx="2">
                  <c:v>12.5</c:v>
                </c:pt>
                <c:pt idx="3">
                  <c:v>13.245033112582782</c:v>
                </c:pt>
                <c:pt idx="4">
                  <c:v>14.144271570014144</c:v>
                </c:pt>
                <c:pt idx="5">
                  <c:v>15.243902439024392</c:v>
                </c:pt>
                <c:pt idx="6">
                  <c:v>16.339869281045754</c:v>
                </c:pt>
                <c:pt idx="7">
                  <c:v>17.48251748251748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85-43A6-A82A-CB3BFA0F7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909727"/>
        <c:axId val="729909247"/>
      </c:scatterChart>
      <c:valAx>
        <c:axId val="72990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29909247"/>
        <c:crosses val="autoZero"/>
        <c:crossBetween val="midCat"/>
      </c:valAx>
      <c:valAx>
        <c:axId val="72990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29909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0945822397200351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Лист1!$A$41:$A$50</c:f>
              <c:numCache>
                <c:formatCode>General</c:formatCode>
                <c:ptCount val="1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</c:numCache>
            </c:numRef>
          </c:xVal>
          <c:yVal>
            <c:numRef>
              <c:f>Лист1!$B$41:$B$50</c:f>
              <c:numCache>
                <c:formatCode>General</c:formatCode>
                <c:ptCount val="10"/>
                <c:pt idx="0">
                  <c:v>51.027999999999999</c:v>
                </c:pt>
                <c:pt idx="1">
                  <c:v>46.260999999999996</c:v>
                </c:pt>
                <c:pt idx="2">
                  <c:v>41.494</c:v>
                </c:pt>
                <c:pt idx="3">
                  <c:v>36.726999999999997</c:v>
                </c:pt>
                <c:pt idx="4">
                  <c:v>31.959999999999997</c:v>
                </c:pt>
                <c:pt idx="5">
                  <c:v>27.192999999999998</c:v>
                </c:pt>
                <c:pt idx="6">
                  <c:v>22.425999999999995</c:v>
                </c:pt>
                <c:pt idx="7">
                  <c:v>17.658999999999999</c:v>
                </c:pt>
                <c:pt idx="8">
                  <c:v>12.891999999999996</c:v>
                </c:pt>
                <c:pt idx="9">
                  <c:v>8.1249999999999929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43-4DDF-A395-7CD0D641AE7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Лист1!$A$50:$A$57</c:f>
              <c:numCache>
                <c:formatCode>General</c:formatCode>
                <c:ptCount val="8"/>
                <c:pt idx="0">
                  <c:v>4.5</c:v>
                </c:pt>
                <c:pt idx="1">
                  <c:v>5</c:v>
                </c:pt>
                <c:pt idx="2">
                  <c:v>5.5</c:v>
                </c:pt>
                <c:pt idx="3">
                  <c:v>6</c:v>
                </c:pt>
                <c:pt idx="4">
                  <c:v>6.5</c:v>
                </c:pt>
                <c:pt idx="5">
                  <c:v>7</c:v>
                </c:pt>
                <c:pt idx="6">
                  <c:v>7.5</c:v>
                </c:pt>
                <c:pt idx="7">
                  <c:v>8</c:v>
                </c:pt>
              </c:numCache>
            </c:numRef>
          </c:xVal>
          <c:yVal>
            <c:numRef>
              <c:f>Лист1!$C$50:$C$57</c:f>
              <c:numCache>
                <c:formatCode>General</c:formatCode>
                <c:ptCount val="8"/>
                <c:pt idx="0">
                  <c:v>10.990849999999998</c:v>
                </c:pt>
                <c:pt idx="1">
                  <c:v>11.863299999999999</c:v>
                </c:pt>
                <c:pt idx="2">
                  <c:v>12.735749999999999</c:v>
                </c:pt>
                <c:pt idx="3">
                  <c:v>13.6082</c:v>
                </c:pt>
                <c:pt idx="4">
                  <c:v>14.480649999999999</c:v>
                </c:pt>
                <c:pt idx="5">
                  <c:v>15.3531</c:v>
                </c:pt>
                <c:pt idx="6">
                  <c:v>16.225549999999998</c:v>
                </c:pt>
                <c:pt idx="7">
                  <c:v>17.097999999999999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43-4DDF-A395-7CD0D641A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921919"/>
        <c:axId val="813921439"/>
      </c:scatterChart>
      <c:valAx>
        <c:axId val="81392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13921439"/>
        <c:crosses val="autoZero"/>
        <c:crossBetween val="midCat"/>
      </c:valAx>
      <c:valAx>
        <c:axId val="81392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13921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590549</xdr:colOff>
      <xdr:row>0</xdr:row>
      <xdr:rowOff>0</xdr:rowOff>
    </xdr:from>
    <xdr:to>
      <xdr:col>10</xdr:col>
      <xdr:colOff>561974</xdr:colOff>
      <xdr:row>16</xdr:row>
      <xdr:rowOff>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3772F96-DBD7-26F2-285A-21D8E10F9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585787</xdr:colOff>
      <xdr:row>17</xdr:row>
      <xdr:rowOff>109537</xdr:rowOff>
    </xdr:from>
    <xdr:to>
      <xdr:col>10</xdr:col>
      <xdr:colOff>280987</xdr:colOff>
      <xdr:row>31</xdr:row>
      <xdr:rowOff>185737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1DB3939E-A304-F060-9A32-16A2E58BB1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71437</xdr:colOff>
      <xdr:row>17</xdr:row>
      <xdr:rowOff>95250</xdr:rowOff>
    </xdr:from>
    <xdr:to>
      <xdr:col>22</xdr:col>
      <xdr:colOff>238125</xdr:colOff>
      <xdr:row>37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2D5B347-6171-A46C-2A4D-3EB350DDE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90487</xdr:colOff>
      <xdr:row>40</xdr:row>
      <xdr:rowOff>85725</xdr:rowOff>
    </xdr:from>
    <xdr:to>
      <xdr:col>11</xdr:col>
      <xdr:colOff>395287</xdr:colOff>
      <xdr:row>54</xdr:row>
      <xdr:rowOff>161925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0D109B3-E655-054D-1840-97F8C96A35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topLeftCell="A28" zoomScaleNormal="100" workbookViewId="0">
      <selection activeCell="P41" sqref="P41"/>
    </sheetView>
  </sheetViews>
  <sheetFormatPr defaultRowHeight="15" x14ac:dyDescent="0.25"/>
  <cols>
    <col min="2" max="2" width="10.42578125" bestFit="1" customWidth="1"/>
  </cols>
  <sheetData>
    <row r="1" spans="1:3" x14ac:dyDescent="0.25">
      <c r="A1" t="s">
        <v>1</v>
      </c>
      <c r="B1" s="1" t="s">
        <v>0</v>
      </c>
      <c r="C1" s="1"/>
    </row>
    <row r="2" spans="1:3" x14ac:dyDescent="0.25">
      <c r="A2">
        <f>SQRT(0.1)</f>
        <v>0.31622776601683794</v>
      </c>
      <c r="B2">
        <v>1050.8</v>
      </c>
      <c r="C2" s="1"/>
    </row>
    <row r="3" spans="1:3" x14ac:dyDescent="0.25">
      <c r="A3">
        <f>SQRT(0.05)</f>
        <v>0.22360679774997896</v>
      </c>
      <c r="B3">
        <v>1191.2</v>
      </c>
      <c r="C3" s="1"/>
    </row>
    <row r="4" spans="1:3" x14ac:dyDescent="0.25">
      <c r="A4">
        <f>SQRT(0.025)</f>
        <v>0.15811388300841897</v>
      </c>
      <c r="B4">
        <v>1380.4</v>
      </c>
      <c r="C4" s="1"/>
    </row>
    <row r="5" spans="1:3" x14ac:dyDescent="0.25">
      <c r="A5">
        <f>SQRT(0.0125)</f>
        <v>0.11180339887498948</v>
      </c>
      <c r="B5">
        <v>1582.4</v>
      </c>
      <c r="C5" s="1"/>
    </row>
    <row r="19" spans="1:2" x14ac:dyDescent="0.25">
      <c r="A19" t="s">
        <v>2</v>
      </c>
      <c r="B19" t="s">
        <v>3</v>
      </c>
    </row>
    <row r="20" spans="1:2" x14ac:dyDescent="0.25">
      <c r="A20">
        <v>0</v>
      </c>
      <c r="B20">
        <f>(1/18.3)*1000</f>
        <v>54.644808743169399</v>
      </c>
    </row>
    <row r="21" spans="1:2" x14ac:dyDescent="0.25">
      <c r="A21">
        <v>0.5</v>
      </c>
      <c r="B21">
        <f>(1/22)*1000</f>
        <v>45.454545454545453</v>
      </c>
    </row>
    <row r="22" spans="1:2" x14ac:dyDescent="0.25">
      <c r="A22">
        <v>1</v>
      </c>
      <c r="B22">
        <f>(1/24.2)*1000</f>
        <v>41.32231404958678</v>
      </c>
    </row>
    <row r="23" spans="1:2" x14ac:dyDescent="0.25">
      <c r="A23">
        <v>1.5</v>
      </c>
      <c r="B23">
        <f>(1/28)*1000</f>
        <v>35.714285714285715</v>
      </c>
    </row>
    <row r="24" spans="1:2" x14ac:dyDescent="0.25">
      <c r="A24">
        <v>2</v>
      </c>
      <c r="B24">
        <f>(1/32.8)*1000</f>
        <v>30.487804878048784</v>
      </c>
    </row>
    <row r="25" spans="1:2" x14ac:dyDescent="0.25">
      <c r="A25">
        <v>2.5</v>
      </c>
      <c r="B25">
        <f>(1/39)*1000</f>
        <v>25.641025641025639</v>
      </c>
    </row>
    <row r="26" spans="1:2" x14ac:dyDescent="0.25">
      <c r="A26">
        <v>3</v>
      </c>
      <c r="B26">
        <f>(1/47.3)*1000</f>
        <v>21.141649048625794</v>
      </c>
    </row>
    <row r="27" spans="1:2" x14ac:dyDescent="0.25">
      <c r="A27">
        <v>3.5</v>
      </c>
      <c r="B27">
        <f>(1/59.1)*1000</f>
        <v>16.920473773265652</v>
      </c>
    </row>
    <row r="28" spans="1:2" x14ac:dyDescent="0.25">
      <c r="A28">
        <v>4</v>
      </c>
      <c r="B28">
        <f>(1/77)*1000</f>
        <v>12.987012987012989</v>
      </c>
    </row>
    <row r="29" spans="1:2" x14ac:dyDescent="0.25">
      <c r="A29">
        <v>4.5</v>
      </c>
      <c r="B29">
        <f>(1/87.3)*1000</f>
        <v>11.45475372279496</v>
      </c>
    </row>
    <row r="30" spans="1:2" x14ac:dyDescent="0.25">
      <c r="A30">
        <v>5</v>
      </c>
      <c r="B30">
        <f>(1/83.7)*1000</f>
        <v>11.947431302270012</v>
      </c>
    </row>
    <row r="31" spans="1:2" x14ac:dyDescent="0.25">
      <c r="A31">
        <v>5.5</v>
      </c>
      <c r="B31">
        <f>(1/80)*1000</f>
        <v>12.5</v>
      </c>
    </row>
    <row r="32" spans="1:2" x14ac:dyDescent="0.25">
      <c r="A32">
        <v>6</v>
      </c>
      <c r="B32">
        <f>(1/75.5)*1000</f>
        <v>13.245033112582782</v>
      </c>
    </row>
    <row r="33" spans="1:2" x14ac:dyDescent="0.25">
      <c r="A33">
        <v>6.5</v>
      </c>
      <c r="B33">
        <f>(1/70.7)*1000</f>
        <v>14.144271570014144</v>
      </c>
    </row>
    <row r="34" spans="1:2" x14ac:dyDescent="0.25">
      <c r="A34">
        <v>7</v>
      </c>
      <c r="B34">
        <f>(1/65.6)*1000</f>
        <v>15.243902439024392</v>
      </c>
    </row>
    <row r="35" spans="1:2" x14ac:dyDescent="0.25">
      <c r="A35">
        <v>7.5</v>
      </c>
      <c r="B35">
        <f>(1/61.2)*1000</f>
        <v>16.339869281045754</v>
      </c>
    </row>
    <row r="36" spans="1:2" x14ac:dyDescent="0.25">
      <c r="A36">
        <v>8</v>
      </c>
      <c r="B36">
        <f>(1/57.2)*1000</f>
        <v>17.48251748251748</v>
      </c>
    </row>
    <row r="41" spans="1:2" x14ac:dyDescent="0.25">
      <c r="A41">
        <v>0</v>
      </c>
      <c r="B41">
        <f>-9.534*A41+51.028</f>
        <v>51.027999999999999</v>
      </c>
    </row>
    <row r="42" spans="1:2" x14ac:dyDescent="0.25">
      <c r="A42">
        <v>0.5</v>
      </c>
      <c r="B42">
        <f t="shared" ref="B42:B50" si="0">-9.534*A42+51.028</f>
        <v>46.260999999999996</v>
      </c>
    </row>
    <row r="43" spans="1:2" x14ac:dyDescent="0.25">
      <c r="A43">
        <v>1</v>
      </c>
      <c r="B43">
        <f t="shared" si="0"/>
        <v>41.494</v>
      </c>
    </row>
    <row r="44" spans="1:2" x14ac:dyDescent="0.25">
      <c r="A44">
        <v>1.5</v>
      </c>
      <c r="B44">
        <f t="shared" si="0"/>
        <v>36.726999999999997</v>
      </c>
    </row>
    <row r="45" spans="1:2" x14ac:dyDescent="0.25">
      <c r="A45">
        <v>2</v>
      </c>
      <c r="B45">
        <f t="shared" si="0"/>
        <v>31.959999999999997</v>
      </c>
    </row>
    <row r="46" spans="1:2" x14ac:dyDescent="0.25">
      <c r="A46">
        <v>2.5</v>
      </c>
      <c r="B46">
        <f t="shared" si="0"/>
        <v>27.192999999999998</v>
      </c>
    </row>
    <row r="47" spans="1:2" x14ac:dyDescent="0.25">
      <c r="A47">
        <v>3</v>
      </c>
      <c r="B47">
        <f t="shared" si="0"/>
        <v>22.425999999999995</v>
      </c>
    </row>
    <row r="48" spans="1:2" x14ac:dyDescent="0.25">
      <c r="A48">
        <v>3.5</v>
      </c>
      <c r="B48">
        <f t="shared" si="0"/>
        <v>17.658999999999999</v>
      </c>
    </row>
    <row r="49" spans="1:3" x14ac:dyDescent="0.25">
      <c r="A49">
        <v>4</v>
      </c>
      <c r="B49">
        <f t="shared" si="0"/>
        <v>12.891999999999996</v>
      </c>
    </row>
    <row r="50" spans="1:3" x14ac:dyDescent="0.25">
      <c r="A50">
        <v>4.5</v>
      </c>
      <c r="B50">
        <f t="shared" si="0"/>
        <v>8.1249999999999929</v>
      </c>
      <c r="C50">
        <f>1.7449*A50+3.1388</f>
        <v>10.990849999999998</v>
      </c>
    </row>
    <row r="51" spans="1:3" x14ac:dyDescent="0.25">
      <c r="A51">
        <v>5</v>
      </c>
      <c r="C51">
        <f t="shared" ref="C51:C57" si="1">1.7449*A51+3.1388</f>
        <v>11.863299999999999</v>
      </c>
    </row>
    <row r="52" spans="1:3" x14ac:dyDescent="0.25">
      <c r="A52">
        <v>5.5</v>
      </c>
      <c r="C52">
        <f t="shared" si="1"/>
        <v>12.735749999999999</v>
      </c>
    </row>
    <row r="53" spans="1:3" x14ac:dyDescent="0.25">
      <c r="A53">
        <v>6</v>
      </c>
      <c r="C53">
        <f t="shared" si="1"/>
        <v>13.6082</v>
      </c>
    </row>
    <row r="54" spans="1:3" x14ac:dyDescent="0.25">
      <c r="A54">
        <v>6.5</v>
      </c>
      <c r="C54">
        <f t="shared" si="1"/>
        <v>14.480649999999999</v>
      </c>
    </row>
    <row r="55" spans="1:3" x14ac:dyDescent="0.25">
      <c r="A55">
        <v>7</v>
      </c>
      <c r="C55">
        <f t="shared" si="1"/>
        <v>15.3531</v>
      </c>
    </row>
    <row r="56" spans="1:3" x14ac:dyDescent="0.25">
      <c r="A56">
        <v>7.5</v>
      </c>
      <c r="C56">
        <f t="shared" si="1"/>
        <v>16.225549999999998</v>
      </c>
    </row>
    <row r="57" spans="1:3" x14ac:dyDescent="0.25">
      <c r="A57">
        <v>8</v>
      </c>
      <c r="C57">
        <f t="shared" si="1"/>
        <v>17.097999999999999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Misha Vlasov</dc:creator>
  <cp:lastModifiedBy>Леготин Андрей Александрович</cp:lastModifiedBy>
  <dcterms:created xsi:type="dcterms:W3CDTF">2015-06-05T18:19:34Z</dcterms:created>
  <dcterms:modified xsi:type="dcterms:W3CDTF">2025-02-05T18:13:10Z</dcterms:modified>
</cp:coreProperties>
</file>