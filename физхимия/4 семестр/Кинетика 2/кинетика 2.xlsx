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4 семестр\Кинетика 2\"/>
    </mc:Choice>
  </mc:AlternateContent>
  <xr:revisionPtr revIDLastSave="0" documentId="13_ncr:1_{DE613068-06FE-490A-950F-9A0823584D3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4" i="1"/>
  <c r="B25" i="1"/>
  <c r="B22" i="1"/>
  <c r="G11" i="1"/>
  <c r="G12" i="1"/>
  <c r="G13" i="1"/>
  <c r="G10" i="1"/>
  <c r="F11" i="1"/>
  <c r="F12" i="1"/>
  <c r="F13" i="1"/>
  <c r="F10" i="1"/>
  <c r="F4" i="1" l="1"/>
  <c r="E13" i="1" s="1"/>
  <c r="F3" i="1"/>
  <c r="D10" i="1"/>
  <c r="D11" i="1"/>
  <c r="D12" i="1"/>
  <c r="D13" i="1"/>
  <c r="D14" i="1"/>
  <c r="D15" i="1"/>
  <c r="F1" i="1"/>
  <c r="E10" i="1" l="1"/>
  <c r="E12" i="1"/>
  <c r="E11" i="1"/>
  <c r="E15" i="1"/>
  <c r="E14" i="1"/>
</calcChain>
</file>

<file path=xl/sharedStrings.xml><?xml version="1.0" encoding="utf-8"?>
<sst xmlns="http://schemas.openxmlformats.org/spreadsheetml/2006/main" count="20" uniqueCount="19">
  <si>
    <t>№</t>
  </si>
  <si>
    <t>t</t>
  </si>
  <si>
    <t>V t</t>
  </si>
  <si>
    <t>k</t>
  </si>
  <si>
    <t>Δk</t>
  </si>
  <si>
    <t>C I2</t>
  </si>
  <si>
    <t>C HCl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</si>
  <si>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 xml:space="preserve"> </t>
    </r>
  </si>
  <si>
    <t>m H2O</t>
  </si>
  <si>
    <t>m +ацет</t>
  </si>
  <si>
    <t>m ацет</t>
  </si>
  <si>
    <t>a</t>
  </si>
  <si>
    <t>b</t>
  </si>
  <si>
    <t>c Na2S2O3</t>
  </si>
  <si>
    <t>x=(V0-Vt)*c*10^-3</t>
  </si>
  <si>
    <t>V0</t>
  </si>
  <si>
    <t>Δk/k</t>
  </si>
  <si>
    <t>концентарция ацетона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</si>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</sst>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Лист1!$A$22:$A$25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</c:numCache>
            </c:numRef>
          </c:xVal>
          <c:yVal>
            <c:numRef>
              <c:f>Лист1!$B$22:$B$25</c:f>
              <c:numCache>
                <c:formatCode>General</c:formatCode>
                <c:ptCount val="4"/>
                <c:pt idx="0">
                  <c:v>0.12706804407713476</c:v>
                </c:pt>
                <c:pt idx="1">
                  <c:v>0.12652804407713478</c:v>
                </c:pt>
                <c:pt idx="2">
                  <c:v>0.12576804407713477</c:v>
                </c:pt>
                <c:pt idx="3">
                  <c:v>0.12556804407713479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4-4B80-89BC-D0D7A6872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217488"/>
        <c:axId val="2054226608"/>
      </c:scatterChart>
      <c:valAx>
        <c:axId val="205421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4226608"/>
        <c:crosses val="autoZero"/>
        <c:crossBetween val="midCat"/>
      </c:valAx>
      <c:valAx>
        <c:axId val="20542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421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18</xdr:row>
      <xdr:rowOff>180975</xdr:rowOff>
    </xdr:from>
    <xdr:to>
      <xdr:col>11</xdr:col>
      <xdr:colOff>581025</xdr:colOff>
      <xdr:row>33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D0E99D-F755-9B3E-E2C8-36D0BC30C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P22" sqref="P22"/>
    </sheetView>
  </sheetViews>
  <sheetFormatPr defaultRowHeight="15" x14ac:dyDescent="0.25"/>
  <cols>
    <col min="4" max="4" width="17.28515625" bestFit="1" customWidth="1"/>
  </cols>
  <sheetData>
    <row r="1" spans="1:7" x14ac:dyDescent="0.25">
      <c r="A1" t="s">
        <v>5</v>
      </c>
      <c r="B1">
        <v>0.1</v>
      </c>
      <c r="E1" t="s">
        <v>10</v>
      </c>
      <c r="F1">
        <f>B6-B5</f>
        <v>1.8609999999999971</v>
      </c>
    </row>
    <row r="2" spans="1:7" x14ac:dyDescent="0.25">
      <c r="A2" t="s">
        <v>6</v>
      </c>
      <c r="B2">
        <v>1</v>
      </c>
    </row>
    <row r="3" spans="1:7" x14ac:dyDescent="0.25">
      <c r="A3" s="3" t="s">
        <v>7</v>
      </c>
      <c r="B3">
        <v>0.79200000000000004</v>
      </c>
      <c r="E3" t="s">
        <v>11</v>
      </c>
      <c r="F3">
        <f>F1/58.08/10</f>
        <v>3.2042011019283697E-3</v>
      </c>
    </row>
    <row r="4" spans="1:7" x14ac:dyDescent="0.25">
      <c r="E4" t="s">
        <v>12</v>
      </c>
      <c r="F4">
        <f>B2*25/1000/10</f>
        <v>2.5000000000000001E-3</v>
      </c>
    </row>
    <row r="5" spans="1:7" x14ac:dyDescent="0.25">
      <c r="A5" t="s">
        <v>8</v>
      </c>
      <c r="B5">
        <v>50.712000000000003</v>
      </c>
    </row>
    <row r="6" spans="1:7" x14ac:dyDescent="0.25">
      <c r="A6" t="s">
        <v>9</v>
      </c>
      <c r="B6">
        <v>52.573</v>
      </c>
    </row>
    <row r="8" spans="1:7" x14ac:dyDescent="0.25">
      <c r="A8" t="s">
        <v>15</v>
      </c>
      <c r="B8">
        <v>24</v>
      </c>
    </row>
    <row r="9" spans="1:7" x14ac:dyDescent="0.25">
      <c r="A9" t="s">
        <v>0</v>
      </c>
      <c r="B9" t="s">
        <v>1</v>
      </c>
      <c r="C9" t="s">
        <v>2</v>
      </c>
      <c r="D9" t="s">
        <v>14</v>
      </c>
      <c r="E9" t="s">
        <v>3</v>
      </c>
      <c r="F9" s="1" t="s">
        <v>16</v>
      </c>
      <c r="G9" t="s">
        <v>4</v>
      </c>
    </row>
    <row r="10" spans="1:7" x14ac:dyDescent="0.25">
      <c r="A10">
        <v>1</v>
      </c>
      <c r="B10">
        <v>5</v>
      </c>
      <c r="C10">
        <v>21.25</v>
      </c>
      <c r="D10">
        <f>($B$8-C10)*$B$17*10^-3</f>
        <v>2.7500000000000001E-5</v>
      </c>
      <c r="E10">
        <f>25/(($F$3+$F$4)*B10)*LN((($F$4+D10)*$F$3)/(($F$3-D10)*$F$4))</f>
        <v>17.144788393540843</v>
      </c>
      <c r="F10">
        <f>0.5/(B10*60)+0.05/$B$8+0.05/(C10*LN(C10))+0.05/($B$8*LN($B$8))</f>
        <v>5.1753890364859365E-3</v>
      </c>
      <c r="G10">
        <f>E10*F10</f>
        <v>8.873094988480261E-2</v>
      </c>
    </row>
    <row r="11" spans="1:7" x14ac:dyDescent="0.25">
      <c r="A11">
        <v>2</v>
      </c>
      <c r="B11">
        <v>15</v>
      </c>
      <c r="C11">
        <v>19.899999999999999</v>
      </c>
      <c r="D11">
        <f t="shared" ref="D11:D15" si="0">($B$8-C11)*$B$17*10^-3</f>
        <v>4.1000000000000014E-5</v>
      </c>
      <c r="E11">
        <f>25/(($F$3+$F$4)*B11)*LN((($F$4+D11)*$F$3)/(($F$3-D11)*$F$4))</f>
        <v>8.5157247210850056</v>
      </c>
      <c r="F11">
        <f t="shared" ref="F11:F13" si="1">0.5/(B11*60)+0.05/$B$8+0.05/(C11*LN(C11))+0.05/($B$8*LN($B$8))</f>
        <v>4.1345461318279706E-3</v>
      </c>
      <c r="G11">
        <f t="shared" ref="G11:G13" si="2">E11*F11</f>
        <v>3.5208656705273837E-2</v>
      </c>
    </row>
    <row r="12" spans="1:7" x14ac:dyDescent="0.25">
      <c r="A12">
        <v>3</v>
      </c>
      <c r="B12">
        <v>30</v>
      </c>
      <c r="C12">
        <v>18</v>
      </c>
      <c r="D12">
        <f t="shared" si="0"/>
        <v>6.0000000000000002E-5</v>
      </c>
      <c r="E12">
        <f>25/(($F$3+$F$4)*B12)*LN((($F$4+D12)*$F$3)/(($F$3-D12)*$F$4))</f>
        <v>6.2263296163020865</v>
      </c>
      <c r="F12">
        <f t="shared" si="1"/>
        <v>3.9776937266507977E-3</v>
      </c>
      <c r="G12">
        <f t="shared" si="2"/>
        <v>2.4766432254824878E-2</v>
      </c>
    </row>
    <row r="13" spans="1:7" x14ac:dyDescent="0.25">
      <c r="A13">
        <v>4</v>
      </c>
      <c r="B13">
        <v>45</v>
      </c>
      <c r="C13">
        <v>17.5</v>
      </c>
      <c r="D13">
        <f t="shared" si="0"/>
        <v>6.5000000000000008E-5</v>
      </c>
      <c r="E13">
        <f>25/(($F$3+$F$4)*B13)*LN((($F$4+D13)*$F$3)/(($F$3-D13)*$F$4))</f>
        <v>4.4959259601913342</v>
      </c>
      <c r="F13">
        <f t="shared" si="1"/>
        <v>3.9222887979050384E-3</v>
      </c>
      <c r="G13">
        <f t="shared" si="2"/>
        <v>1.7634320029868925E-2</v>
      </c>
    </row>
    <row r="14" spans="1:7" x14ac:dyDescent="0.25">
      <c r="A14" s="2">
        <v>5</v>
      </c>
      <c r="B14" s="2">
        <v>60</v>
      </c>
      <c r="C14" s="2">
        <v>21.5</v>
      </c>
      <c r="D14" s="2">
        <f t="shared" si="0"/>
        <v>2.5000000000000001E-5</v>
      </c>
      <c r="E14">
        <f>25/(($F$3+$F$4)*B14)*LN((($F$4+D14)*$F$3)/(($F$3-D14)*$F$4))</f>
        <v>1.2989829956141175</v>
      </c>
      <c r="F14" s="2"/>
    </row>
    <row r="15" spans="1:7" x14ac:dyDescent="0.25">
      <c r="A15" s="2">
        <v>6</v>
      </c>
      <c r="B15" s="2">
        <v>75</v>
      </c>
      <c r="C15" s="2">
        <v>19</v>
      </c>
      <c r="D15" s="2">
        <f t="shared" si="0"/>
        <v>5.0000000000000002E-5</v>
      </c>
      <c r="E15">
        <f>25/(($F$3+$F$4)*B15)*LN((($F$4+D15)*$F$3)/(($F$3-D15)*$F$4))</f>
        <v>2.0762576195432279</v>
      </c>
      <c r="F15" s="2"/>
    </row>
    <row r="17" spans="1:2" x14ac:dyDescent="0.25">
      <c r="A17" t="s">
        <v>13</v>
      </c>
      <c r="B17">
        <v>0.01</v>
      </c>
    </row>
    <row r="20" spans="1:2" x14ac:dyDescent="0.25">
      <c r="A20" t="s">
        <v>17</v>
      </c>
    </row>
    <row r="21" spans="1:2" x14ac:dyDescent="0.25">
      <c r="A21" t="s">
        <v>1</v>
      </c>
      <c r="B21" t="s">
        <v>18</v>
      </c>
    </row>
    <row r="22" spans="1:2" x14ac:dyDescent="0.25">
      <c r="A22">
        <v>5</v>
      </c>
      <c r="B22">
        <f>($F$3-D10)/(25*10^-3)</f>
        <v>0.12706804407713476</v>
      </c>
    </row>
    <row r="23" spans="1:2" x14ac:dyDescent="0.25">
      <c r="A23">
        <v>15</v>
      </c>
      <c r="B23">
        <f t="shared" ref="B23:B25" si="3">($F$3-D11)/(25*10^-3)</f>
        <v>0.12652804407713478</v>
      </c>
    </row>
    <row r="24" spans="1:2" x14ac:dyDescent="0.25">
      <c r="A24">
        <v>30</v>
      </c>
      <c r="B24">
        <f t="shared" si="3"/>
        <v>0.12576804407713477</v>
      </c>
    </row>
    <row r="25" spans="1:2" x14ac:dyDescent="0.25">
      <c r="A25">
        <v>45</v>
      </c>
      <c r="B25">
        <f t="shared" si="3"/>
        <v>0.12556804407713479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2025-05-05T21:42:15Z</dcterms:modified>
</cp:coreProperties>
</file>