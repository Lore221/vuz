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физхимия\4 семестр\Дипольный момент\"/>
    </mc:Choice>
  </mc:AlternateContent>
  <xr:revisionPtr revIDLastSave="0" documentId="13_ncr:1_{3898D552-8337-4B6F-976F-F32DAECECC0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2" i="1"/>
  <c r="B25" i="1"/>
  <c r="B24" i="1"/>
  <c r="B34" i="1"/>
  <c r="B17" i="1"/>
  <c r="B21" i="1" s="1"/>
  <c r="B20" i="1" l="1"/>
  <c r="B28" i="1" s="1"/>
  <c r="B29" i="1"/>
  <c r="B36" i="1" l="1"/>
</calcChain>
</file>

<file path=xl/sharedStrings.xml><?xml version="1.0" encoding="utf-8"?>
<sst xmlns="http://schemas.openxmlformats.org/spreadsheetml/2006/main" count="26" uniqueCount="26">
  <si>
    <t>m пуст, г</t>
  </si>
  <si>
    <t>m разб, г</t>
  </si>
  <si>
    <t>m конц, г</t>
  </si>
  <si>
    <t>m H2O, г</t>
  </si>
  <si>
    <t>C возд</t>
  </si>
  <si>
    <t>C гепт</t>
  </si>
  <si>
    <t>C разб</t>
  </si>
  <si>
    <t>C конц</t>
  </si>
  <si>
    <r>
      <rPr>
        <sz val="11"/>
        <color theme="1"/>
        <rFont val="Aptos Narrow"/>
        <family val="2"/>
      </rPr>
      <t>ε</t>
    </r>
    <r>
      <rPr>
        <sz val="11"/>
        <color theme="1"/>
        <rFont val="Calibri"/>
        <family val="2"/>
      </rPr>
      <t xml:space="preserve"> разб</t>
    </r>
  </si>
  <si>
    <r>
      <rPr>
        <sz val="11"/>
        <color theme="1"/>
        <rFont val="Aptos Narrow"/>
        <family val="2"/>
      </rPr>
      <t>ε</t>
    </r>
    <r>
      <rPr>
        <sz val="11"/>
        <color theme="1"/>
        <rFont val="Calibri"/>
        <family val="2"/>
      </rPr>
      <t xml:space="preserve"> конц</t>
    </r>
  </si>
  <si>
    <t>x разб</t>
  </si>
  <si>
    <t>x конц</t>
  </si>
  <si>
    <t>Добавочная ёмкость</t>
  </si>
  <si>
    <t>Cд</t>
  </si>
  <si>
    <t>Диэлектрическая проницаемость концентрированного и разбеланенного расстворов</t>
  </si>
  <si>
    <t>Плотности расстворов</t>
  </si>
  <si>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</rPr>
      <t xml:space="preserve"> разб</t>
    </r>
  </si>
  <si>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</rPr>
      <t xml:space="preserve"> конц</t>
    </r>
  </si>
  <si>
    <t>коэфициенты</t>
  </si>
  <si>
    <t>α</t>
  </si>
  <si>
    <t>β</t>
  </si>
  <si>
    <t>Полная поляризация</t>
  </si>
  <si>
    <r>
      <t>P2</t>
    </r>
    <r>
      <rPr>
        <sz val="11"/>
        <color theme="1"/>
        <rFont val="Aptos Narrow"/>
        <family val="2"/>
      </rPr>
      <t>∞</t>
    </r>
  </si>
  <si>
    <t>Rd</t>
  </si>
  <si>
    <t>M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</si>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</sst>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2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16" workbookViewId="0">
      <selection activeCell="A39" sqref="A39"/>
    </sheetView>
  </sheetViews>
  <sheetFormatPr defaultRowHeight="15" x14ac:dyDescent="0.25"/>
  <cols>
    <col min="2" max="2" width="9" bestFit="1" customWidth="1"/>
  </cols>
  <sheetData>
    <row r="1" spans="1:3" x14ac:dyDescent="0.25">
      <c r="A1" t="s">
        <v>0</v>
      </c>
      <c r="B1">
        <v>11.914300000000001</v>
      </c>
    </row>
    <row r="2" spans="1:3" x14ac:dyDescent="0.25">
      <c r="A2" t="s">
        <v>1</v>
      </c>
      <c r="B2">
        <v>15.097250000000001</v>
      </c>
      <c r="C2">
        <v>15.097250000000001</v>
      </c>
    </row>
    <row r="3" spans="1:3" x14ac:dyDescent="0.25">
      <c r="A3" t="s">
        <v>2</v>
      </c>
      <c r="B3">
        <v>15.36365</v>
      </c>
      <c r="C3">
        <v>15.36365</v>
      </c>
    </row>
    <row r="4" spans="1:3" x14ac:dyDescent="0.25">
      <c r="A4" t="s">
        <v>3</v>
      </c>
      <c r="B4">
        <v>17.361499999999999</v>
      </c>
    </row>
    <row r="6" spans="1:3" x14ac:dyDescent="0.25">
      <c r="A6" t="s">
        <v>4</v>
      </c>
      <c r="B6">
        <v>7.32</v>
      </c>
    </row>
    <row r="7" spans="1:3" x14ac:dyDescent="0.25">
      <c r="A7" t="s">
        <v>5</v>
      </c>
      <c r="B7">
        <v>9.66</v>
      </c>
    </row>
    <row r="8" spans="1:3" x14ac:dyDescent="0.25">
      <c r="A8" t="s">
        <v>6</v>
      </c>
      <c r="B8">
        <v>9.6199999999999992</v>
      </c>
    </row>
    <row r="9" spans="1:3" x14ac:dyDescent="0.25">
      <c r="A9" t="s">
        <v>7</v>
      </c>
      <c r="B9">
        <v>9.84</v>
      </c>
    </row>
    <row r="11" spans="1:3" x14ac:dyDescent="0.25">
      <c r="A11" t="s">
        <v>10</v>
      </c>
      <c r="B11">
        <v>0.01</v>
      </c>
    </row>
    <row r="12" spans="1:3" x14ac:dyDescent="0.25">
      <c r="A12" t="s">
        <v>11</v>
      </c>
      <c r="B12">
        <v>0.05</v>
      </c>
    </row>
    <row r="16" spans="1:3" x14ac:dyDescent="0.25">
      <c r="A16" s="1" t="s">
        <v>12</v>
      </c>
      <c r="B16" s="2"/>
    </row>
    <row r="17" spans="1:2" x14ac:dyDescent="0.25">
      <c r="A17" s="1" t="s">
        <v>13</v>
      </c>
      <c r="B17" s="2">
        <f>(1.9*B6-B7)/(1.9-1)</f>
        <v>4.72</v>
      </c>
    </row>
    <row r="19" spans="1:2" x14ac:dyDescent="0.25">
      <c r="A19" t="s">
        <v>14</v>
      </c>
    </row>
    <row r="20" spans="1:2" x14ac:dyDescent="0.25">
      <c r="A20" s="1" t="s">
        <v>8</v>
      </c>
      <c r="B20" s="2">
        <f>(B8-$B$17)/($B$6-$B$17)</f>
        <v>1.8846153846153839</v>
      </c>
    </row>
    <row r="21" spans="1:2" x14ac:dyDescent="0.25">
      <c r="A21" s="1" t="s">
        <v>9</v>
      </c>
      <c r="B21" s="2">
        <f>(B9-$B$17)/($B$6-$B$17)</f>
        <v>1.9692307692307689</v>
      </c>
    </row>
    <row r="23" spans="1:2" x14ac:dyDescent="0.25">
      <c r="A23" t="s">
        <v>15</v>
      </c>
    </row>
    <row r="24" spans="1:2" x14ac:dyDescent="0.25">
      <c r="A24" s="1" t="s">
        <v>16</v>
      </c>
      <c r="B24" s="2">
        <f>(B2-$B$1)/($B$4-$B$1)*0.9971</f>
        <v>0.58263317759582911</v>
      </c>
    </row>
    <row r="25" spans="1:2" x14ac:dyDescent="0.25">
      <c r="A25" s="1" t="s">
        <v>17</v>
      </c>
      <c r="B25" s="2">
        <f>(B3-$B$1)/($B$4-$B$1)*0.9971</f>
        <v>0.63139721049346453</v>
      </c>
    </row>
    <row r="27" spans="1:2" x14ac:dyDescent="0.25">
      <c r="A27" t="s">
        <v>18</v>
      </c>
    </row>
    <row r="28" spans="1:2" x14ac:dyDescent="0.25">
      <c r="A28" s="3" t="s">
        <v>19</v>
      </c>
      <c r="B28">
        <f>(B21-B20)/(1.9*(B12-B11))</f>
        <v>1.1133603238866445</v>
      </c>
    </row>
    <row r="29" spans="1:2" x14ac:dyDescent="0.25">
      <c r="A29" s="3" t="s">
        <v>20</v>
      </c>
      <c r="B29">
        <f>(B25-B24)/(0.684*(B12-B11))</f>
        <v>1.7823111439194232</v>
      </c>
    </row>
    <row r="31" spans="1:2" x14ac:dyDescent="0.25">
      <c r="A31" t="s">
        <v>21</v>
      </c>
    </row>
    <row r="32" spans="1:2" x14ac:dyDescent="0.25">
      <c r="A32" t="s">
        <v>22</v>
      </c>
      <c r="B32">
        <f>0.337*119.5+54.9*B28-33.8*B29</f>
        <v>41.152865116900287</v>
      </c>
    </row>
    <row r="34" spans="1:2" x14ac:dyDescent="0.25">
      <c r="A34" t="s">
        <v>23</v>
      </c>
      <c r="B34">
        <f>2.418+1.1+3*5.967</f>
        <v>21.419</v>
      </c>
    </row>
    <row r="36" spans="1:2" x14ac:dyDescent="0.25">
      <c r="A36" t="s">
        <v>24</v>
      </c>
      <c r="B36">
        <f>0.01283*((B32-B34)*(25+273))^(1/2)</f>
        <v>0.98387713116685238</v>
      </c>
    </row>
    <row r="38" spans="1:2" x14ac:dyDescent="0.25">
      <c r="A38" s="1" t="s">
        <v>25</v>
      </c>
      <c r="B38">
        <f>(0.02+0.005)*B36</f>
        <v>2.4596928279171312E-2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2025-05-04T13:49:01Z</dcterms:modified>
</cp:coreProperties>
</file>