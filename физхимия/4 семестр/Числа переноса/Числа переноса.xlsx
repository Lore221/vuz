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4 семестр\Числа переноса\"/>
    </mc:Choice>
  </mc:AlternateContent>
  <xr:revisionPtr revIDLastSave="0" documentId="8_{9F82191F-4CB9-42A3-AF7D-A27042AE9637}" xr6:coauthVersionLast="47" xr6:coauthVersionMax="47" xr10:uidLastSave="{00000000-0000-0000-0000-000000000000}"/>
  <bookViews>
    <workbookView xWindow="-120" yWindow="480" windowWidth="29040" windowHeight="15840" xr2:uid="{A75D53AF-80C6-4B9F-A2F1-B58A676119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9" i="1"/>
  <c r="E35" i="1"/>
  <c r="B35" i="1"/>
  <c r="E33" i="1"/>
  <c r="E32" i="1"/>
  <c r="B33" i="1"/>
  <c r="B32" i="1"/>
  <c r="B25" i="1"/>
  <c r="B30" i="1"/>
  <c r="B29" i="1"/>
  <c r="B23" i="1"/>
  <c r="B21" i="1"/>
  <c r="B11" i="1"/>
  <c r="D6" i="1"/>
  <c r="E6" i="1"/>
  <c r="F6" i="1"/>
  <c r="B6" i="1"/>
</calcChain>
</file>

<file path=xl/sharedStrings.xml><?xml version="1.0" encoding="utf-8"?>
<sst xmlns="http://schemas.openxmlformats.org/spreadsheetml/2006/main" count="37" uniqueCount="34">
  <si>
    <t>№</t>
  </si>
  <si>
    <t>До электролиза</t>
  </si>
  <si>
    <t>После электролиза</t>
  </si>
  <si>
    <t>анод</t>
  </si>
  <si>
    <t>катод</t>
  </si>
  <si>
    <t>среднее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</si>
  <si>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n</t>
    </r>
  </si>
  <si>
    <t>gн, г</t>
  </si>
  <si>
    <t>gк, г</t>
  </si>
  <si>
    <t>gос, г</t>
  </si>
  <si>
    <t>(катод)</t>
  </si>
  <si>
    <t>V(кат), мл</t>
  </si>
  <si>
    <t>Vн, мл</t>
  </si>
  <si>
    <t>Vк, мл</t>
  </si>
  <si>
    <t>V(ср), мл</t>
  </si>
  <si>
    <t>V(ан), мл</t>
  </si>
  <si>
    <t>Определение чисел переноса:</t>
  </si>
  <si>
    <t>n, моль</t>
  </si>
  <si>
    <t>C(NaOH)</t>
  </si>
  <si>
    <r>
      <t>Δ</t>
    </r>
    <r>
      <rPr>
        <sz val="11"/>
        <color theme="1"/>
        <rFont val="Aptos Narrow"/>
        <family val="2"/>
        <charset val="204"/>
      </rPr>
      <t>nА</t>
    </r>
  </si>
  <si>
    <r>
      <t>Δ</t>
    </r>
    <r>
      <rPr>
        <sz val="11"/>
        <color theme="1"/>
        <rFont val="Aptos Narrow"/>
        <family val="2"/>
        <charset val="204"/>
      </rPr>
      <t>nК</t>
    </r>
  </si>
  <si>
    <t>t(Na+)</t>
  </si>
  <si>
    <t>nср, моль</t>
  </si>
  <si>
    <t>t(Na+) по К</t>
  </si>
  <si>
    <t>t(Na+) по А</t>
  </si>
  <si>
    <t>t(OH-)</t>
  </si>
  <si>
    <t>t(OH-) по К</t>
  </si>
  <si>
    <t>t(OH-) по А</t>
  </si>
  <si>
    <t>ср значения</t>
  </si>
  <si>
    <t>Погрешность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</si>
  <si>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t(Na+)/(Na+)</t>
    </r>
  </si>
  <si>
    <t>по электродам</t>
  </si>
  <si>
    <t>по газу</t>
  </si>
  <si>
    <t>Δt(Na+)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</si>
</sst>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6" xfId="0" applyFont="1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15BB-AB76-4B49-880F-388DAFCBDCAE}">
  <dimension ref="A1:F40"/>
  <sheetViews>
    <sheetView tabSelected="1" topLeftCell="A9" workbookViewId="0">
      <selection activeCell="A42" sqref="A42"/>
    </sheetView>
  </sheetViews>
  <sheetFormatPr defaultRowHeight="15" x14ac:dyDescent="0.25"/>
  <cols>
    <col min="1" max="1" width="10.85546875" customWidth="1"/>
    <col min="2" max="2" width="8.85546875" customWidth="1"/>
    <col min="4" max="6" width="10.7109375" customWidth="1"/>
  </cols>
  <sheetData>
    <row r="1" spans="1:6" ht="16.5" thickTop="1" thickBot="1" x14ac:dyDescent="0.3">
      <c r="A1" s="13" t="s">
        <v>0</v>
      </c>
      <c r="B1" s="14" t="s">
        <v>1</v>
      </c>
      <c r="C1" s="13"/>
      <c r="D1" s="5" t="s">
        <v>2</v>
      </c>
      <c r="E1" s="10"/>
      <c r="F1" s="6"/>
    </row>
    <row r="2" spans="1:6" ht="16.5" thickTop="1" thickBot="1" x14ac:dyDescent="0.3">
      <c r="A2" s="15"/>
      <c r="B2" s="16"/>
      <c r="C2" s="15"/>
      <c r="D2" s="3" t="s">
        <v>3</v>
      </c>
      <c r="E2" s="7" t="s">
        <v>4</v>
      </c>
      <c r="F2" s="4" t="s">
        <v>5</v>
      </c>
    </row>
    <row r="3" spans="1:6" ht="16.5" thickTop="1" thickBot="1" x14ac:dyDescent="0.3">
      <c r="A3" s="19">
        <v>1</v>
      </c>
      <c r="B3" s="5">
        <v>28.7</v>
      </c>
      <c r="C3" s="6"/>
      <c r="D3" s="11">
        <v>31.3</v>
      </c>
      <c r="E3" s="22">
        <v>26.6</v>
      </c>
      <c r="F3" s="12">
        <v>27.9</v>
      </c>
    </row>
    <row r="4" spans="1:6" ht="16.5" thickTop="1" thickBot="1" x14ac:dyDescent="0.3">
      <c r="A4" s="20">
        <v>2</v>
      </c>
      <c r="B4" s="8">
        <v>29</v>
      </c>
      <c r="C4" s="9"/>
      <c r="D4" s="23">
        <v>31.5</v>
      </c>
      <c r="E4" s="24">
        <v>27</v>
      </c>
      <c r="F4" s="25">
        <v>28.3</v>
      </c>
    </row>
    <row r="5" spans="1:6" ht="16.5" thickTop="1" thickBot="1" x14ac:dyDescent="0.3">
      <c r="A5" s="21">
        <v>3</v>
      </c>
      <c r="B5" s="5">
        <v>29.2</v>
      </c>
      <c r="C5" s="6"/>
      <c r="D5" s="11">
        <v>31.4</v>
      </c>
      <c r="E5" s="22">
        <v>27.1</v>
      </c>
      <c r="F5" s="12">
        <v>28.4</v>
      </c>
    </row>
    <row r="6" spans="1:6" ht="16.5" thickTop="1" thickBot="1" x14ac:dyDescent="0.3">
      <c r="A6" s="7" t="s">
        <v>5</v>
      </c>
      <c r="B6" s="17">
        <f>AVERAGE(B3:C5)</f>
        <v>28.966666666666669</v>
      </c>
      <c r="C6" s="18"/>
      <c r="D6" s="26">
        <f t="shared" ref="D6:E6" si="0">AVERAGE(D3:D5)</f>
        <v>31.399999999999995</v>
      </c>
      <c r="E6" s="26">
        <f t="shared" si="0"/>
        <v>26.900000000000002</v>
      </c>
      <c r="F6" s="26">
        <f>AVERAGE(F3:F5)</f>
        <v>28.2</v>
      </c>
    </row>
    <row r="7" spans="1:6" ht="16.5" thickTop="1" thickBot="1" x14ac:dyDescent="0.3">
      <c r="A7" s="2" t="s">
        <v>6</v>
      </c>
      <c r="B7" s="5"/>
      <c r="C7" s="6"/>
      <c r="D7" s="7"/>
      <c r="E7" s="7"/>
      <c r="F7" s="4"/>
    </row>
    <row r="8" spans="1:6" ht="15.75" thickTop="1" x14ac:dyDescent="0.25"/>
    <row r="9" spans="1:6" x14ac:dyDescent="0.25">
      <c r="A9" t="s">
        <v>7</v>
      </c>
      <c r="B9">
        <v>7</v>
      </c>
      <c r="C9" t="s">
        <v>10</v>
      </c>
    </row>
    <row r="10" spans="1:6" x14ac:dyDescent="0.25">
      <c r="A10" t="s">
        <v>8</v>
      </c>
      <c r="B10">
        <v>7.04</v>
      </c>
      <c r="C10" t="s">
        <v>10</v>
      </c>
    </row>
    <row r="11" spans="1:6" x14ac:dyDescent="0.25">
      <c r="A11" t="s">
        <v>9</v>
      </c>
      <c r="B11">
        <f>B10-B9</f>
        <v>4.0000000000000036E-2</v>
      </c>
    </row>
    <row r="13" spans="1:6" x14ac:dyDescent="0.25">
      <c r="A13" t="s">
        <v>12</v>
      </c>
      <c r="B13">
        <v>23.5</v>
      </c>
    </row>
    <row r="14" spans="1:6" x14ac:dyDescent="0.25">
      <c r="A14" t="s">
        <v>13</v>
      </c>
      <c r="B14">
        <v>0</v>
      </c>
    </row>
    <row r="16" spans="1:6" x14ac:dyDescent="0.25">
      <c r="A16" t="s">
        <v>11</v>
      </c>
      <c r="B16">
        <v>53</v>
      </c>
    </row>
    <row r="17" spans="1:5" x14ac:dyDescent="0.25">
      <c r="A17" t="s">
        <v>14</v>
      </c>
      <c r="B17">
        <v>35</v>
      </c>
    </row>
    <row r="18" spans="1:5" x14ac:dyDescent="0.25">
      <c r="A18" t="s">
        <v>15</v>
      </c>
      <c r="B18">
        <v>40</v>
      </c>
    </row>
    <row r="20" spans="1:5" x14ac:dyDescent="0.25">
      <c r="A20" t="s">
        <v>16</v>
      </c>
    </row>
    <row r="21" spans="1:5" x14ac:dyDescent="0.25">
      <c r="A21" t="s">
        <v>17</v>
      </c>
      <c r="B21">
        <f>B11/31.77</f>
        <v>1.2590494176896454E-3</v>
      </c>
      <c r="C21" t="s">
        <v>31</v>
      </c>
    </row>
    <row r="23" spans="1:5" x14ac:dyDescent="0.25">
      <c r="A23" t="s">
        <v>17</v>
      </c>
      <c r="B23">
        <f>2.13*10^-5*(760-21.07)*(B13-B14)/293</f>
        <v>1.2623597662116037E-3</v>
      </c>
      <c r="C23" t="s">
        <v>32</v>
      </c>
    </row>
    <row r="25" spans="1:5" x14ac:dyDescent="0.25">
      <c r="A25" t="s">
        <v>22</v>
      </c>
      <c r="B25">
        <f>AVERAGE(B21,B23)</f>
        <v>1.2607045919506244E-3</v>
      </c>
    </row>
    <row r="27" spans="1:5" x14ac:dyDescent="0.25">
      <c r="A27" t="s">
        <v>18</v>
      </c>
      <c r="B27">
        <v>2.3E-2</v>
      </c>
    </row>
    <row r="29" spans="1:5" x14ac:dyDescent="0.25">
      <c r="A29" s="1" t="s">
        <v>20</v>
      </c>
      <c r="B29">
        <f>(B6-E6)*B16*B27*10^-3/10</f>
        <v>2.5192666666666661E-4</v>
      </c>
    </row>
    <row r="30" spans="1:5" x14ac:dyDescent="0.25">
      <c r="A30" s="1" t="s">
        <v>19</v>
      </c>
      <c r="B30">
        <f>(D6-B6)*B18*B27*10^-3/10</f>
        <v>2.2386666666666605E-4</v>
      </c>
    </row>
    <row r="31" spans="1:5" x14ac:dyDescent="0.25">
      <c r="A31" s="1"/>
    </row>
    <row r="32" spans="1:5" x14ac:dyDescent="0.25">
      <c r="A32" s="1" t="s">
        <v>23</v>
      </c>
      <c r="B32" s="27">
        <f>B29/B25</f>
        <v>0.19983005398344209</v>
      </c>
      <c r="D32" t="s">
        <v>26</v>
      </c>
      <c r="E32" s="27">
        <f>1-B32</f>
        <v>0.80016994601655789</v>
      </c>
    </row>
    <row r="33" spans="1:5" x14ac:dyDescent="0.25">
      <c r="A33" s="1" t="s">
        <v>24</v>
      </c>
      <c r="B33" s="27">
        <f>B30/B25</f>
        <v>0.17757265904797609</v>
      </c>
      <c r="D33" t="s">
        <v>27</v>
      </c>
      <c r="E33" s="27">
        <f>1-B33</f>
        <v>0.82242734095202397</v>
      </c>
    </row>
    <row r="34" spans="1:5" x14ac:dyDescent="0.25">
      <c r="A34" s="1" t="s">
        <v>28</v>
      </c>
    </row>
    <row r="35" spans="1:5" x14ac:dyDescent="0.25">
      <c r="A35" s="1" t="s">
        <v>21</v>
      </c>
      <c r="B35" s="27">
        <f>AVERAGE(B32:B33)</f>
        <v>0.18870135651570907</v>
      </c>
      <c r="D35" t="s">
        <v>25</v>
      </c>
      <c r="E35" s="27">
        <f>AVERAGE(E32:E33)</f>
        <v>0.81129864348429093</v>
      </c>
    </row>
    <row r="37" spans="1:5" x14ac:dyDescent="0.25">
      <c r="A37" s="1" t="s">
        <v>29</v>
      </c>
    </row>
    <row r="39" spans="1:5" x14ac:dyDescent="0.25">
      <c r="A39" s="1" t="s">
        <v>30</v>
      </c>
      <c r="C39">
        <f>2*0.001/B11+2*0.05/(B13-B14)+0.05/B16+0.001/B27+0.1/10</f>
        <v>0.10867697624491643</v>
      </c>
    </row>
    <row r="40" spans="1:5" x14ac:dyDescent="0.25">
      <c r="A40" s="1" t="s">
        <v>33</v>
      </c>
      <c r="C40">
        <f>B35*C39</f>
        <v>2.050749283944122E-2</v>
      </c>
    </row>
  </sheetData>
  <mergeCells count="8">
    <mergeCell ref="B6:C6"/>
    <mergeCell ref="A1:A2"/>
    <mergeCell ref="B1:C2"/>
    <mergeCell ref="B7:C7"/>
    <mergeCell ref="D1:F1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2025-05-10T14:56:19Z</dcterms:created>
  <dcterms:modified xsi:type="dcterms:W3CDTF">2025-05-10T15:41:30Z</dcterms:modified>
</cp:coreProperties>
</file>