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4 семестр\"/>
    </mc:Choice>
  </mc:AlternateContent>
  <xr:revisionPtr revIDLastSave="0" documentId="8_{FC9101AB-9DC3-4AB5-947D-7814E245C44A}" xr6:coauthVersionLast="47" xr6:coauthVersionMax="47" xr10:uidLastSave="{00000000-0000-0000-0000-000000000000}"/>
  <bookViews>
    <workbookView xWindow="-120" yWindow="480" windowWidth="29040" windowHeight="15840" activeTab="1" xr2:uid="{9E08FF5B-157B-4B90-AF8E-D98F416EC751}"/>
  </bookViews>
  <sheets>
    <sheet name="Леготин" sheetId="1" r:id="rId1"/>
    <sheet name="Егор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D31" i="2"/>
  <c r="C34" i="2"/>
  <c r="D30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F8" i="2" s="1"/>
  <c r="E3" i="2"/>
  <c r="E8" i="2" s="1"/>
  <c r="D3" i="2"/>
  <c r="C3" i="2"/>
  <c r="D2" i="2"/>
  <c r="C2" i="2"/>
  <c r="B7" i="2"/>
  <c r="B6" i="2"/>
  <c r="B5" i="2"/>
  <c r="B4" i="2"/>
  <c r="B3" i="2"/>
  <c r="B2" i="2"/>
  <c r="C36" i="1"/>
  <c r="C30" i="1"/>
  <c r="C31" i="1"/>
  <c r="C32" i="1" s="1"/>
  <c r="C34" i="1"/>
  <c r="B7" i="1"/>
  <c r="C7" i="1" s="1"/>
  <c r="B6" i="1"/>
  <c r="D6" i="1" s="1"/>
  <c r="B5" i="1"/>
  <c r="C5" i="1" s="1"/>
  <c r="B4" i="1"/>
  <c r="D4" i="1" s="1"/>
  <c r="B3" i="1"/>
  <c r="D3" i="1" s="1"/>
  <c r="B2" i="1"/>
  <c r="C3" i="1"/>
  <c r="C4" i="1"/>
  <c r="C6" i="1"/>
  <c r="D7" i="1" l="1"/>
  <c r="D5" i="1"/>
  <c r="E4" i="1"/>
  <c r="C2" i="1"/>
  <c r="F4" i="1"/>
  <c r="E3" i="1"/>
  <c r="D2" i="1"/>
  <c r="E7" i="1"/>
  <c r="E6" i="1"/>
  <c r="F6" i="1"/>
  <c r="F5" i="1"/>
  <c r="F3" i="1"/>
  <c r="E5" i="1"/>
  <c r="F7" i="1"/>
  <c r="E8" i="1" l="1"/>
  <c r="F8" i="1"/>
</calcChain>
</file>

<file path=xl/sharedStrings.xml><?xml version="1.0" encoding="utf-8"?>
<sst xmlns="http://schemas.openxmlformats.org/spreadsheetml/2006/main" count="25" uniqueCount="13">
  <si>
    <t>t</t>
  </si>
  <si>
    <t>c</t>
  </si>
  <si>
    <t>lnc</t>
  </si>
  <si>
    <t>1/c</t>
  </si>
  <si>
    <t>K2</t>
  </si>
  <si>
    <t>K1</t>
  </si>
  <si>
    <t>lnC</t>
  </si>
  <si>
    <t>C</t>
  </si>
  <si>
    <t>прореаг</t>
  </si>
  <si>
    <t>3)</t>
  </si>
  <si>
    <t>4)</t>
  </si>
  <si>
    <t>5)</t>
  </si>
  <si>
    <t>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</si>
</sst>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Леготин!$A$2:$A$7</c:f>
              <c:numCache>
                <c:formatCode>General</c:formatCode>
                <c:ptCount val="6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120</c:v>
                </c:pt>
              </c:numCache>
            </c:numRef>
          </c:xVal>
          <c:yVal>
            <c:numRef>
              <c:f>Леготин!$C$2:$C$7</c:f>
              <c:numCache>
                <c:formatCode>General</c:formatCode>
                <c:ptCount val="6"/>
                <c:pt idx="0">
                  <c:v>-5.1159958097540823</c:v>
                </c:pt>
                <c:pt idx="1">
                  <c:v>-5.9505529566015669</c:v>
                </c:pt>
                <c:pt idx="2">
                  <c:v>-6.5069007834316555</c:v>
                </c:pt>
                <c:pt idx="3">
                  <c:v>-7.0635907105402653</c:v>
                </c:pt>
                <c:pt idx="4">
                  <c:v>-7.8987695570522289</c:v>
                </c:pt>
                <c:pt idx="5">
                  <c:v>-8.4551578004967851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B8-49B7-8E96-A3C3E6AAB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957055"/>
        <c:axId val="974945535"/>
      </c:scatterChart>
      <c:valAx>
        <c:axId val="97495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945535"/>
        <c:crosses val="autoZero"/>
        <c:crossBetween val="midCat"/>
      </c:valAx>
      <c:valAx>
        <c:axId val="9749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95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Леготин!$A$2:$A$7</c:f>
              <c:numCache>
                <c:formatCode>General</c:formatCode>
                <c:ptCount val="6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120</c:v>
                </c:pt>
              </c:numCache>
            </c:numRef>
          </c:xVal>
          <c:yVal>
            <c:numRef>
              <c:f>Леготин!$D$2:$D$7</c:f>
              <c:numCache>
                <c:formatCode>General</c:formatCode>
                <c:ptCount val="6"/>
                <c:pt idx="0">
                  <c:v>166.66666666666666</c:v>
                </c:pt>
                <c:pt idx="1">
                  <c:v>383.96559668253724</c:v>
                </c:pt>
                <c:pt idx="2">
                  <c:v>669.74750519054317</c:v>
                </c:pt>
                <c:pt idx="3">
                  <c:v>1168.6338670094658</c:v>
                </c:pt>
                <c:pt idx="4">
                  <c:v>2693.9655172413795</c:v>
                </c:pt>
                <c:pt idx="5">
                  <c:v>4699.2481203007519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54-4602-8239-22670F1B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172639"/>
        <c:axId val="1362170239"/>
      </c:scatterChart>
      <c:valAx>
        <c:axId val="136217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2170239"/>
        <c:crosses val="autoZero"/>
        <c:crossBetween val="midCat"/>
      </c:valAx>
      <c:valAx>
        <c:axId val="13621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217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Егоров!$A$2:$A$7</c:f>
              <c:numCache>
                <c:formatCode>General</c:formatCode>
                <c:ptCount val="6"/>
                <c:pt idx="0">
                  <c:v>0</c:v>
                </c:pt>
                <c:pt idx="1">
                  <c:v>1200</c:v>
                </c:pt>
                <c:pt idx="2">
                  <c:v>2400</c:v>
                </c:pt>
                <c:pt idx="3">
                  <c:v>6000</c:v>
                </c:pt>
                <c:pt idx="4">
                  <c:v>12000</c:v>
                </c:pt>
                <c:pt idx="5">
                  <c:v>24000</c:v>
                </c:pt>
              </c:numCache>
            </c:numRef>
          </c:xVal>
          <c:yVal>
            <c:numRef>
              <c:f>Егоров!$C$2:$C$7</c:f>
              <c:numCache>
                <c:formatCode>General</c:formatCode>
                <c:ptCount val="6"/>
                <c:pt idx="0">
                  <c:v>-6.9077552789821368</c:v>
                </c:pt>
                <c:pt idx="1">
                  <c:v>-6.9170987939852893</c:v>
                </c:pt>
                <c:pt idx="2">
                  <c:v>-6.9265304343084706</c:v>
                </c:pt>
                <c:pt idx="3">
                  <c:v>-6.954532470541066</c:v>
                </c:pt>
                <c:pt idx="4">
                  <c:v>-6.9985556433086336</c:v>
                </c:pt>
                <c:pt idx="5">
                  <c:v>-7.0822277208326927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75-4431-ADCF-03573D98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115999"/>
        <c:axId val="1362131359"/>
      </c:scatterChart>
      <c:valAx>
        <c:axId val="136211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2131359"/>
        <c:crosses val="autoZero"/>
        <c:crossBetween val="midCat"/>
      </c:valAx>
      <c:valAx>
        <c:axId val="13621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211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Егоров!$A$2:$A$7</c:f>
              <c:numCache>
                <c:formatCode>General</c:formatCode>
                <c:ptCount val="6"/>
                <c:pt idx="0">
                  <c:v>0</c:v>
                </c:pt>
                <c:pt idx="1">
                  <c:v>1200</c:v>
                </c:pt>
                <c:pt idx="2">
                  <c:v>2400</c:v>
                </c:pt>
                <c:pt idx="3">
                  <c:v>6000</c:v>
                </c:pt>
                <c:pt idx="4">
                  <c:v>12000</c:v>
                </c:pt>
                <c:pt idx="5">
                  <c:v>24000</c:v>
                </c:pt>
              </c:numCache>
            </c:numRef>
          </c:xVal>
          <c:yVal>
            <c:numRef>
              <c:f>Егоров!$D$2:$D$7</c:f>
              <c:numCache>
                <c:formatCode>General</c:formatCode>
                <c:ptCount val="6"/>
                <c:pt idx="0">
                  <c:v>1000</c:v>
                </c:pt>
                <c:pt idx="1">
                  <c:v>1009.3873019077421</c:v>
                </c:pt>
                <c:pt idx="2">
                  <c:v>1018.9525168127165</c:v>
                </c:pt>
                <c:pt idx="3">
                  <c:v>1047.8885046631037</c:v>
                </c:pt>
                <c:pt idx="4">
                  <c:v>1095.0503723171264</c:v>
                </c:pt>
                <c:pt idx="5">
                  <c:v>1190.6179307060365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C-4E56-939E-642A6AB2F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133279"/>
        <c:axId val="1362142879"/>
      </c:scatterChart>
      <c:valAx>
        <c:axId val="13621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2142879"/>
        <c:crosses val="autoZero"/>
        <c:crossBetween val="midCat"/>
      </c:valAx>
      <c:valAx>
        <c:axId val="136214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6213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161925</xdr:rowOff>
    </xdr:from>
    <xdr:to>
      <xdr:col>8</xdr:col>
      <xdr:colOff>304800</xdr:colOff>
      <xdr:row>26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80DFF2-F982-6409-B05E-03E379AD7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185737</xdr:colOff>
      <xdr:row>12</xdr:row>
      <xdr:rowOff>19050</xdr:rowOff>
    </xdr:from>
    <xdr:to>
      <xdr:col>16</xdr:col>
      <xdr:colOff>490537</xdr:colOff>
      <xdr:row>26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7957917-A303-7115-F3C2-A2ADE07A7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12</xdr:row>
      <xdr:rowOff>28575</xdr:rowOff>
    </xdr:from>
    <xdr:to>
      <xdr:col>7</xdr:col>
      <xdr:colOff>423862</xdr:colOff>
      <xdr:row>26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316968-8AE5-15BE-AAE6-EC0D33595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157162</xdr:colOff>
      <xdr:row>12</xdr:row>
      <xdr:rowOff>76200</xdr:rowOff>
    </xdr:from>
    <xdr:to>
      <xdr:col>15</xdr:col>
      <xdr:colOff>461962</xdr:colOff>
      <xdr:row>26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C4ABD8-C3C4-2FF3-AAD5-6C3E5114D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9CA1-F2C9-493A-8B0D-6067E7D945F8}">
  <dimension ref="A1:F36"/>
  <sheetViews>
    <sheetView topLeftCell="A19" workbookViewId="0">
      <selection activeCell="A30" sqref="A30:C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0</v>
      </c>
      <c r="B2">
        <f>6*10^-3</f>
        <v>6.0000000000000001E-3</v>
      </c>
      <c r="C2">
        <f>LN(B2)</f>
        <v>-5.1159958097540823</v>
      </c>
      <c r="D2">
        <f>1/B2</f>
        <v>166.66666666666666</v>
      </c>
    </row>
    <row r="3" spans="1:6" x14ac:dyDescent="0.25">
      <c r="A3">
        <v>30</v>
      </c>
      <c r="B3">
        <f>2.6044*10^-3</f>
        <v>2.6044000000000002E-3</v>
      </c>
      <c r="C3">
        <f t="shared" ref="C3:C7" si="0">LN(B3)</f>
        <v>-5.9505529566015669</v>
      </c>
      <c r="D3">
        <f t="shared" ref="D3:D7" si="1">1/B3</f>
        <v>383.96559668253724</v>
      </c>
      <c r="E3">
        <f>1/A3*LN($B$2/B3)</f>
        <v>2.7818571561582833E-2</v>
      </c>
      <c r="F3">
        <f>($B$2-B3)/($B$2*B3*A3)</f>
        <v>7.2432976671956855</v>
      </c>
    </row>
    <row r="4" spans="1:6" x14ac:dyDescent="0.25">
      <c r="A4">
        <v>50</v>
      </c>
      <c r="B4">
        <f>1.4931*10^-3</f>
        <v>1.4931E-3</v>
      </c>
      <c r="C4">
        <f t="shared" si="0"/>
        <v>-6.5069007834316555</v>
      </c>
      <c r="D4">
        <f t="shared" si="1"/>
        <v>669.74750519054317</v>
      </c>
      <c r="E4">
        <f t="shared" ref="E4:E7" si="2">1/A4*LN($B$2/B4)</f>
        <v>2.7818099473551478E-2</v>
      </c>
      <c r="F4">
        <f>($B$2-B4)/($B$2*B4*A4)</f>
        <v>10.06161677047753</v>
      </c>
    </row>
    <row r="5" spans="1:6" x14ac:dyDescent="0.25">
      <c r="A5">
        <v>70</v>
      </c>
      <c r="B5">
        <f>0.8557*10^-3</f>
        <v>8.5570000000000004E-4</v>
      </c>
      <c r="C5">
        <f t="shared" si="0"/>
        <v>-7.0635907105402653</v>
      </c>
      <c r="D5">
        <f t="shared" si="1"/>
        <v>1168.6338670094658</v>
      </c>
      <c r="E5">
        <f t="shared" si="2"/>
        <v>2.7822784296945471E-2</v>
      </c>
      <c r="F5">
        <f>($B$2-B5)/($B$2*B5*A5)</f>
        <v>14.313817147754273</v>
      </c>
    </row>
    <row r="6" spans="1:6" x14ac:dyDescent="0.25">
      <c r="A6">
        <v>100</v>
      </c>
      <c r="B6">
        <f>0.3712*10^-3</f>
        <v>3.7119999999999997E-4</v>
      </c>
      <c r="C6">
        <f t="shared" si="0"/>
        <v>-7.8987695570522289</v>
      </c>
      <c r="D6">
        <f t="shared" si="1"/>
        <v>2693.9655172413795</v>
      </c>
      <c r="E6">
        <f t="shared" si="2"/>
        <v>2.7827737472981468E-2</v>
      </c>
      <c r="F6">
        <f>($B$2-B6)/($B$2*B6*A6)</f>
        <v>25.272988505747126</v>
      </c>
    </row>
    <row r="7" spans="1:6" x14ac:dyDescent="0.25">
      <c r="A7">
        <v>120</v>
      </c>
      <c r="B7">
        <f>0.2128*10^-3</f>
        <v>2.128E-4</v>
      </c>
      <c r="C7">
        <f t="shared" si="0"/>
        <v>-8.4551578004967851</v>
      </c>
      <c r="D7">
        <f t="shared" si="1"/>
        <v>4699.2481203007519</v>
      </c>
      <c r="E7">
        <f t="shared" si="2"/>
        <v>2.7826349922855858E-2</v>
      </c>
      <c r="F7">
        <f>($B$2-B7)/($B$2*B7*A7)</f>
        <v>37.771512113617383</v>
      </c>
    </row>
    <row r="8" spans="1:6" x14ac:dyDescent="0.25">
      <c r="E8">
        <f>AVERAGE(E3:E7)</f>
        <v>2.782270854558342E-2</v>
      </c>
      <c r="F8">
        <f>AVERAGE(F3:F7)</f>
        <v>18.932646440958401</v>
      </c>
    </row>
    <row r="30" spans="1:3" x14ac:dyDescent="0.25">
      <c r="A30" t="s">
        <v>9</v>
      </c>
      <c r="B30" t="s">
        <v>6</v>
      </c>
      <c r="C30">
        <f>LN(B2)-E8*80</f>
        <v>-7.3418124934007558</v>
      </c>
    </row>
    <row r="31" spans="1:3" x14ac:dyDescent="0.25">
      <c r="B31" t="s">
        <v>7</v>
      </c>
      <c r="C31">
        <f>EXP(1)^C30</f>
        <v>6.4787518662278386E-4</v>
      </c>
    </row>
    <row r="32" spans="1:3" x14ac:dyDescent="0.25">
      <c r="B32" t="s">
        <v>8</v>
      </c>
      <c r="C32">
        <f>B2-C31</f>
        <v>5.352124813377216E-3</v>
      </c>
    </row>
    <row r="34" spans="1:3" x14ac:dyDescent="0.25">
      <c r="A34" t="s">
        <v>10</v>
      </c>
      <c r="B34" t="s">
        <v>0</v>
      </c>
      <c r="C34">
        <f>(LN(B2)-LN(0.9*B2))/E8</f>
        <v>3.7868532995343775</v>
      </c>
    </row>
    <row r="36" spans="1:3" x14ac:dyDescent="0.25">
      <c r="A36" t="s">
        <v>11</v>
      </c>
      <c r="B36" t="s">
        <v>0</v>
      </c>
      <c r="C36">
        <f>LN(2)/E8</f>
        <v>24.913001529823219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8CFB-8A57-4351-B63B-BAA02CF15AFC}">
  <dimension ref="A1:F36"/>
  <sheetViews>
    <sheetView tabSelected="1" workbookViewId="0">
      <selection activeCell="E36" sqref="E36"/>
    </sheetView>
  </sheetViews>
  <sheetFormatPr defaultRowHeight="15" x14ac:dyDescent="0.25"/>
  <cols>
    <col min="4" max="4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>
        <v>0</v>
      </c>
      <c r="B2">
        <f>1*10^-3</f>
        <v>1E-3</v>
      </c>
      <c r="C2">
        <f>LN(B2)</f>
        <v>-6.9077552789821368</v>
      </c>
      <c r="D2">
        <f>1/B2</f>
        <v>1000</v>
      </c>
    </row>
    <row r="3" spans="1:6" x14ac:dyDescent="0.25">
      <c r="A3">
        <v>1200</v>
      </c>
      <c r="B3">
        <f>0.9907*10^-3</f>
        <v>9.9069999999999996E-4</v>
      </c>
      <c r="C3">
        <f t="shared" ref="C3:C7" si="0">LN(B3)</f>
        <v>-6.9170987939852893</v>
      </c>
      <c r="D3">
        <f t="shared" ref="D3:D7" si="1">1/B3</f>
        <v>1009.3873019077421</v>
      </c>
      <c r="E3">
        <f>1/A3*LN($B$2/B3)</f>
        <v>7.7862625026272195E-6</v>
      </c>
      <c r="F3">
        <f>($B$2-B3)/($B$2*B3*A3)</f>
        <v>7.8227515897850552E-3</v>
      </c>
    </row>
    <row r="4" spans="1:6" x14ac:dyDescent="0.25">
      <c r="A4">
        <v>2400</v>
      </c>
      <c r="B4">
        <f>0.9814*10^-3</f>
        <v>9.8140000000000011E-4</v>
      </c>
      <c r="C4">
        <f t="shared" si="0"/>
        <v>-6.9265304343084706</v>
      </c>
      <c r="D4">
        <f t="shared" si="1"/>
        <v>1018.9525168127165</v>
      </c>
      <c r="E4">
        <f t="shared" ref="E4:E7" si="2">1/A4*LN($B$2/B4)</f>
        <v>7.8229813859724946E-6</v>
      </c>
      <c r="F4">
        <f>($B$2-B4)/($B$2*B4*A4)</f>
        <v>7.896882005298516E-3</v>
      </c>
    </row>
    <row r="5" spans="1:6" x14ac:dyDescent="0.25">
      <c r="A5">
        <v>6000</v>
      </c>
      <c r="B5">
        <f>0.9543*10^-3</f>
        <v>9.5430000000000005E-4</v>
      </c>
      <c r="C5">
        <f t="shared" si="0"/>
        <v>-6.954532470541066</v>
      </c>
      <c r="D5">
        <f t="shared" si="1"/>
        <v>1047.8885046631037</v>
      </c>
      <c r="E5">
        <f t="shared" si="2"/>
        <v>7.7961985931548311E-6</v>
      </c>
      <c r="F5">
        <f>($B$2-B5)/($B$2*B5*A5)</f>
        <v>7.9814174438506361E-3</v>
      </c>
    </row>
    <row r="6" spans="1:6" x14ac:dyDescent="0.25">
      <c r="A6">
        <v>12000</v>
      </c>
      <c r="B6">
        <f>0.9132*10^-3</f>
        <v>9.1320000000000008E-4</v>
      </c>
      <c r="C6">
        <f t="shared" si="0"/>
        <v>-6.9985556433086336</v>
      </c>
      <c r="D6">
        <f t="shared" si="1"/>
        <v>1095.0503723171264</v>
      </c>
      <c r="E6">
        <f t="shared" si="2"/>
        <v>7.5666970272080451E-6</v>
      </c>
      <c r="F6">
        <f>($B$2-B6)/($B$2*B6*A6)</f>
        <v>7.9208643597605422E-3</v>
      </c>
    </row>
    <row r="7" spans="1:6" x14ac:dyDescent="0.25">
      <c r="A7">
        <v>24000</v>
      </c>
      <c r="B7">
        <f>0.8399*10^-3</f>
        <v>8.3989999999999998E-4</v>
      </c>
      <c r="C7">
        <f t="shared" si="0"/>
        <v>-7.0822277208326927</v>
      </c>
      <c r="D7">
        <f t="shared" si="1"/>
        <v>1190.6179307060365</v>
      </c>
      <c r="E7">
        <f t="shared" si="2"/>
        <v>7.2696850771064856E-6</v>
      </c>
      <c r="F7">
        <f>($B$2-B7)/($B$2*B7*A7)</f>
        <v>7.9424137794181868E-3</v>
      </c>
    </row>
    <row r="8" spans="1:6" x14ac:dyDescent="0.25">
      <c r="E8">
        <f>AVERAGE(E3:E7)</f>
        <v>7.6483649172138157E-6</v>
      </c>
      <c r="F8">
        <f>AVERAGE(F3:F7)</f>
        <v>7.9128658356225866E-3</v>
      </c>
    </row>
    <row r="30" spans="2:4" x14ac:dyDescent="0.25">
      <c r="B30" t="s">
        <v>9</v>
      </c>
      <c r="C30" t="s">
        <v>12</v>
      </c>
      <c r="D30">
        <f>1/(1/B2+F8*10^4)</f>
        <v>9.2667356413575551E-4</v>
      </c>
    </row>
    <row r="31" spans="2:4" x14ac:dyDescent="0.25">
      <c r="C31" t="s">
        <v>8</v>
      </c>
      <c r="D31">
        <f>B2-D30</f>
        <v>7.3326435864244513E-5</v>
      </c>
    </row>
    <row r="34" spans="2:3" x14ac:dyDescent="0.25">
      <c r="B34" t="s">
        <v>10</v>
      </c>
      <c r="C34">
        <f>(1/(0.9*B2)-1/(B2))/F8</f>
        <v>14041.829271375334</v>
      </c>
    </row>
    <row r="36" spans="2:3" x14ac:dyDescent="0.25">
      <c r="B36" t="s">
        <v>11</v>
      </c>
      <c r="C36">
        <f>1/(F8*B2)</f>
        <v>126376.46344237805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Леготин</vt:lpstr>
      <vt:lpstr>Егоров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2025-05-30T00:09:36Z</dcterms:created>
  <dcterms:modified xsi:type="dcterms:W3CDTF">2025-05-30T00:42:42Z</dcterms:modified>
</cp:coreProperties>
</file>