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"/>
    </mc:Choice>
  </mc:AlternateContent>
  <xr:revisionPtr revIDLastSave="0" documentId="13_ncr:1_{CF7D47D7-506B-42BE-A14F-F0626B4103E5}" xr6:coauthVersionLast="47" xr6:coauthVersionMax="47" xr10:uidLastSave="{00000000-0000-0000-0000-000000000000}"/>
  <bookViews>
    <workbookView xWindow="-120" yWindow="480" windowWidth="29040" windowHeight="15840" xr2:uid="{FE098AB8-B1DB-44C9-8390-B5B577F41B2A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10" i="1"/>
  <c r="F11" i="1"/>
  <c r="F12" i="1"/>
  <c r="F13" i="1"/>
  <c r="F2" i="1"/>
  <c r="B19" i="1"/>
  <c r="E6" i="1"/>
  <c r="E7" i="1"/>
  <c r="E9" i="1"/>
  <c r="F9" i="1" s="1"/>
  <c r="E10" i="1"/>
  <c r="E11" i="1"/>
  <c r="E12" i="1"/>
  <c r="E13" i="1"/>
  <c r="E2" i="1"/>
  <c r="D6" i="1"/>
  <c r="D7" i="1"/>
  <c r="D8" i="1"/>
  <c r="D10" i="1"/>
  <c r="D11" i="1"/>
  <c r="D12" i="1"/>
  <c r="D13" i="1"/>
  <c r="D2" i="1"/>
  <c r="C3" i="1"/>
  <c r="E3" i="1" s="1"/>
  <c r="F3" i="1" s="1"/>
  <c r="C4" i="1"/>
  <c r="D4" i="1" s="1"/>
  <c r="C5" i="1"/>
  <c r="E5" i="1" s="1"/>
  <c r="F5" i="1" s="1"/>
  <c r="C6" i="1"/>
  <c r="C7" i="1"/>
  <c r="C8" i="1"/>
  <c r="E8" i="1" s="1"/>
  <c r="F8" i="1" s="1"/>
  <c r="C9" i="1"/>
  <c r="D9" i="1" s="1"/>
  <c r="C10" i="1"/>
  <c r="C11" i="1"/>
  <c r="C12" i="1"/>
  <c r="C13" i="1"/>
  <c r="C2" i="1"/>
  <c r="D5" i="1" l="1"/>
  <c r="D3" i="1"/>
  <c r="E4" i="1"/>
  <c r="F4" i="1" s="1"/>
</calcChain>
</file>

<file path=xl/sharedStrings.xml><?xml version="1.0" encoding="utf-8"?>
<sst xmlns="http://schemas.openxmlformats.org/spreadsheetml/2006/main" count="9" uniqueCount="9">
  <si>
    <t>τ, мин</t>
  </si>
  <si>
    <r>
      <t>α</t>
    </r>
    <r>
      <rPr>
        <vertAlign val="subscript"/>
        <sz val="11"/>
        <color theme="1"/>
        <rFont val="Aptos Narrow"/>
        <family val="2"/>
        <scheme val="minor"/>
      </rPr>
      <t>τ</t>
    </r>
    <r>
      <rPr>
        <sz val="11"/>
        <color theme="1"/>
        <rFont val="Aptos Narrow"/>
        <family val="2"/>
        <charset val="204"/>
        <scheme val="minor"/>
      </rPr>
      <t>-α</t>
    </r>
    <r>
      <rPr>
        <vertAlign val="subscript"/>
        <sz val="11"/>
        <color theme="1"/>
        <rFont val="Aptos Narrow"/>
        <family val="2"/>
      </rPr>
      <t>∞</t>
    </r>
  </si>
  <si>
    <r>
      <t>α</t>
    </r>
    <r>
      <rPr>
        <vertAlign val="subscript"/>
        <sz val="11"/>
        <color theme="1"/>
        <rFont val="Aptos Narrow"/>
        <family val="2"/>
      </rPr>
      <t>τ</t>
    </r>
  </si>
  <si>
    <r>
      <t>ln(α</t>
    </r>
    <r>
      <rPr>
        <vertAlign val="subscript"/>
        <sz val="11"/>
        <color theme="1"/>
        <rFont val="Aptos Narrow"/>
        <family val="2"/>
        <scheme val="minor"/>
      </rPr>
      <t>τ</t>
    </r>
    <r>
      <rPr>
        <sz val="11"/>
        <color theme="1"/>
        <rFont val="Aptos Narrow"/>
        <family val="2"/>
        <charset val="204"/>
        <scheme val="minor"/>
      </rPr>
      <t>-α</t>
    </r>
    <r>
      <rPr>
        <vertAlign val="subscript"/>
        <sz val="11"/>
        <color theme="1"/>
        <rFont val="Aptos Narrow"/>
        <family val="2"/>
      </rPr>
      <t>∞)</t>
    </r>
  </si>
  <si>
    <t>K</t>
  </si>
  <si>
    <t>ΔK</t>
  </si>
  <si>
    <r>
      <t>α</t>
    </r>
    <r>
      <rPr>
        <vertAlign val="subscript"/>
        <sz val="11"/>
        <color theme="1"/>
        <rFont val="Aptos Narrow"/>
        <family val="2"/>
      </rPr>
      <t>∞</t>
    </r>
  </si>
  <si>
    <r>
      <t>α</t>
    </r>
    <r>
      <rPr>
        <vertAlign val="subscript"/>
        <sz val="11"/>
        <color theme="1"/>
        <rFont val="Aptos Narrow"/>
        <family val="2"/>
        <scheme val="minor"/>
      </rPr>
      <t>0</t>
    </r>
  </si>
  <si>
    <t>ΔK/K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</si>
</sst>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00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5870516185478"/>
          <c:y val="7.407407407407407E-2"/>
          <c:w val="0.85847462817147857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Лист1!$A$2:$A$13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Лист1!$C$2:$C$13</c:f>
              <c:numCache>
                <c:formatCode>0.00</c:formatCode>
                <c:ptCount val="12"/>
                <c:pt idx="0">
                  <c:v>32.1</c:v>
                </c:pt>
                <c:pt idx="1">
                  <c:v>30.7</c:v>
                </c:pt>
                <c:pt idx="2">
                  <c:v>29.45</c:v>
                </c:pt>
                <c:pt idx="3">
                  <c:v>28.3</c:v>
                </c:pt>
                <c:pt idx="4">
                  <c:v>27.75</c:v>
                </c:pt>
                <c:pt idx="5">
                  <c:v>27.25</c:v>
                </c:pt>
                <c:pt idx="6">
                  <c:v>26.55</c:v>
                </c:pt>
                <c:pt idx="7">
                  <c:v>26.1</c:v>
                </c:pt>
                <c:pt idx="8">
                  <c:v>25.8</c:v>
                </c:pt>
                <c:pt idx="9">
                  <c:v>25.1</c:v>
                </c:pt>
                <c:pt idx="10">
                  <c:v>24.85</c:v>
                </c:pt>
                <c:pt idx="11">
                  <c:v>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2-47B5-9BB3-BB51EC916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893663"/>
        <c:axId val="1597894143"/>
      </c:scatterChart>
      <c:valAx>
        <c:axId val="159789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7894143"/>
        <c:crosses val="autoZero"/>
        <c:crossBetween val="midCat"/>
      </c:valAx>
      <c:valAx>
        <c:axId val="1597894143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789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Лист1!$A$2:$A$13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Лист1!$D$2:$D$13</c:f>
              <c:numCache>
                <c:formatCode>0.000</c:formatCode>
                <c:ptCount val="12"/>
                <c:pt idx="0">
                  <c:v>3.4688560301359703</c:v>
                </c:pt>
                <c:pt idx="1">
                  <c:v>3.4242626545931514</c:v>
                </c:pt>
                <c:pt idx="2">
                  <c:v>3.3826939100975957</c:v>
                </c:pt>
                <c:pt idx="3">
                  <c:v>3.3428618046491918</c:v>
                </c:pt>
                <c:pt idx="4">
                  <c:v>3.3232358401924436</c:v>
                </c:pt>
                <c:pt idx="5">
                  <c:v>3.3050535211092531</c:v>
                </c:pt>
                <c:pt idx="6">
                  <c:v>3.279029747687948</c:v>
                </c:pt>
                <c:pt idx="7">
                  <c:v>3.2619353143286478</c:v>
                </c:pt>
                <c:pt idx="8">
                  <c:v>3.2503744919275719</c:v>
                </c:pt>
                <c:pt idx="9">
                  <c:v>3.2228678461377385</c:v>
                </c:pt>
                <c:pt idx="10">
                  <c:v>3.2128577525426376</c:v>
                </c:pt>
                <c:pt idx="11">
                  <c:v>3.1863526331626408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F4-4D82-8653-255448B43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539807"/>
        <c:axId val="1112540767"/>
      </c:scatterChart>
      <c:valAx>
        <c:axId val="111253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2540767"/>
        <c:crosses val="autoZero"/>
        <c:crossBetween val="midCat"/>
      </c:valAx>
      <c:valAx>
        <c:axId val="111254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253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0</xdr:row>
      <xdr:rowOff>28574</xdr:rowOff>
    </xdr:from>
    <xdr:to>
      <xdr:col>14</xdr:col>
      <xdr:colOff>285750</xdr:colOff>
      <xdr:row>14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E138E3B-A265-1A44-5796-974F5F719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566737</xdr:colOff>
      <xdr:row>14</xdr:row>
      <xdr:rowOff>228600</xdr:rowOff>
    </xdr:from>
    <xdr:to>
      <xdr:col>14</xdr:col>
      <xdr:colOff>261937</xdr:colOff>
      <xdr:row>29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2B1FE8-5BA0-9740-73A1-B591F2F4C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706D-8476-4941-83DE-84C7077AE496}">
  <dimension ref="A1:F19"/>
  <sheetViews>
    <sheetView tabSelected="1" workbookViewId="0">
      <selection activeCell="F1" sqref="F1"/>
    </sheetView>
  </sheetViews>
  <sheetFormatPr defaultRowHeight="15" x14ac:dyDescent="0.25"/>
  <sheetData>
    <row r="1" spans="1:6" ht="18.75" thickBot="1" x14ac:dyDescent="0.4">
      <c r="A1" s="1" t="s">
        <v>0</v>
      </c>
      <c r="B1" s="1" t="s">
        <v>2</v>
      </c>
      <c r="C1" s="2" t="s">
        <v>1</v>
      </c>
      <c r="D1" s="2" t="s">
        <v>3</v>
      </c>
      <c r="E1" s="2" t="s">
        <v>4</v>
      </c>
      <c r="F1" s="1" t="s">
        <v>5</v>
      </c>
    </row>
    <row r="2" spans="1:6" ht="15.75" thickBot="1" x14ac:dyDescent="0.3">
      <c r="A2" s="2">
        <v>5</v>
      </c>
      <c r="B2" s="3">
        <v>26.1</v>
      </c>
      <c r="C2" s="3">
        <f>B2-$B$15</f>
        <v>32.1</v>
      </c>
      <c r="D2" s="4">
        <f>LN(C2)</f>
        <v>3.4688560301359703</v>
      </c>
      <c r="E2" s="5">
        <f>1/A2*LN(($B$16-$B$15)/C2)</f>
        <v>7.0429515381001437E-2</v>
      </c>
      <c r="F2" s="6">
        <f>$B$19*E2</f>
        <v>3.5453803620703935E-3</v>
      </c>
    </row>
    <row r="3" spans="1:6" ht="15.75" thickBot="1" x14ac:dyDescent="0.3">
      <c r="A3" s="2">
        <v>10</v>
      </c>
      <c r="B3" s="3">
        <v>24.7</v>
      </c>
      <c r="C3" s="3">
        <f t="shared" ref="C3:C13" si="0">B3-$B$15</f>
        <v>30.7</v>
      </c>
      <c r="D3" s="4">
        <f t="shared" ref="D3:D13" si="1">LN(C3)</f>
        <v>3.4242626545931514</v>
      </c>
      <c r="E3" s="5">
        <f t="shared" ref="E3:E13" si="2">1/A3*LN(($B$16-$B$15)/C3)</f>
        <v>3.9674095244782603E-2</v>
      </c>
      <c r="F3" s="6">
        <f t="shared" ref="F3:F13" si="3">$B$19*E3</f>
        <v>1.9971706095496715E-3</v>
      </c>
    </row>
    <row r="4" spans="1:6" ht="15.75" thickBot="1" x14ac:dyDescent="0.3">
      <c r="A4" s="2">
        <v>15</v>
      </c>
      <c r="B4" s="3">
        <v>23.45</v>
      </c>
      <c r="C4" s="3">
        <f t="shared" si="0"/>
        <v>29.45</v>
      </c>
      <c r="D4" s="4">
        <f t="shared" si="1"/>
        <v>3.3826939100975957</v>
      </c>
      <c r="E4" s="5">
        <f t="shared" si="2"/>
        <v>2.9220646462892123E-2</v>
      </c>
      <c r="F4" s="6">
        <f t="shared" si="3"/>
        <v>1.4709501488985876E-3</v>
      </c>
    </row>
    <row r="5" spans="1:6" ht="15.75" thickBot="1" x14ac:dyDescent="0.3">
      <c r="A5" s="2">
        <v>20</v>
      </c>
      <c r="B5" s="3">
        <v>22.3</v>
      </c>
      <c r="C5" s="3">
        <f t="shared" si="0"/>
        <v>28.3</v>
      </c>
      <c r="D5" s="4">
        <f t="shared" si="1"/>
        <v>3.3428618046491918</v>
      </c>
      <c r="E5" s="5">
        <f t="shared" si="2"/>
        <v>2.3907090119589275E-2</v>
      </c>
      <c r="F5" s="6">
        <f t="shared" si="3"/>
        <v>1.2034688491851121E-3</v>
      </c>
    </row>
    <row r="6" spans="1:6" ht="15.75" thickBot="1" x14ac:dyDescent="0.3">
      <c r="A6" s="2">
        <v>25</v>
      </c>
      <c r="B6" s="3">
        <v>21.75</v>
      </c>
      <c r="C6" s="3">
        <f t="shared" si="0"/>
        <v>27.75</v>
      </c>
      <c r="D6" s="4">
        <f t="shared" si="1"/>
        <v>3.3232358401924436</v>
      </c>
      <c r="E6" s="5">
        <f t="shared" si="2"/>
        <v>1.9910710673941356E-2</v>
      </c>
      <c r="F6" s="6">
        <f t="shared" si="3"/>
        <v>1.0022934594449756E-3</v>
      </c>
    </row>
    <row r="7" spans="1:6" ht="15.75" thickBot="1" x14ac:dyDescent="0.3">
      <c r="A7" s="2">
        <v>30</v>
      </c>
      <c r="B7" s="3">
        <v>21.25</v>
      </c>
      <c r="C7" s="3">
        <f t="shared" si="0"/>
        <v>27.25</v>
      </c>
      <c r="D7" s="4">
        <f t="shared" si="1"/>
        <v>3.3050535211092531</v>
      </c>
      <c r="E7" s="5">
        <f t="shared" si="2"/>
        <v>1.7198336197724148E-2</v>
      </c>
      <c r="F7" s="6">
        <f t="shared" si="3"/>
        <v>8.6575412433043196E-4</v>
      </c>
    </row>
    <row r="8" spans="1:6" ht="15.75" thickBot="1" x14ac:dyDescent="0.3">
      <c r="A8" s="2">
        <v>35</v>
      </c>
      <c r="B8" s="3">
        <v>20.55</v>
      </c>
      <c r="C8" s="3">
        <f t="shared" si="0"/>
        <v>26.55</v>
      </c>
      <c r="D8" s="4">
        <f t="shared" si="1"/>
        <v>3.279029747687948</v>
      </c>
      <c r="E8" s="5">
        <f t="shared" si="2"/>
        <v>1.5484967410086561E-2</v>
      </c>
      <c r="F8" s="6">
        <f t="shared" si="3"/>
        <v>7.7950414774301268E-4</v>
      </c>
    </row>
    <row r="9" spans="1:6" ht="15.75" thickBot="1" x14ac:dyDescent="0.3">
      <c r="A9" s="2">
        <v>40</v>
      </c>
      <c r="B9" s="3">
        <v>20.100000000000001</v>
      </c>
      <c r="C9" s="3">
        <f t="shared" si="0"/>
        <v>26.1</v>
      </c>
      <c r="D9" s="4">
        <f t="shared" si="1"/>
        <v>3.2619353143286478</v>
      </c>
      <c r="E9" s="5">
        <f t="shared" si="2"/>
        <v>1.3976707317808243E-2</v>
      </c>
      <c r="F9" s="6">
        <f t="shared" si="3"/>
        <v>7.0357922218970573E-4</v>
      </c>
    </row>
    <row r="10" spans="1:6" ht="15.75" thickBot="1" x14ac:dyDescent="0.3">
      <c r="A10" s="2">
        <v>45</v>
      </c>
      <c r="B10" s="3">
        <v>19.8</v>
      </c>
      <c r="C10" s="3">
        <f t="shared" si="0"/>
        <v>25.8</v>
      </c>
      <c r="D10" s="4">
        <f t="shared" si="1"/>
        <v>3.2503744919275719</v>
      </c>
      <c r="E10" s="5">
        <f t="shared" si="2"/>
        <v>1.2680647002520126E-2</v>
      </c>
      <c r="F10" s="6">
        <f t="shared" si="3"/>
        <v>6.3833630854727029E-4</v>
      </c>
    </row>
    <row r="11" spans="1:6" ht="15.75" thickBot="1" x14ac:dyDescent="0.3">
      <c r="A11" s="2">
        <v>50</v>
      </c>
      <c r="B11" s="3">
        <v>19.100000000000001</v>
      </c>
      <c r="C11" s="3">
        <f t="shared" si="0"/>
        <v>25.1</v>
      </c>
      <c r="D11" s="4">
        <f t="shared" si="1"/>
        <v>3.2228678461377385</v>
      </c>
      <c r="E11" s="5">
        <f t="shared" si="2"/>
        <v>1.1962715218064785E-2</v>
      </c>
      <c r="F11" s="6">
        <f t="shared" si="3"/>
        <v>6.0219604496396109E-4</v>
      </c>
    </row>
    <row r="12" spans="1:6" ht="15.75" thickBot="1" x14ac:dyDescent="0.3">
      <c r="A12" s="2">
        <v>55</v>
      </c>
      <c r="B12" s="3">
        <v>18.850000000000001</v>
      </c>
      <c r="C12" s="3">
        <f t="shared" si="0"/>
        <v>24.85</v>
      </c>
      <c r="D12" s="4">
        <f t="shared" si="1"/>
        <v>3.2128577525426376</v>
      </c>
      <c r="E12" s="5">
        <f t="shared" si="2"/>
        <v>1.1057197354515267E-2</v>
      </c>
      <c r="F12" s="6">
        <f t="shared" si="3"/>
        <v>5.566128085386482E-4</v>
      </c>
    </row>
    <row r="13" spans="1:6" ht="15.75" thickBot="1" x14ac:dyDescent="0.3">
      <c r="A13" s="2">
        <v>60</v>
      </c>
      <c r="B13" s="3">
        <v>18.2</v>
      </c>
      <c r="C13" s="3">
        <f t="shared" si="0"/>
        <v>24.2</v>
      </c>
      <c r="D13" s="4">
        <f t="shared" si="1"/>
        <v>3.1863526331626408</v>
      </c>
      <c r="E13" s="5">
        <f t="shared" si="2"/>
        <v>1.0577516231305614E-2</v>
      </c>
      <c r="F13" s="6">
        <f t="shared" si="3"/>
        <v>5.3246594305074327E-4</v>
      </c>
    </row>
    <row r="14" spans="1:6" ht="15.75" thickBot="1" x14ac:dyDescent="0.3"/>
    <row r="15" spans="1:6" ht="18.75" thickBot="1" x14ac:dyDescent="0.4">
      <c r="A15" s="2" t="s">
        <v>6</v>
      </c>
      <c r="B15" s="3">
        <v>-6</v>
      </c>
    </row>
    <row r="16" spans="1:6" ht="18.75" thickBot="1" x14ac:dyDescent="0.4">
      <c r="A16" s="2" t="s">
        <v>7</v>
      </c>
      <c r="B16" s="3">
        <v>39.65</v>
      </c>
    </row>
    <row r="18" spans="1:2" ht="15.75" thickBot="1" x14ac:dyDescent="0.3"/>
    <row r="19" spans="1:2" ht="15.75" thickBot="1" x14ac:dyDescent="0.3">
      <c r="A19" s="1" t="s">
        <v>8</v>
      </c>
      <c r="B19" s="2">
        <f>0.5/30+2*1/(($B$16-$B$15)*LN($B$16-$B$15))+2*1/($C$7*$D$7)</f>
        <v>5.0339411578952449E-2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2025-03-24T20:33:36Z</dcterms:created>
  <dcterms:modified xsi:type="dcterms:W3CDTF">2025-05-22T00:36:19Z</dcterms:modified>
</cp:coreProperties>
</file>