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ОХТ\какой-то курсач\"/>
    </mc:Choice>
  </mc:AlternateContent>
  <xr:revisionPtr revIDLastSave="0" documentId="13_ncr:1_{193CC85E-AB63-463B-BC9E-82B43BE0DE55}" xr6:coauthVersionLast="47" xr6:coauthVersionMax="47" xr10:uidLastSave="{00000000-0000-0000-0000-000000000000}"/>
  <bookViews>
    <workbookView xWindow="4215" yWindow="1860" windowWidth="23325" windowHeight="14040" xr2:uid="{00000000-000D-0000-FFFF-FFFF00000000}"/>
  </bookViews>
  <sheets>
    <sheet name="Лист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/>
  <c r="G24" i="2"/>
  <c r="J24" i="2"/>
  <c r="I24" i="2"/>
  <c r="H24" i="2"/>
  <c r="M19" i="2"/>
  <c r="E24" i="2"/>
  <c r="C37" i="2"/>
  <c r="C36" i="2"/>
  <c r="B34" i="2"/>
  <c r="F20" i="2"/>
  <c r="F21" i="2"/>
  <c r="F22" i="2"/>
  <c r="F19" i="2"/>
  <c r="F23" i="2" s="1"/>
  <c r="F24" i="2" s="1"/>
  <c r="D24" i="2"/>
  <c r="D20" i="2" l="1"/>
  <c r="E20" i="2" s="1"/>
  <c r="D21" i="2"/>
  <c r="E21" i="2" s="1"/>
  <c r="D19" i="2"/>
  <c r="C21" i="2" l="1"/>
  <c r="C20" i="2"/>
  <c r="D22" i="2"/>
  <c r="D23" i="2"/>
  <c r="E22" i="2"/>
  <c r="E19" i="2"/>
  <c r="C22" i="2" l="1"/>
  <c r="E23" i="2"/>
  <c r="C19" i="2"/>
  <c r="G29" i="2" l="1"/>
  <c r="I29" i="2" s="1"/>
  <c r="C23" i="2"/>
  <c r="I23" i="2"/>
  <c r="G23" i="2" l="1"/>
  <c r="H23" i="2"/>
  <c r="M22" i="2" l="1"/>
  <c r="L22" i="2" l="1"/>
  <c r="K22" i="2" s="1"/>
  <c r="H29" i="2"/>
  <c r="I22" i="2"/>
  <c r="I19" i="2"/>
  <c r="M21" i="2"/>
  <c r="M20" i="2"/>
  <c r="L19" i="2"/>
  <c r="I20" i="2" l="1"/>
  <c r="L20" i="2"/>
  <c r="K20" i="2" s="1"/>
  <c r="L21" i="2"/>
  <c r="K21" i="2" s="1"/>
  <c r="I21" i="2"/>
  <c r="M24" i="2"/>
  <c r="H22" i="2"/>
  <c r="G22" i="2"/>
  <c r="K19" i="2"/>
  <c r="K24" i="2" s="1"/>
  <c r="G19" i="2"/>
  <c r="H19" i="2"/>
  <c r="J29" i="2"/>
  <c r="K29" i="2" s="1"/>
  <c r="H21" i="2" l="1"/>
  <c r="G21" i="2"/>
  <c r="L24" i="2"/>
  <c r="G20" i="2"/>
  <c r="H20" i="2"/>
  <c r="J23" i="2" l="1"/>
  <c r="J22" i="2"/>
  <c r="J21" i="2"/>
  <c r="J20" i="2"/>
  <c r="B35" i="2" l="1"/>
  <c r="J30" i="2" l="1"/>
</calcChain>
</file>

<file path=xl/sharedStrings.xml><?xml version="1.0" encoding="utf-8"?>
<sst xmlns="http://schemas.openxmlformats.org/spreadsheetml/2006/main" count="61" uniqueCount="52">
  <si>
    <t>Условие задачи для расчета материального баланса реактора</t>
  </si>
  <si>
    <t>Условие задачи для расчета теплового баланса реактора</t>
  </si>
  <si>
    <t>Расход исходной смеси</t>
  </si>
  <si>
    <r>
      <t>м</t>
    </r>
    <r>
      <rPr>
        <vertAlign val="superscript"/>
        <sz val="12"/>
        <rFont val="Arial Rounded MT Bold"/>
        <family val="2"/>
      </rPr>
      <t>3</t>
    </r>
    <r>
      <rPr>
        <sz val="12"/>
        <rFont val="Arial Rounded MT Bold"/>
        <family val="2"/>
      </rPr>
      <t>/ч</t>
    </r>
  </si>
  <si>
    <r>
      <t>Т</t>
    </r>
    <r>
      <rPr>
        <b/>
        <i/>
        <vertAlign val="subscript"/>
        <sz val="12"/>
        <rFont val="Arial Rounded MT Bold"/>
        <family val="2"/>
      </rPr>
      <t>вх</t>
    </r>
    <r>
      <rPr>
        <b/>
        <sz val="12"/>
        <rFont val="Arial Rounded MT Bold"/>
        <family val="2"/>
      </rPr>
      <t>, °С</t>
    </r>
  </si>
  <si>
    <t>Состав исходной смеси (объёмные доли):</t>
  </si>
  <si>
    <t>Все газы считать идеальными</t>
  </si>
  <si>
    <t>РЕШЕНИЕ</t>
  </si>
  <si>
    <t>Исходная смесь</t>
  </si>
  <si>
    <t>Конечная смесь</t>
  </si>
  <si>
    <t>Производительность</t>
  </si>
  <si>
    <t>вещество</t>
  </si>
  <si>
    <t>MM</t>
  </si>
  <si>
    <t>GN</t>
  </si>
  <si>
    <t>VN</t>
  </si>
  <si>
    <t>NN</t>
  </si>
  <si>
    <t>ZN</t>
  </si>
  <si>
    <t>GK</t>
  </si>
  <si>
    <t>VK</t>
  </si>
  <si>
    <t>NK</t>
  </si>
  <si>
    <t>ZK</t>
  </si>
  <si>
    <t>GR</t>
  </si>
  <si>
    <t>VR</t>
  </si>
  <si>
    <t>NR</t>
  </si>
  <si>
    <r>
      <t>CH</t>
    </r>
    <r>
      <rPr>
        <vertAlign val="subscript"/>
        <sz val="12"/>
        <rFont val="Arial Rounded MT Bold"/>
        <family val="2"/>
      </rPr>
      <t>4</t>
    </r>
  </si>
  <si>
    <t>сумма</t>
  </si>
  <si>
    <t>Дж/(моль*/К)</t>
  </si>
  <si>
    <t>кДж/моль</t>
  </si>
  <si>
    <t>Вещество</t>
  </si>
  <si>
    <r>
      <t>Ср</t>
    </r>
    <r>
      <rPr>
        <vertAlign val="subscript"/>
        <sz val="12"/>
        <rFont val="Arial Rounded MT Bold"/>
        <family val="2"/>
      </rPr>
      <t>298</t>
    </r>
  </si>
  <si>
    <r>
      <t>ΔH°</t>
    </r>
    <r>
      <rPr>
        <vertAlign val="subscript"/>
        <sz val="12"/>
        <rFont val="Arial Rounded MT Bold"/>
        <family val="2"/>
      </rPr>
      <t>обр, 298</t>
    </r>
  </si>
  <si>
    <r>
      <t>Q</t>
    </r>
    <r>
      <rPr>
        <i/>
        <vertAlign val="subscript"/>
        <sz val="12"/>
        <rFont val="Arial Rounded MT Bold"/>
        <family val="2"/>
      </rPr>
      <t>вх</t>
    </r>
  </si>
  <si>
    <r>
      <t>Q</t>
    </r>
    <r>
      <rPr>
        <i/>
        <vertAlign val="subscript"/>
        <sz val="12"/>
        <rFont val="Arial Rounded MT Bold"/>
        <family val="2"/>
      </rPr>
      <t>хр</t>
    </r>
    <r>
      <rPr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</si>
  <si>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пот</t>
    </r>
    <r>
      <rPr>
        <vertAlign val="subscript"/>
        <sz val="12"/>
        <rFont val="Arial Rounded MT Bold"/>
        <family val="2"/>
      </rPr>
      <t xml:space="preserve"> </t>
    </r>
  </si>
  <si>
    <r>
      <t>Q</t>
    </r>
    <r>
      <rPr>
        <i/>
        <vertAlign val="subscript"/>
        <sz val="12"/>
        <rFont val="Arial Rounded MT Bold"/>
        <family val="2"/>
      </rPr>
      <t>вых</t>
    </r>
    <r>
      <rPr>
        <sz val="12"/>
        <rFont val="Arial Rounded MT Bold"/>
        <family val="2"/>
      </rPr>
      <t xml:space="preserve"> </t>
    </r>
  </si>
  <si>
    <t>проверка</t>
  </si>
  <si>
    <r>
      <t xml:space="preserve">Cp </t>
    </r>
    <r>
      <rPr>
        <vertAlign val="subscript"/>
        <sz val="12"/>
        <rFont val="Arial Rounded MT Bold"/>
        <family val="2"/>
      </rPr>
      <t>вх</t>
    </r>
  </si>
  <si>
    <r>
      <t xml:space="preserve">Cp </t>
    </r>
    <r>
      <rPr>
        <vertAlign val="subscript"/>
        <sz val="12"/>
        <rFont val="Arial Rounded MT Bold"/>
        <family val="2"/>
      </rPr>
      <t>вых</t>
    </r>
  </si>
  <si>
    <r>
      <t>ΔH</t>
    </r>
    <r>
      <rPr>
        <vertAlign val="subscript"/>
        <sz val="12"/>
        <rFont val="Arial Rounded MT Bold"/>
        <family val="2"/>
      </rPr>
      <t>р</t>
    </r>
  </si>
  <si>
    <t>кДж</t>
  </si>
  <si>
    <r>
      <t>q</t>
    </r>
    <r>
      <rPr>
        <vertAlign val="subscript"/>
        <sz val="12"/>
        <rFont val="Arial"/>
        <family val="2"/>
        <charset val="204"/>
      </rPr>
      <t>хр</t>
    </r>
  </si>
  <si>
    <t>N2</t>
  </si>
  <si>
    <t>H2</t>
  </si>
  <si>
    <t>Дж/с</t>
  </si>
  <si>
    <t>Потери</t>
  </si>
  <si>
    <t>CO</t>
  </si>
  <si>
    <t>CH4</t>
  </si>
  <si>
    <t>H2O</t>
  </si>
  <si>
    <t>Остальное</t>
  </si>
  <si>
    <t>CO+3H2=CH4+H2O</t>
  </si>
  <si>
    <t>кДж/моль CH4</t>
  </si>
  <si>
    <t>Tвых 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</si>
</sst>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2"/>
      <name val="Arial"/>
      <family val="2"/>
      <charset val="204"/>
    </font>
    <font>
      <b/>
      <sz val="12"/>
      <color indexed="16"/>
      <name val="Arial"/>
      <family val="2"/>
      <charset val="204"/>
    </font>
    <font>
      <sz val="12"/>
      <name val="Arial Rounded MT Bold"/>
      <family val="2"/>
    </font>
    <font>
      <vertAlign val="superscript"/>
      <sz val="12"/>
      <name val="Arial Rounded MT Bold"/>
      <family val="2"/>
    </font>
    <font>
      <b/>
      <sz val="12"/>
      <name val="Arial Rounded MT Bold"/>
      <family val="2"/>
    </font>
    <font>
      <sz val="12"/>
      <color indexed="10"/>
      <name val="Calibri"/>
      <family val="2"/>
      <charset val="204"/>
    </font>
    <font>
      <b/>
      <i/>
      <sz val="12"/>
      <name val="Arial Rounded MT Bold"/>
      <family val="2"/>
    </font>
    <font>
      <b/>
      <i/>
      <vertAlign val="subscript"/>
      <sz val="12"/>
      <name val="Arial Rounded MT Bold"/>
      <family val="2"/>
    </font>
    <font>
      <vertAlign val="subscript"/>
      <sz val="12"/>
      <name val="Arial Rounded MT Bold"/>
      <family val="2"/>
    </font>
    <font>
      <sz val="12"/>
      <color indexed="12"/>
      <name val="Calibri"/>
      <family val="2"/>
      <charset val="204"/>
    </font>
    <font>
      <b/>
      <sz val="10"/>
      <color indexed="16"/>
      <name val="Arial"/>
      <family val="2"/>
      <charset val="204"/>
    </font>
    <font>
      <sz val="12"/>
      <color theme="1"/>
      <name val="Arial Rounded MT Bold"/>
      <family val="2"/>
    </font>
    <font>
      <sz val="16"/>
      <name val="Arial Rounded MT Bold"/>
      <family val="2"/>
    </font>
    <font>
      <i/>
      <sz val="12"/>
      <name val="Arial Rounded MT Bold"/>
      <family val="2"/>
    </font>
    <font>
      <i/>
      <vertAlign val="subscript"/>
      <sz val="12"/>
      <name val="Arial Rounded MT Bold"/>
      <family val="2"/>
    </font>
    <font>
      <b/>
      <sz val="12"/>
      <name val="Arial"/>
      <family val="2"/>
      <charset val="204"/>
    </font>
    <font>
      <sz val="12"/>
      <color indexed="10"/>
      <name val="Arial"/>
      <family val="2"/>
      <charset val="204"/>
    </font>
    <font>
      <sz val="14"/>
      <color indexed="8"/>
      <name val="Calibri"/>
      <family val="2"/>
    </font>
    <font>
      <i/>
      <sz val="14"/>
      <color indexed="8"/>
      <name val="Calibri"/>
      <family val="2"/>
      <charset val="204"/>
    </font>
    <font>
      <vertAlign val="subscript"/>
      <sz val="12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2">
    <border>
      <left/>
      <right/>
      <top/>
      <bottom/>
      <diagonal/>
    </border>
    <border>
      <left style="thick">
        <color indexed="16"/>
      </left>
      <right/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/>
      <diagonal/>
    </border>
    <border>
      <left style="thick">
        <color indexed="16"/>
      </left>
      <right/>
      <top/>
      <bottom/>
      <diagonal/>
    </border>
    <border>
      <left/>
      <right style="thick">
        <color indexed="16"/>
      </right>
      <top/>
      <bottom/>
      <diagonal/>
    </border>
    <border>
      <left style="thick">
        <color indexed="16"/>
      </left>
      <right/>
      <top/>
      <bottom style="thick">
        <color indexed="16"/>
      </bottom>
      <diagonal/>
    </border>
    <border>
      <left/>
      <right/>
      <top/>
      <bottom style="thick">
        <color indexed="16"/>
      </bottom>
      <diagonal/>
    </border>
    <border>
      <left/>
      <right style="thick">
        <color indexed="16"/>
      </right>
      <top/>
      <bottom style="thick">
        <color indexed="16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ck">
        <color rgb="FF800000"/>
      </top>
      <bottom/>
      <diagonal/>
    </border>
    <border>
      <left style="thick">
        <color rgb="FF800000"/>
      </left>
      <right style="thick">
        <color rgb="FF800000"/>
      </right>
      <top style="thick">
        <color indexed="16"/>
      </top>
      <bottom style="thick">
        <color rgb="FF800000"/>
      </bottom>
      <diagonal/>
    </border>
    <border>
      <left style="thick">
        <color rgb="FF800000"/>
      </left>
      <right style="thick">
        <color rgb="FF800000"/>
      </right>
      <top style="thick">
        <color rgb="FF800000"/>
      </top>
      <bottom style="thick">
        <color rgb="FF800000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3" xfId="0" applyNumberFormat="1" applyFont="1" applyBorder="1"/>
    <xf numFmtId="0" fontId="3" fillId="0" borderId="4" xfId="0" applyFont="1" applyBorder="1"/>
    <xf numFmtId="0" fontId="5" fillId="0" borderId="0" xfId="0" applyFont="1"/>
    <xf numFmtId="0" fontId="6" fillId="0" borderId="0" xfId="0" applyFont="1"/>
    <xf numFmtId="0" fontId="7" fillId="0" borderId="3" xfId="0" applyFont="1" applyBorder="1"/>
    <xf numFmtId="0" fontId="3" fillId="0" borderId="3" xfId="0" applyFont="1" applyBorder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2" fontId="1" fillId="0" borderId="0" xfId="0" applyNumberFormat="1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0" fillId="0" borderId="0" xfId="0" applyFont="1"/>
    <xf numFmtId="0" fontId="1" fillId="0" borderId="10" xfId="0" applyFont="1" applyBorder="1"/>
    <xf numFmtId="0" fontId="1" fillId="2" borderId="14" xfId="0" applyFont="1" applyFill="1" applyBorder="1"/>
    <xf numFmtId="0" fontId="1" fillId="2" borderId="15" xfId="0" applyFont="1" applyFill="1" applyBorder="1"/>
    <xf numFmtId="0" fontId="3" fillId="2" borderId="16" xfId="0" applyFont="1" applyFill="1" applyBorder="1"/>
    <xf numFmtId="0" fontId="3" fillId="2" borderId="17" xfId="0" applyFont="1" applyFill="1" applyBorder="1"/>
    <xf numFmtId="0" fontId="3" fillId="2" borderId="18" xfId="0" applyFont="1" applyFill="1" applyBorder="1"/>
    <xf numFmtId="0" fontId="3" fillId="0" borderId="16" xfId="0" applyFont="1" applyBorder="1"/>
    <xf numFmtId="0" fontId="3" fillId="0" borderId="18" xfId="0" applyFont="1" applyBorder="1" applyAlignment="1">
      <alignment horizontal="center"/>
    </xf>
    <xf numFmtId="1" fontId="3" fillId="0" borderId="16" xfId="0" applyNumberFormat="1" applyFont="1" applyBorder="1" applyAlignment="1">
      <alignment horizontal="left" indent="1"/>
    </xf>
    <xf numFmtId="1" fontId="3" fillId="0" borderId="17" xfId="0" applyNumberFormat="1" applyFont="1" applyBorder="1" applyAlignment="1">
      <alignment horizontal="left" indent="1"/>
    </xf>
    <xf numFmtId="2" fontId="3" fillId="0" borderId="18" xfId="0" applyNumberFormat="1" applyFont="1" applyBorder="1" applyAlignment="1">
      <alignment horizontal="left" indent="1"/>
    </xf>
    <xf numFmtId="1" fontId="12" fillId="0" borderId="18" xfId="0" applyNumberFormat="1" applyFont="1" applyBorder="1" applyAlignment="1">
      <alignment horizontal="left" indent="1"/>
    </xf>
    <xf numFmtId="0" fontId="3" fillId="0" borderId="19" xfId="0" applyFont="1" applyBorder="1"/>
    <xf numFmtId="0" fontId="3" fillId="0" borderId="20" xfId="0" applyFont="1" applyBorder="1"/>
    <xf numFmtId="1" fontId="13" fillId="0" borderId="3" xfId="0" applyNumberFormat="1" applyFont="1" applyBorder="1" applyAlignment="1">
      <alignment horizontal="left" indent="1"/>
    </xf>
    <xf numFmtId="1" fontId="3" fillId="0" borderId="21" xfId="0" applyNumberFormat="1" applyFont="1" applyBorder="1" applyAlignment="1">
      <alignment horizontal="left" indent="1"/>
    </xf>
    <xf numFmtId="1" fontId="3" fillId="0" borderId="20" xfId="0" applyNumberFormat="1" applyFont="1" applyBorder="1" applyAlignment="1">
      <alignment horizontal="left" indent="1"/>
    </xf>
    <xf numFmtId="2" fontId="13" fillId="0" borderId="3" xfId="0" applyNumberFormat="1" applyFont="1" applyBorder="1" applyAlignment="1">
      <alignment horizontal="left" indent="1"/>
    </xf>
    <xf numFmtId="1" fontId="3" fillId="0" borderId="22" xfId="0" applyNumberFormat="1" applyFont="1" applyBorder="1" applyAlignment="1">
      <alignment horizontal="left" indent="1"/>
    </xf>
    <xf numFmtId="0" fontId="1" fillId="0" borderId="23" xfId="0" applyFont="1" applyBorder="1"/>
    <xf numFmtId="0" fontId="1" fillId="0" borderId="18" xfId="0" applyFont="1" applyBorder="1"/>
    <xf numFmtId="0" fontId="1" fillId="0" borderId="24" xfId="0" applyFont="1" applyBorder="1"/>
    <xf numFmtId="0" fontId="1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1" fillId="0" borderId="28" xfId="0" applyFont="1" applyBorder="1" applyAlignment="1">
      <alignment horizontal="right"/>
    </xf>
    <xf numFmtId="0" fontId="14" fillId="2" borderId="25" xfId="0" applyFont="1" applyFill="1" applyBorder="1" applyAlignment="1">
      <alignment shrinkToFit="1"/>
    </xf>
    <xf numFmtId="0" fontId="14" fillId="2" borderId="29" xfId="0" applyFont="1" applyFill="1" applyBorder="1" applyAlignment="1">
      <alignment shrinkToFit="1"/>
    </xf>
    <xf numFmtId="0" fontId="14" fillId="2" borderId="30" xfId="0" applyFont="1" applyFill="1" applyBorder="1" applyAlignment="1">
      <alignment shrinkToFit="1"/>
    </xf>
    <xf numFmtId="0" fontId="16" fillId="0" borderId="3" xfId="0" applyFont="1" applyBorder="1"/>
    <xf numFmtId="0" fontId="3" fillId="0" borderId="31" xfId="0" applyFont="1" applyBorder="1"/>
    <xf numFmtId="3" fontId="1" fillId="0" borderId="32" xfId="0" applyNumberFormat="1" applyFont="1" applyBorder="1"/>
    <xf numFmtId="3" fontId="1" fillId="0" borderId="34" xfId="0" applyNumberFormat="1" applyFont="1" applyBorder="1"/>
    <xf numFmtId="3" fontId="1" fillId="0" borderId="3" xfId="0" applyNumberFormat="1" applyFont="1" applyBorder="1"/>
    <xf numFmtId="3" fontId="1" fillId="0" borderId="0" xfId="0" applyNumberFormat="1" applyFont="1"/>
    <xf numFmtId="0" fontId="3" fillId="0" borderId="35" xfId="0" applyFont="1" applyBorder="1"/>
    <xf numFmtId="49" fontId="17" fillId="0" borderId="0" xfId="0" applyNumberFormat="1" applyFont="1" applyAlignment="1">
      <alignment wrapText="1"/>
    </xf>
    <xf numFmtId="0" fontId="3" fillId="0" borderId="36" xfId="0" applyFont="1" applyBorder="1"/>
    <xf numFmtId="0" fontId="1" fillId="0" borderId="37" xfId="0" applyFont="1" applyBorder="1"/>
    <xf numFmtId="0" fontId="18" fillId="0" borderId="0" xfId="0" applyFont="1"/>
    <xf numFmtId="0" fontId="19" fillId="0" borderId="0" xfId="0" applyFont="1"/>
    <xf numFmtId="4" fontId="1" fillId="0" borderId="3" xfId="0" applyNumberFormat="1" applyFont="1" applyBorder="1"/>
    <xf numFmtId="0" fontId="1" fillId="0" borderId="38" xfId="0" applyFont="1" applyBorder="1"/>
    <xf numFmtId="0" fontId="1" fillId="0" borderId="3" xfId="0" applyFont="1" applyBorder="1"/>
    <xf numFmtId="1" fontId="0" fillId="0" borderId="0" xfId="0" applyNumberFormat="1"/>
    <xf numFmtId="0" fontId="0" fillId="0" borderId="39" xfId="0" applyBorder="1"/>
    <xf numFmtId="0" fontId="21" fillId="0" borderId="40" xfId="0" applyFont="1" applyBorder="1"/>
    <xf numFmtId="9" fontId="21" fillId="0" borderId="41" xfId="0" applyNumberFormat="1" applyFont="1" applyBorder="1"/>
    <xf numFmtId="164" fontId="3" fillId="0" borderId="18" xfId="0" applyNumberFormat="1" applyFont="1" applyBorder="1" applyAlignment="1">
      <alignment horizontal="left" indent="1"/>
    </xf>
    <xf numFmtId="1" fontId="1" fillId="0" borderId="0" xfId="0" applyNumberFormat="1" applyFont="1"/>
    <xf numFmtId="0" fontId="3" fillId="0" borderId="1" xfId="0" applyFont="1" applyBorder="1"/>
    <xf numFmtId="0" fontId="0" fillId="0" borderId="2" xfId="0" applyBorder="1"/>
    <xf numFmtId="0" fontId="2" fillId="2" borderId="11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3" fontId="1" fillId="0" borderId="33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B915-3BB5-4A91-A1DF-70E4BFD00B6D}">
  <dimension ref="A1:M37"/>
  <sheetViews>
    <sheetView tabSelected="1" topLeftCell="A28" workbookViewId="0">
      <selection activeCell="R30" sqref="R30"/>
    </sheetView>
  </sheetViews>
  <sheetFormatPr defaultRowHeight="15" x14ac:dyDescent="0.25"/>
  <cols>
    <col min="3" max="3" width="12.42578125" customWidth="1"/>
    <col min="4" max="4" width="9.7109375" bestFit="1" customWidth="1"/>
    <col min="6" max="6" width="12.140625" customWidth="1"/>
    <col min="7" max="7" width="12.7109375" bestFit="1" customWidth="1"/>
    <col min="8" max="8" width="12.85546875" customWidth="1"/>
    <col min="9" max="10" width="11.42578125" bestFit="1" customWidth="1"/>
    <col min="11" max="11" width="11.7109375" customWidth="1"/>
    <col min="12" max="13" width="9.7109375" bestFit="1" customWidth="1"/>
  </cols>
  <sheetData>
    <row r="1" spans="1:13" ht="15.75" x14ac:dyDescent="0.2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2" t="s">
        <v>1</v>
      </c>
      <c r="L1" s="1"/>
      <c r="M1" s="1"/>
    </row>
    <row r="2" spans="1:13" ht="16.5" thickBo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0.25" thickTop="1" thickBot="1" x14ac:dyDescent="0.35">
      <c r="A3" s="1"/>
      <c r="B3" s="1"/>
      <c r="C3" s="67" t="s">
        <v>2</v>
      </c>
      <c r="D3" s="68"/>
      <c r="E3" s="3">
        <v>40000</v>
      </c>
      <c r="F3" s="4" t="s">
        <v>3</v>
      </c>
      <c r="G3" s="1"/>
      <c r="H3" s="5" t="s">
        <v>49</v>
      </c>
      <c r="I3" s="6"/>
      <c r="J3" s="1"/>
      <c r="K3" s="7" t="s">
        <v>4</v>
      </c>
      <c r="L3" s="8">
        <v>292</v>
      </c>
      <c r="M3" s="9"/>
    </row>
    <row r="4" spans="1:13" ht="17.25" thickTop="1" thickBot="1" x14ac:dyDescent="0.3">
      <c r="A4" s="1"/>
      <c r="B4" s="1"/>
      <c r="C4" s="10" t="s">
        <v>5</v>
      </c>
      <c r="D4" s="9"/>
      <c r="E4" s="9"/>
      <c r="F4" s="11"/>
      <c r="G4" s="1"/>
      <c r="H4" s="9"/>
      <c r="I4" s="1"/>
      <c r="J4" s="1"/>
      <c r="K4" s="63" t="s">
        <v>44</v>
      </c>
      <c r="L4" s="64">
        <v>0.05</v>
      </c>
      <c r="M4" s="9"/>
    </row>
    <row r="5" spans="1:13" ht="17.25" thickTop="1" thickBot="1" x14ac:dyDescent="0.3">
      <c r="A5" s="1"/>
      <c r="B5" s="1"/>
      <c r="C5" s="10" t="s">
        <v>45</v>
      </c>
      <c r="D5" s="9"/>
      <c r="E5" s="8">
        <v>0.01</v>
      </c>
      <c r="F5" s="11"/>
      <c r="G5" s="1"/>
      <c r="H5" s="1"/>
      <c r="I5" s="1"/>
      <c r="J5" s="1"/>
      <c r="K5" s="62"/>
      <c r="M5" s="9"/>
    </row>
    <row r="6" spans="1:13" ht="16.5" thickTop="1" x14ac:dyDescent="0.25">
      <c r="A6" s="1"/>
      <c r="B6" s="1"/>
      <c r="C6" s="10" t="s">
        <v>42</v>
      </c>
      <c r="D6" s="9"/>
      <c r="E6" s="12">
        <v>0.8</v>
      </c>
      <c r="F6" s="11"/>
      <c r="G6" s="1"/>
      <c r="H6" s="1"/>
      <c r="I6" s="1"/>
      <c r="J6" s="1"/>
      <c r="M6" s="9"/>
    </row>
    <row r="7" spans="1:13" ht="15.75" x14ac:dyDescent="0.25">
      <c r="A7" s="1"/>
      <c r="B7" s="1"/>
      <c r="C7" s="10" t="s">
        <v>47</v>
      </c>
      <c r="D7" s="9"/>
      <c r="E7" s="12">
        <v>0.01</v>
      </c>
      <c r="F7" s="11"/>
      <c r="G7" s="1"/>
      <c r="H7" s="1"/>
      <c r="I7" s="1"/>
      <c r="J7" s="1"/>
      <c r="K7" s="1"/>
      <c r="L7" s="1"/>
      <c r="M7" s="1"/>
    </row>
    <row r="8" spans="1:13" ht="15.75" x14ac:dyDescent="0.25">
      <c r="A8" s="1"/>
      <c r="B8" s="1"/>
      <c r="C8" s="10" t="s">
        <v>46</v>
      </c>
      <c r="D8" s="9"/>
      <c r="E8" s="1">
        <v>0.09</v>
      </c>
      <c r="F8" s="11"/>
      <c r="G8" s="1"/>
      <c r="H8" s="1"/>
      <c r="I8" s="1"/>
      <c r="J8" s="1"/>
      <c r="K8" s="1"/>
      <c r="L8" s="1"/>
      <c r="M8" s="1"/>
    </row>
    <row r="9" spans="1:13" ht="15.75" x14ac:dyDescent="0.25">
      <c r="A9" s="1"/>
      <c r="B9" s="1"/>
      <c r="C9" s="10" t="s">
        <v>41</v>
      </c>
      <c r="D9" s="9"/>
      <c r="E9" s="9" t="s">
        <v>48</v>
      </c>
      <c r="F9" s="11"/>
      <c r="G9" s="1"/>
      <c r="H9" s="1"/>
      <c r="I9" s="1"/>
      <c r="J9" s="1"/>
      <c r="K9" s="1"/>
      <c r="L9" s="1"/>
      <c r="M9" s="1"/>
    </row>
    <row r="10" spans="1:13" ht="16.5" thickBot="1" x14ac:dyDescent="0.3">
      <c r="A10" s="1"/>
      <c r="B10" s="1"/>
      <c r="C10" s="13" t="s">
        <v>6</v>
      </c>
      <c r="D10" s="14"/>
      <c r="E10" s="14"/>
      <c r="F10" s="15"/>
      <c r="G10" s="1"/>
      <c r="H10" s="1"/>
      <c r="I10" s="1"/>
      <c r="J10" s="1"/>
      <c r="K10" s="1"/>
      <c r="L10" s="1"/>
      <c r="M10" s="1"/>
    </row>
    <row r="11" spans="1:13" ht="16.5" thickTop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/>
      <c r="B13" s="1"/>
      <c r="C13" s="1"/>
      <c r="D13" s="1"/>
      <c r="E13" s="1"/>
      <c r="F13" s="16"/>
      <c r="G13" s="1"/>
      <c r="H13" s="1"/>
      <c r="I13" s="1"/>
      <c r="J13" s="1"/>
      <c r="K13" s="1"/>
      <c r="L13" s="1"/>
      <c r="M13" s="1"/>
    </row>
    <row r="14" spans="1:13" ht="15.75" x14ac:dyDescent="0.25">
      <c r="A14" s="1"/>
      <c r="B14" s="1"/>
      <c r="G14" s="1"/>
      <c r="H14" s="2" t="s">
        <v>7</v>
      </c>
      <c r="I14" s="1"/>
      <c r="J14" s="1"/>
      <c r="K14" s="1"/>
      <c r="L14" s="1"/>
      <c r="M14" s="1"/>
    </row>
    <row r="15" spans="1:13" ht="15.75" x14ac:dyDescent="0.25">
      <c r="A15" s="1"/>
      <c r="B15" s="1"/>
      <c r="G15" s="1"/>
      <c r="H15" s="1"/>
      <c r="I15" s="1"/>
      <c r="J15" s="1"/>
      <c r="K15" s="1"/>
      <c r="L15" s="1"/>
      <c r="M15" s="1"/>
    </row>
    <row r="16" spans="1:13" ht="16.5" thickBot="1" x14ac:dyDescent="0.3">
      <c r="A16" s="1"/>
      <c r="B16" s="1"/>
      <c r="G16" s="17">
        <v>22.4</v>
      </c>
      <c r="H16" s="1"/>
      <c r="I16" s="1"/>
      <c r="J16" s="1"/>
      <c r="K16" s="1"/>
      <c r="L16" s="12"/>
      <c r="M16" s="1"/>
    </row>
    <row r="17" spans="1:13" ht="16.5" thickBot="1" x14ac:dyDescent="0.3">
      <c r="A17" s="1"/>
      <c r="B17" s="1"/>
      <c r="C17" s="69" t="s">
        <v>8</v>
      </c>
      <c r="D17" s="70"/>
      <c r="E17" s="70"/>
      <c r="F17" s="71"/>
      <c r="G17" s="69" t="s">
        <v>9</v>
      </c>
      <c r="H17" s="70"/>
      <c r="I17" s="70"/>
      <c r="J17" s="71"/>
      <c r="K17" s="69" t="s">
        <v>10</v>
      </c>
      <c r="L17" s="72"/>
      <c r="M17" s="73"/>
    </row>
    <row r="18" spans="1:13" ht="15.75" x14ac:dyDescent="0.25">
      <c r="A18" s="18" t="s">
        <v>11</v>
      </c>
      <c r="B18" s="19" t="s">
        <v>12</v>
      </c>
      <c r="C18" s="20" t="s">
        <v>13</v>
      </c>
      <c r="D18" s="21" t="s">
        <v>14</v>
      </c>
      <c r="E18" s="21" t="s">
        <v>15</v>
      </c>
      <c r="F18" s="22" t="s">
        <v>16</v>
      </c>
      <c r="G18" s="20" t="s">
        <v>17</v>
      </c>
      <c r="H18" s="21" t="s">
        <v>18</v>
      </c>
      <c r="I18" s="21" t="s">
        <v>19</v>
      </c>
      <c r="J18" s="22" t="s">
        <v>20</v>
      </c>
      <c r="K18" s="20" t="s">
        <v>21</v>
      </c>
      <c r="L18" s="21" t="s">
        <v>22</v>
      </c>
      <c r="M18" s="22" t="s">
        <v>23</v>
      </c>
    </row>
    <row r="19" spans="1:13" ht="15.75" x14ac:dyDescent="0.25">
      <c r="A19" s="23" t="s">
        <v>45</v>
      </c>
      <c r="B19" s="24">
        <v>28</v>
      </c>
      <c r="C19" s="25">
        <f>E19*B19</f>
        <v>500</v>
      </c>
      <c r="D19" s="26">
        <f>$D$24*F19</f>
        <v>400</v>
      </c>
      <c r="E19" s="26">
        <f>D19/$G$16</f>
        <v>17.857142857142858</v>
      </c>
      <c r="F19" s="27">
        <f>E5</f>
        <v>0.01</v>
      </c>
      <c r="G19" s="25">
        <f>I19*B19</f>
        <v>98.393574297188735</v>
      </c>
      <c r="H19" s="26">
        <f>I19*$G$16</f>
        <v>78.714859437750988</v>
      </c>
      <c r="I19" s="26">
        <f>E19+M19</f>
        <v>3.5140562248995977</v>
      </c>
      <c r="J19" s="65">
        <v>2E-3</v>
      </c>
      <c r="K19" s="25">
        <f>L19*B19</f>
        <v>-8995.9839357429719</v>
      </c>
      <c r="L19" s="26">
        <f>M19*$G$16</f>
        <v>-321.28514056224901</v>
      </c>
      <c r="M19" s="28">
        <f>(J19*E24-E19)/(1-2*J19)</f>
        <v>-14.34308663224326</v>
      </c>
    </row>
    <row r="20" spans="1:13" ht="15.75" x14ac:dyDescent="0.25">
      <c r="A20" s="23" t="s">
        <v>42</v>
      </c>
      <c r="B20" s="24">
        <v>2</v>
      </c>
      <c r="C20" s="25">
        <f>E20*B20</f>
        <v>2857.1428571428573</v>
      </c>
      <c r="D20" s="26">
        <f>$D$24*F20</f>
        <v>32000</v>
      </c>
      <c r="E20" s="26">
        <f>D20/$G$16</f>
        <v>1428.5714285714287</v>
      </c>
      <c r="F20" s="27">
        <f t="shared" ref="F20:F22" si="0">E6</f>
        <v>0.8</v>
      </c>
      <c r="G20" s="25">
        <f t="shared" ref="G20:G23" si="1">I20*B20</f>
        <v>2771.0843373493976</v>
      </c>
      <c r="H20" s="26">
        <f t="shared" ref="H20:H23" si="2">I20*$G$16</f>
        <v>31036.144578313251</v>
      </c>
      <c r="I20" s="26">
        <f t="shared" ref="I20:I23" si="3">E20+M20</f>
        <v>1385.5421686746988</v>
      </c>
      <c r="J20" s="65">
        <f>H20/$H$24</f>
        <v>0.78857142857142859</v>
      </c>
      <c r="K20" s="25">
        <f t="shared" ref="K20:K22" si="4">L20*B20</f>
        <v>-1927.7108433734941</v>
      </c>
      <c r="L20" s="26">
        <f t="shared" ref="L20:L22" si="5">M20*$G$16</f>
        <v>-963.85542168674704</v>
      </c>
      <c r="M20" s="28">
        <f>M19*3</f>
        <v>-43.029259896729783</v>
      </c>
    </row>
    <row r="21" spans="1:13" ht="15.75" x14ac:dyDescent="0.25">
      <c r="A21" s="23" t="s">
        <v>47</v>
      </c>
      <c r="B21" s="24">
        <v>18</v>
      </c>
      <c r="C21" s="25">
        <f>E21*B21</f>
        <v>321.42857142857144</v>
      </c>
      <c r="D21" s="26">
        <f>$D$24*F21</f>
        <v>400</v>
      </c>
      <c r="E21" s="26">
        <f>D21/$G$16</f>
        <v>17.857142857142858</v>
      </c>
      <c r="F21" s="27">
        <f t="shared" si="0"/>
        <v>0.01</v>
      </c>
      <c r="G21" s="25">
        <f t="shared" si="1"/>
        <v>579.60413080895012</v>
      </c>
      <c r="H21" s="26">
        <f t="shared" si="2"/>
        <v>721.28514056224901</v>
      </c>
      <c r="I21" s="26">
        <f t="shared" si="3"/>
        <v>32.200229489386118</v>
      </c>
      <c r="J21" s="27">
        <f t="shared" ref="J21:J23" si="6">H21/$H$24</f>
        <v>1.8326530612244898E-2</v>
      </c>
      <c r="K21" s="25">
        <f t="shared" si="4"/>
        <v>5783.1325301204824</v>
      </c>
      <c r="L21" s="26">
        <f t="shared" si="5"/>
        <v>321.28514056224901</v>
      </c>
      <c r="M21" s="28">
        <f>-M19</f>
        <v>14.34308663224326</v>
      </c>
    </row>
    <row r="22" spans="1:13" ht="18" x14ac:dyDescent="0.3">
      <c r="A22" s="23" t="s">
        <v>24</v>
      </c>
      <c r="B22" s="24">
        <v>16</v>
      </c>
      <c r="C22" s="25">
        <f>E22*B22</f>
        <v>2571.4285714285716</v>
      </c>
      <c r="D22" s="26">
        <f>$D$24*F22</f>
        <v>3600</v>
      </c>
      <c r="E22" s="26">
        <f>D22/$G$16</f>
        <v>160.71428571428572</v>
      </c>
      <c r="F22" s="27">
        <f t="shared" si="0"/>
        <v>0.09</v>
      </c>
      <c r="G22" s="25">
        <f t="shared" si="1"/>
        <v>2800.9179575444637</v>
      </c>
      <c r="H22" s="26">
        <f t="shared" si="2"/>
        <v>3921.2851405622487</v>
      </c>
      <c r="I22" s="26">
        <f t="shared" si="3"/>
        <v>175.05737234652898</v>
      </c>
      <c r="J22" s="27">
        <f t="shared" si="6"/>
        <v>9.9632653061224485E-2</v>
      </c>
      <c r="K22" s="25">
        <f t="shared" si="4"/>
        <v>5140.5622489959842</v>
      </c>
      <c r="L22" s="26">
        <f t="shared" si="5"/>
        <v>321.28514056224901</v>
      </c>
      <c r="M22" s="28">
        <f>-M19</f>
        <v>14.34308663224326</v>
      </c>
    </row>
    <row r="23" spans="1:13" ht="16.5" thickBot="1" x14ac:dyDescent="0.3">
      <c r="A23" s="23" t="s">
        <v>41</v>
      </c>
      <c r="B23" s="24">
        <v>14</v>
      </c>
      <c r="C23" s="25">
        <f>E23*B23</f>
        <v>2249.9999999999991</v>
      </c>
      <c r="D23" s="26">
        <f>$D$24*F23</f>
        <v>3599.9999999999986</v>
      </c>
      <c r="E23" s="26">
        <f>D23/$G$16</f>
        <v>160.71428571428567</v>
      </c>
      <c r="F23" s="27">
        <f>1-SUM(F19:F22)</f>
        <v>8.9999999999999969E-2</v>
      </c>
      <c r="G23" s="25">
        <f t="shared" si="1"/>
        <v>2249.9999999999991</v>
      </c>
      <c r="H23" s="26">
        <f t="shared" si="2"/>
        <v>3599.9999999999986</v>
      </c>
      <c r="I23" s="26">
        <f t="shared" si="3"/>
        <v>160.71428571428567</v>
      </c>
      <c r="J23" s="27">
        <f t="shared" si="6"/>
        <v>9.1469387755102008E-2</v>
      </c>
      <c r="K23" s="25">
        <v>0</v>
      </c>
      <c r="L23" s="26">
        <v>0</v>
      </c>
      <c r="M23" s="28">
        <v>0</v>
      </c>
    </row>
    <row r="24" spans="1:13" ht="21" thickTop="1" thickBot="1" x14ac:dyDescent="0.3">
      <c r="A24" s="29" t="s">
        <v>25</v>
      </c>
      <c r="B24" s="30"/>
      <c r="C24" s="31">
        <f>SUM(C19:C23)</f>
        <v>8500</v>
      </c>
      <c r="D24" s="32">
        <f>E3</f>
        <v>40000</v>
      </c>
      <c r="E24" s="33">
        <f>SUM(E19:E23)</f>
        <v>1785.7142857142858</v>
      </c>
      <c r="F24" s="34">
        <f>SUM(F19:F23)</f>
        <v>1</v>
      </c>
      <c r="G24" s="31">
        <f>SUM(G19:G23)</f>
        <v>8500</v>
      </c>
      <c r="H24" s="32">
        <f>SUM(H19:H23)</f>
        <v>39357.429718875501</v>
      </c>
      <c r="I24" s="33">
        <f>SUM(I19:I23)</f>
        <v>1757.0281124497992</v>
      </c>
      <c r="J24" s="34">
        <f>SUM(J19:J23)</f>
        <v>1</v>
      </c>
      <c r="K24" s="31">
        <f t="shared" ref="G24:M24" si="7">SUM(K19:K22)</f>
        <v>0</v>
      </c>
      <c r="L24" s="32">
        <f t="shared" si="7"/>
        <v>-642.57028112449802</v>
      </c>
      <c r="M24" s="35">
        <f t="shared" si="7"/>
        <v>-28.686173264486523</v>
      </c>
    </row>
    <row r="25" spans="1:13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6.5" thickBot="1" x14ac:dyDescent="0.3">
      <c r="A27" s="1"/>
      <c r="B27" s="1" t="s">
        <v>26</v>
      </c>
      <c r="C27" s="1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9.5" thickTop="1" thickBot="1" x14ac:dyDescent="0.35">
      <c r="A28" s="39" t="s">
        <v>28</v>
      </c>
      <c r="B28" s="40" t="s">
        <v>29</v>
      </c>
      <c r="C28" s="41" t="s">
        <v>30</v>
      </c>
      <c r="D28" s="1"/>
      <c r="E28" s="1"/>
      <c r="F28" s="42" t="s">
        <v>43</v>
      </c>
      <c r="G28" s="43" t="s">
        <v>31</v>
      </c>
      <c r="H28" s="44" t="s">
        <v>32</v>
      </c>
      <c r="I28" s="43" t="s">
        <v>33</v>
      </c>
      <c r="J28" s="45" t="s">
        <v>34</v>
      </c>
      <c r="K28" s="46" t="s">
        <v>35</v>
      </c>
      <c r="M28" s="1"/>
    </row>
    <row r="29" spans="1:13" ht="17.25" thickTop="1" thickBot="1" x14ac:dyDescent="0.3">
      <c r="A29" s="47" t="s">
        <v>45</v>
      </c>
      <c r="B29" s="36">
        <v>29.140999999999998</v>
      </c>
      <c r="C29" s="37">
        <v>-110.53</v>
      </c>
      <c r="D29" s="1"/>
      <c r="E29" s="1"/>
      <c r="F29" s="1"/>
      <c r="G29" s="48">
        <f>E24*1000/3600*B34*(L3+273)</f>
        <v>8275913.1696428563</v>
      </c>
      <c r="H29" s="74">
        <f>M22*1000/3600*C37*1000</f>
        <v>820328.93478676607</v>
      </c>
      <c r="I29" s="48">
        <f>-G29*L4</f>
        <v>-413795.65848214284</v>
      </c>
      <c r="J29" s="49">
        <f>SUM(G29:I29)</f>
        <v>8682446.4459474795</v>
      </c>
      <c r="K29" s="50">
        <f>G29+H29+I29-J29</f>
        <v>0</v>
      </c>
      <c r="M29" s="51"/>
    </row>
    <row r="30" spans="1:13" ht="15.75" x14ac:dyDescent="0.25">
      <c r="A30" s="52" t="s">
        <v>42</v>
      </c>
      <c r="B30" s="36">
        <v>28.835999999999999</v>
      </c>
      <c r="C30" s="37">
        <v>0</v>
      </c>
      <c r="D30" s="1"/>
      <c r="E30" s="1"/>
      <c r="F30" s="53"/>
      <c r="G30" s="1"/>
      <c r="H30" s="1"/>
      <c r="I30" s="1" t="s">
        <v>51</v>
      </c>
      <c r="J30" s="66">
        <f>J29/(I24*1000/3600*B35)-273</f>
        <v>327.32347388718154</v>
      </c>
      <c r="K30" s="1"/>
      <c r="L30" s="1"/>
      <c r="M30" s="1"/>
    </row>
    <row r="31" spans="1:13" ht="18.75" x14ac:dyDescent="0.3">
      <c r="A31" s="47" t="s">
        <v>47</v>
      </c>
      <c r="B31" s="36">
        <v>33.597999999999999</v>
      </c>
      <c r="C31" s="37">
        <v>-241.82599999999999</v>
      </c>
      <c r="D31" s="1"/>
      <c r="E31" s="1"/>
      <c r="F31" s="1"/>
      <c r="G31" s="1"/>
      <c r="H31" s="1"/>
      <c r="I31" s="1"/>
      <c r="J31" s="56"/>
      <c r="K31" s="57"/>
      <c r="L31" s="1"/>
      <c r="M31" s="1"/>
    </row>
    <row r="32" spans="1:13" ht="18.75" x14ac:dyDescent="0.3">
      <c r="A32" s="54" t="s">
        <v>24</v>
      </c>
      <c r="B32" s="55">
        <v>35.695999999999998</v>
      </c>
      <c r="C32" s="37">
        <v>-74.599999999999994</v>
      </c>
      <c r="D32" s="1"/>
      <c r="E32" s="1"/>
      <c r="H32" s="1"/>
      <c r="I32" s="1"/>
      <c r="J32" s="56"/>
      <c r="K32" s="57"/>
      <c r="L32" s="57"/>
      <c r="M32" s="57"/>
    </row>
    <row r="33" spans="1:13" ht="19.5" thickBot="1" x14ac:dyDescent="0.35">
      <c r="A33" s="52" t="s">
        <v>41</v>
      </c>
      <c r="B33" s="36">
        <v>29.12</v>
      </c>
      <c r="C33" s="37"/>
      <c r="E33" s="1"/>
      <c r="F33" s="1"/>
      <c r="I33" s="1"/>
      <c r="J33" s="1"/>
      <c r="K33" s="1"/>
      <c r="L33" s="57"/>
      <c r="M33" s="57"/>
    </row>
    <row r="34" spans="1:13" ht="19.5" thickTop="1" thickBot="1" x14ac:dyDescent="0.35">
      <c r="A34" s="8" t="s">
        <v>36</v>
      </c>
      <c r="B34" s="58">
        <f>B29*F19+B30*F20+B31*F21+B32*F22+B33*F23</f>
        <v>29.529629999999997</v>
      </c>
      <c r="C34" s="38"/>
      <c r="D34" s="1"/>
      <c r="E34" s="1"/>
      <c r="F34" s="1"/>
      <c r="G34" s="61"/>
      <c r="L34" s="1"/>
      <c r="M34" s="1"/>
    </row>
    <row r="35" spans="1:13" ht="19.5" thickTop="1" thickBot="1" x14ac:dyDescent="0.35">
      <c r="A35" s="8" t="s">
        <v>37</v>
      </c>
      <c r="B35" s="58">
        <f>B29*J19+B30*J20+B31*J21+B32*J22+B33*J23</f>
        <v>29.633338244897956</v>
      </c>
      <c r="C35" s="59"/>
      <c r="D35" s="1"/>
      <c r="E35" s="1"/>
      <c r="F35" s="1"/>
    </row>
    <row r="36" spans="1:13" ht="19.5" thickTop="1" thickBot="1" x14ac:dyDescent="0.35">
      <c r="A36" s="1"/>
      <c r="B36" s="8" t="s">
        <v>38</v>
      </c>
      <c r="C36" s="60">
        <f>C32+C31-C29</f>
        <v>-205.89599999999999</v>
      </c>
      <c r="D36" s="1" t="s">
        <v>39</v>
      </c>
      <c r="E36" s="1"/>
      <c r="F36" s="1"/>
    </row>
    <row r="37" spans="1:13" ht="20.25" thickTop="1" x14ac:dyDescent="0.35">
      <c r="A37" s="1"/>
      <c r="B37" s="1" t="s">
        <v>40</v>
      </c>
      <c r="C37" s="1">
        <f>-C36/1</f>
        <v>205.89599999999999</v>
      </c>
      <c r="D37" s="1" t="s">
        <v>50</v>
      </c>
    </row>
  </sheetData>
  <mergeCells count="4">
    <mergeCell ref="C3:D3"/>
    <mergeCell ref="C17:F17"/>
    <mergeCell ref="G17:J17"/>
    <mergeCell ref="K17:M17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леготин</dc:creator>
  <cp:lastModifiedBy>Леготин Андрей Александрович</cp:lastModifiedBy>
  <dcterms:created xsi:type="dcterms:W3CDTF">2015-06-05T18:19:34Z</dcterms:created>
  <dcterms:modified xsi:type="dcterms:W3CDTF">2025-04-03T22:26:19Z</dcterms:modified>
</cp:coreProperties>
</file>