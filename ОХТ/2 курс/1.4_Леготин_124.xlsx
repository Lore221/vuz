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13_ncr:1_{E7797D2B-9A27-4455-BC88-11CFC7605900}" xr6:coauthVersionLast="47" xr6:coauthVersionMax="47" xr10:uidLastSave="{00000000-0000-0000-0000-000000000000}"/>
  <bookViews>
    <workbookView xWindow="-120" yWindow="480" windowWidth="29040" windowHeight="15840" xr2:uid="{EDC3DBC9-126E-4741-A557-83008668B069}"/>
  </bookViews>
  <sheets>
    <sheet name="0,45+1,0" sheetId="5" r:id="rId1"/>
    <sheet name="0,45+1,05" sheetId="1" r:id="rId2"/>
    <sheet name="0,45+1,1" sheetId="2" r:id="rId3"/>
    <sheet name="0,45+1,15" sheetId="3" r:id="rId4"/>
    <sheet name="0,45+1,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5" l="1"/>
  <c r="C108" i="5"/>
  <c r="C107" i="5"/>
  <c r="C106" i="5"/>
  <c r="C105" i="5"/>
  <c r="C104" i="5"/>
  <c r="L91" i="5"/>
  <c r="J66" i="5"/>
  <c r="I66" i="5"/>
  <c r="D65" i="5"/>
  <c r="C65" i="5"/>
  <c r="C64" i="5"/>
  <c r="J61" i="5"/>
  <c r="I61" i="5"/>
  <c r="K59" i="5"/>
  <c r="J59" i="5"/>
  <c r="I59" i="5" s="1"/>
  <c r="D59" i="5"/>
  <c r="G59" i="5" s="1"/>
  <c r="C59" i="5"/>
  <c r="K58" i="5"/>
  <c r="J58" i="5" s="1"/>
  <c r="I58" i="5" s="1"/>
  <c r="D58" i="5"/>
  <c r="C58" i="5"/>
  <c r="D57" i="5"/>
  <c r="K57" i="5" s="1"/>
  <c r="J57" i="5" s="1"/>
  <c r="I57" i="5" s="1"/>
  <c r="G52" i="5"/>
  <c r="D60" i="5" s="1"/>
  <c r="C49" i="5"/>
  <c r="C48" i="5"/>
  <c r="C47" i="5"/>
  <c r="M46" i="5"/>
  <c r="N50" i="5" s="1"/>
  <c r="I91" i="5" s="1"/>
  <c r="C46" i="5"/>
  <c r="C45" i="5"/>
  <c r="F29" i="5"/>
  <c r="D23" i="5" s="1"/>
  <c r="I26" i="5"/>
  <c r="C25" i="5"/>
  <c r="C24" i="5"/>
  <c r="G18" i="5"/>
  <c r="D56" i="5" s="1"/>
  <c r="F18" i="5"/>
  <c r="C109" i="4"/>
  <c r="C108" i="4"/>
  <c r="C107" i="4"/>
  <c r="C106" i="4"/>
  <c r="C105" i="4"/>
  <c r="C104" i="4"/>
  <c r="L91" i="4"/>
  <c r="M67" i="4"/>
  <c r="J66" i="4"/>
  <c r="I66" i="4" s="1"/>
  <c r="D65" i="4"/>
  <c r="C64" i="4"/>
  <c r="J61" i="4"/>
  <c r="I61" i="4" s="1"/>
  <c r="D60" i="4"/>
  <c r="K60" i="4" s="1"/>
  <c r="D59" i="4"/>
  <c r="K59" i="4" s="1"/>
  <c r="J59" i="4" s="1"/>
  <c r="I59" i="4" s="1"/>
  <c r="G52" i="4"/>
  <c r="D66" i="4" s="1"/>
  <c r="N50" i="4"/>
  <c r="I91" i="4" s="1"/>
  <c r="C49" i="4"/>
  <c r="C48" i="4"/>
  <c r="C47" i="4"/>
  <c r="M46" i="4"/>
  <c r="C46" i="4"/>
  <c r="C45" i="4"/>
  <c r="F29" i="4"/>
  <c r="I26" i="4"/>
  <c r="C25" i="4"/>
  <c r="C24" i="4"/>
  <c r="D23" i="4"/>
  <c r="D26" i="4" s="1"/>
  <c r="C23" i="4"/>
  <c r="D22" i="4"/>
  <c r="J22" i="4" s="1"/>
  <c r="C22" i="4"/>
  <c r="D21" i="4"/>
  <c r="J21" i="4" s="1"/>
  <c r="I21" i="4" s="1"/>
  <c r="C21" i="4"/>
  <c r="D20" i="4"/>
  <c r="J20" i="4" s="1"/>
  <c r="I20" i="4" s="1"/>
  <c r="C20" i="4"/>
  <c r="D19" i="4"/>
  <c r="J19" i="4" s="1"/>
  <c r="I19" i="4" s="1"/>
  <c r="C19" i="4"/>
  <c r="G18" i="4"/>
  <c r="D18" i="4"/>
  <c r="J18" i="4" s="1"/>
  <c r="C18" i="4"/>
  <c r="K67" i="1"/>
  <c r="L67" i="1"/>
  <c r="M67" i="1"/>
  <c r="C109" i="3"/>
  <c r="C108" i="3"/>
  <c r="C107" i="3"/>
  <c r="C106" i="3"/>
  <c r="C105" i="3"/>
  <c r="C104" i="3"/>
  <c r="L91" i="3"/>
  <c r="I91" i="3"/>
  <c r="M67" i="3"/>
  <c r="J66" i="3"/>
  <c r="I66" i="3" s="1"/>
  <c r="D65" i="3"/>
  <c r="C64" i="3"/>
  <c r="J61" i="3"/>
  <c r="I61" i="3" s="1"/>
  <c r="D60" i="3"/>
  <c r="K60" i="3" s="1"/>
  <c r="D57" i="3"/>
  <c r="G52" i="3"/>
  <c r="D59" i="3" s="1"/>
  <c r="N50" i="3"/>
  <c r="C49" i="3"/>
  <c r="C48" i="3"/>
  <c r="C47" i="3"/>
  <c r="M46" i="3"/>
  <c r="C46" i="3"/>
  <c r="C45" i="3"/>
  <c r="F29" i="3"/>
  <c r="I26" i="3"/>
  <c r="C25" i="3"/>
  <c r="C24" i="3"/>
  <c r="D23" i="3"/>
  <c r="D26" i="3" s="1"/>
  <c r="C23" i="3"/>
  <c r="D22" i="3"/>
  <c r="J22" i="3" s="1"/>
  <c r="C22" i="3"/>
  <c r="D21" i="3"/>
  <c r="J21" i="3" s="1"/>
  <c r="I21" i="3" s="1"/>
  <c r="C21" i="3"/>
  <c r="D20" i="3"/>
  <c r="J20" i="3" s="1"/>
  <c r="I20" i="3" s="1"/>
  <c r="C20" i="3"/>
  <c r="D19" i="3"/>
  <c r="J19" i="3" s="1"/>
  <c r="I19" i="3" s="1"/>
  <c r="C19" i="3"/>
  <c r="G18" i="3"/>
  <c r="J18" i="3" s="1"/>
  <c r="D18" i="3"/>
  <c r="D27" i="3" s="1"/>
  <c r="C18" i="3"/>
  <c r="C109" i="2"/>
  <c r="C108" i="2"/>
  <c r="C107" i="2"/>
  <c r="C106" i="2"/>
  <c r="C105" i="2"/>
  <c r="C104" i="2"/>
  <c r="L91" i="2"/>
  <c r="M67" i="2"/>
  <c r="J66" i="2"/>
  <c r="I66" i="2" s="1"/>
  <c r="D65" i="2"/>
  <c r="C64" i="2"/>
  <c r="J61" i="2"/>
  <c r="I61" i="2"/>
  <c r="D60" i="2"/>
  <c r="K60" i="2" s="1"/>
  <c r="D58" i="2"/>
  <c r="G52" i="2"/>
  <c r="D59" i="2" s="1"/>
  <c r="C49" i="2"/>
  <c r="C48" i="2"/>
  <c r="C47" i="2"/>
  <c r="M46" i="2"/>
  <c r="N50" i="2" s="1"/>
  <c r="I91" i="2" s="1"/>
  <c r="C46" i="2"/>
  <c r="C45" i="2"/>
  <c r="F29" i="2"/>
  <c r="I26" i="2"/>
  <c r="C25" i="2"/>
  <c r="C24" i="2"/>
  <c r="D23" i="2"/>
  <c r="D26" i="2" s="1"/>
  <c r="C23" i="2"/>
  <c r="J22" i="2"/>
  <c r="G36" i="2" s="1"/>
  <c r="I22" i="2"/>
  <c r="G22" i="2"/>
  <c r="D22" i="2"/>
  <c r="C22" i="2"/>
  <c r="J21" i="2"/>
  <c r="I21" i="2"/>
  <c r="G21" i="2"/>
  <c r="D21" i="2"/>
  <c r="C21" i="2"/>
  <c r="J20" i="2"/>
  <c r="I20" i="2"/>
  <c r="G20" i="2"/>
  <c r="D20" i="2"/>
  <c r="C20" i="2"/>
  <c r="J19" i="2"/>
  <c r="I19" i="2"/>
  <c r="G19" i="2"/>
  <c r="D19" i="2"/>
  <c r="C19" i="2"/>
  <c r="G18" i="2"/>
  <c r="J18" i="2" s="1"/>
  <c r="D18" i="2"/>
  <c r="C18" i="2"/>
  <c r="C109" i="1"/>
  <c r="C108" i="1"/>
  <c r="C107" i="1"/>
  <c r="C106" i="1"/>
  <c r="C105" i="1"/>
  <c r="C104" i="1"/>
  <c r="L91" i="1"/>
  <c r="J66" i="1"/>
  <c r="I66" i="1" s="1"/>
  <c r="D65" i="1"/>
  <c r="C65" i="1" s="1"/>
  <c r="C64" i="1"/>
  <c r="J61" i="1"/>
  <c r="I61" i="1" s="1"/>
  <c r="D59" i="1"/>
  <c r="D57" i="1"/>
  <c r="K57" i="1" s="1"/>
  <c r="J57" i="1" s="1"/>
  <c r="I57" i="1" s="1"/>
  <c r="G52" i="1"/>
  <c r="D60" i="1" s="1"/>
  <c r="C49" i="1"/>
  <c r="C48" i="1"/>
  <c r="C47" i="1"/>
  <c r="M46" i="1"/>
  <c r="N50" i="1" s="1"/>
  <c r="I91" i="1" s="1"/>
  <c r="C46" i="1"/>
  <c r="C45" i="1"/>
  <c r="F29" i="1"/>
  <c r="D23" i="1" s="1"/>
  <c r="I26" i="1"/>
  <c r="C25" i="1"/>
  <c r="C24" i="1"/>
  <c r="G18" i="1"/>
  <c r="D56" i="1" s="1"/>
  <c r="K60" i="5" l="1"/>
  <c r="C60" i="5"/>
  <c r="D26" i="5"/>
  <c r="C23" i="5"/>
  <c r="L56" i="5"/>
  <c r="C56" i="5"/>
  <c r="F59" i="5"/>
  <c r="G57" i="5"/>
  <c r="D18" i="5"/>
  <c r="D19" i="5"/>
  <c r="D20" i="5"/>
  <c r="D21" i="5"/>
  <c r="D22" i="5"/>
  <c r="G58" i="5"/>
  <c r="C57" i="5"/>
  <c r="G36" i="4"/>
  <c r="J23" i="4"/>
  <c r="I23" i="4" s="1"/>
  <c r="J24" i="4"/>
  <c r="I22" i="4"/>
  <c r="J25" i="4"/>
  <c r="J27" i="4" s="1"/>
  <c r="E26" i="4"/>
  <c r="C26" i="4"/>
  <c r="C27" i="4" s="1"/>
  <c r="G26" i="4"/>
  <c r="C66" i="4"/>
  <c r="G66" i="4"/>
  <c r="I18" i="4"/>
  <c r="J60" i="4"/>
  <c r="I60" i="4" s="1"/>
  <c r="E18" i="4"/>
  <c r="E19" i="4"/>
  <c r="E21" i="4"/>
  <c r="E22" i="4"/>
  <c r="E23" i="4"/>
  <c r="G59" i="4"/>
  <c r="F18" i="4"/>
  <c r="C65" i="4"/>
  <c r="G20" i="4"/>
  <c r="G22" i="4"/>
  <c r="D56" i="4"/>
  <c r="D57" i="4"/>
  <c r="G19" i="4"/>
  <c r="G21" i="4"/>
  <c r="G23" i="4"/>
  <c r="D27" i="4"/>
  <c r="D58" i="4"/>
  <c r="C59" i="4"/>
  <c r="C60" i="4"/>
  <c r="I18" i="3"/>
  <c r="G36" i="3"/>
  <c r="J23" i="3"/>
  <c r="I23" i="3" s="1"/>
  <c r="J24" i="3"/>
  <c r="I22" i="3"/>
  <c r="J25" i="3"/>
  <c r="J60" i="3"/>
  <c r="I60" i="3" s="1"/>
  <c r="E26" i="3"/>
  <c r="C26" i="3"/>
  <c r="C27" i="3" s="1"/>
  <c r="G26" i="3"/>
  <c r="E25" i="3"/>
  <c r="E24" i="3"/>
  <c r="K59" i="3"/>
  <c r="J59" i="3" s="1"/>
  <c r="I59" i="3" s="1"/>
  <c r="C59" i="3"/>
  <c r="G59" i="3"/>
  <c r="E18" i="3"/>
  <c r="E19" i="3"/>
  <c r="E20" i="3"/>
  <c r="E21" i="3"/>
  <c r="E22" i="3"/>
  <c r="E23" i="3"/>
  <c r="F18" i="3"/>
  <c r="G60" i="3"/>
  <c r="C65" i="3"/>
  <c r="G19" i="3"/>
  <c r="G20" i="3"/>
  <c r="G21" i="3"/>
  <c r="G22" i="3"/>
  <c r="G23" i="3"/>
  <c r="D56" i="3"/>
  <c r="C57" i="3"/>
  <c r="K57" i="3"/>
  <c r="D58" i="3"/>
  <c r="D66" i="3"/>
  <c r="C60" i="3"/>
  <c r="K59" i="2"/>
  <c r="J59" i="2" s="1"/>
  <c r="I59" i="2" s="1"/>
  <c r="C59" i="2"/>
  <c r="G59" i="2"/>
  <c r="J60" i="2"/>
  <c r="I60" i="2" s="1"/>
  <c r="C26" i="2"/>
  <c r="C27" i="2" s="1"/>
  <c r="G26" i="2"/>
  <c r="D27" i="2"/>
  <c r="E20" i="2"/>
  <c r="J24" i="2"/>
  <c r="I18" i="2"/>
  <c r="G58" i="2"/>
  <c r="E18" i="2"/>
  <c r="F18" i="2"/>
  <c r="F19" i="2"/>
  <c r="F20" i="2"/>
  <c r="F21" i="2"/>
  <c r="F22" i="2"/>
  <c r="G60" i="2"/>
  <c r="C65" i="2"/>
  <c r="D56" i="2"/>
  <c r="J25" i="2"/>
  <c r="J27" i="2" s="1"/>
  <c r="D57" i="2"/>
  <c r="C58" i="2"/>
  <c r="K58" i="2"/>
  <c r="J58" i="2" s="1"/>
  <c r="I58" i="2" s="1"/>
  <c r="D66" i="2"/>
  <c r="J23" i="2"/>
  <c r="C60" i="2"/>
  <c r="K60" i="1"/>
  <c r="C60" i="1"/>
  <c r="C23" i="1"/>
  <c r="D26" i="1"/>
  <c r="L56" i="1"/>
  <c r="C56" i="1"/>
  <c r="D58" i="1"/>
  <c r="C59" i="1"/>
  <c r="K59" i="1"/>
  <c r="J59" i="1" s="1"/>
  <c r="I59" i="1" s="1"/>
  <c r="G57" i="1"/>
  <c r="D18" i="1"/>
  <c r="D19" i="1"/>
  <c r="D20" i="1"/>
  <c r="D21" i="1"/>
  <c r="D22" i="1"/>
  <c r="F18" i="1"/>
  <c r="C57" i="1"/>
  <c r="J18" i="5" l="1"/>
  <c r="D27" i="5"/>
  <c r="E18" i="5" s="1"/>
  <c r="C18" i="5"/>
  <c r="E21" i="5"/>
  <c r="J21" i="5"/>
  <c r="I21" i="5" s="1"/>
  <c r="C21" i="5"/>
  <c r="D66" i="5"/>
  <c r="C26" i="5"/>
  <c r="G26" i="5"/>
  <c r="E26" i="5"/>
  <c r="E19" i="5"/>
  <c r="J19" i="5"/>
  <c r="I19" i="5" s="1"/>
  <c r="C19" i="5"/>
  <c r="F58" i="5"/>
  <c r="F57" i="5"/>
  <c r="L65" i="5"/>
  <c r="L64" i="5"/>
  <c r="J56" i="5"/>
  <c r="K91" i="5"/>
  <c r="L62" i="5"/>
  <c r="J62" i="5" s="1"/>
  <c r="I62" i="5" s="1"/>
  <c r="K65" i="5"/>
  <c r="K64" i="5"/>
  <c r="K63" i="5"/>
  <c r="J63" i="5" s="1"/>
  <c r="I63" i="5" s="1"/>
  <c r="J91" i="5"/>
  <c r="J60" i="5"/>
  <c r="G20" i="5"/>
  <c r="E20" i="5"/>
  <c r="C20" i="5"/>
  <c r="J20" i="5"/>
  <c r="I20" i="5" s="1"/>
  <c r="E22" i="5"/>
  <c r="C22" i="5"/>
  <c r="J22" i="5"/>
  <c r="F23" i="4"/>
  <c r="D61" i="4"/>
  <c r="F21" i="4"/>
  <c r="G60" i="4"/>
  <c r="I27" i="4"/>
  <c r="K57" i="4"/>
  <c r="C57" i="4"/>
  <c r="F66" i="4"/>
  <c r="I24" i="4"/>
  <c r="G24" i="4"/>
  <c r="G27" i="4" s="1"/>
  <c r="L56" i="4"/>
  <c r="C56" i="4"/>
  <c r="F19" i="4"/>
  <c r="I25" i="4"/>
  <c r="G25" i="4"/>
  <c r="F59" i="4"/>
  <c r="K58" i="4"/>
  <c r="C58" i="4"/>
  <c r="F22" i="4"/>
  <c r="E25" i="4"/>
  <c r="E24" i="4"/>
  <c r="B42" i="4" s="1"/>
  <c r="F36" i="4" s="1"/>
  <c r="H36" i="4" s="1"/>
  <c r="H91" i="4" s="1"/>
  <c r="F20" i="4"/>
  <c r="E20" i="4"/>
  <c r="F26" i="4"/>
  <c r="F59" i="3"/>
  <c r="F22" i="3"/>
  <c r="K58" i="3"/>
  <c r="J58" i="3" s="1"/>
  <c r="I58" i="3" s="1"/>
  <c r="C58" i="3"/>
  <c r="G58" i="3"/>
  <c r="F21" i="3"/>
  <c r="I24" i="3"/>
  <c r="G24" i="3"/>
  <c r="F23" i="3"/>
  <c r="D61" i="3"/>
  <c r="F20" i="3"/>
  <c r="K63" i="3"/>
  <c r="J63" i="3" s="1"/>
  <c r="I63" i="3" s="1"/>
  <c r="I25" i="3"/>
  <c r="G25" i="3"/>
  <c r="K65" i="3"/>
  <c r="J91" i="3"/>
  <c r="J27" i="3"/>
  <c r="G66" i="3"/>
  <c r="C66" i="3"/>
  <c r="F60" i="3"/>
  <c r="E27" i="3"/>
  <c r="B42" i="3"/>
  <c r="F36" i="3" s="1"/>
  <c r="H36" i="3" s="1"/>
  <c r="H91" i="3" s="1"/>
  <c r="I27" i="3"/>
  <c r="F19" i="3"/>
  <c r="G27" i="3"/>
  <c r="H18" i="3" s="1"/>
  <c r="J57" i="3"/>
  <c r="L56" i="3"/>
  <c r="C56" i="3"/>
  <c r="H26" i="3"/>
  <c r="F26" i="3"/>
  <c r="I24" i="2"/>
  <c r="G24" i="2"/>
  <c r="F59" i="2"/>
  <c r="K57" i="2"/>
  <c r="J91" i="2" s="1"/>
  <c r="C57" i="2"/>
  <c r="L56" i="2"/>
  <c r="C56" i="2"/>
  <c r="C66" i="2"/>
  <c r="G66" i="2"/>
  <c r="I25" i="2"/>
  <c r="G25" i="2"/>
  <c r="F60" i="2"/>
  <c r="F58" i="2"/>
  <c r="E23" i="2"/>
  <c r="E22" i="2"/>
  <c r="E21" i="2"/>
  <c r="E24" i="2"/>
  <c r="E25" i="2"/>
  <c r="E26" i="2"/>
  <c r="I23" i="2"/>
  <c r="I27" i="2" s="1"/>
  <c r="G23" i="2"/>
  <c r="F26" i="2"/>
  <c r="E19" i="2"/>
  <c r="B42" i="2" s="1"/>
  <c r="F36" i="2" s="1"/>
  <c r="H36" i="2" s="1"/>
  <c r="H91" i="2" s="1"/>
  <c r="K58" i="1"/>
  <c r="J58" i="1" s="1"/>
  <c r="I58" i="1" s="1"/>
  <c r="C58" i="1"/>
  <c r="C18" i="1"/>
  <c r="J18" i="1"/>
  <c r="D27" i="1"/>
  <c r="E19" i="1" s="1"/>
  <c r="G26" i="1"/>
  <c r="C26" i="1"/>
  <c r="K65" i="1"/>
  <c r="J65" i="1" s="1"/>
  <c r="K64" i="1"/>
  <c r="J64" i="1" s="1"/>
  <c r="K63" i="1"/>
  <c r="J63" i="1" s="1"/>
  <c r="I63" i="1" s="1"/>
  <c r="J91" i="1"/>
  <c r="J60" i="1"/>
  <c r="C20" i="1"/>
  <c r="J20" i="1"/>
  <c r="I20" i="1" s="1"/>
  <c r="G19" i="1"/>
  <c r="C19" i="1"/>
  <c r="J19" i="1"/>
  <c r="I19" i="1" s="1"/>
  <c r="F57" i="1"/>
  <c r="L65" i="1"/>
  <c r="L64" i="1"/>
  <c r="J56" i="1"/>
  <c r="K91" i="1"/>
  <c r="L62" i="1"/>
  <c r="J62" i="1" s="1"/>
  <c r="I62" i="1" s="1"/>
  <c r="D66" i="1"/>
  <c r="C22" i="1"/>
  <c r="J22" i="1"/>
  <c r="G22" i="1" s="1"/>
  <c r="G21" i="1"/>
  <c r="C21" i="1"/>
  <c r="J21" i="1"/>
  <c r="I21" i="1" s="1"/>
  <c r="G59" i="1"/>
  <c r="F20" i="5" l="1"/>
  <c r="G21" i="5"/>
  <c r="G36" i="5"/>
  <c r="J23" i="5"/>
  <c r="J27" i="5" s="1"/>
  <c r="I22" i="5"/>
  <c r="J24" i="5"/>
  <c r="J25" i="5"/>
  <c r="J64" i="5"/>
  <c r="F26" i="5"/>
  <c r="C27" i="5"/>
  <c r="J67" i="5"/>
  <c r="I56" i="5"/>
  <c r="G56" i="5"/>
  <c r="G19" i="5"/>
  <c r="J65" i="5"/>
  <c r="G22" i="5"/>
  <c r="G66" i="5"/>
  <c r="C66" i="5"/>
  <c r="E24" i="5"/>
  <c r="E25" i="5"/>
  <c r="E23" i="5"/>
  <c r="B42" i="5" s="1"/>
  <c r="F36" i="5" s="1"/>
  <c r="H36" i="5" s="1"/>
  <c r="H91" i="5" s="1"/>
  <c r="M91" i="5" s="1"/>
  <c r="I60" i="5"/>
  <c r="G60" i="5"/>
  <c r="I18" i="5"/>
  <c r="H18" i="4"/>
  <c r="H23" i="4"/>
  <c r="H19" i="4"/>
  <c r="H22" i="4"/>
  <c r="H21" i="4"/>
  <c r="H26" i="4"/>
  <c r="H20" i="4"/>
  <c r="F60" i="4"/>
  <c r="H25" i="4"/>
  <c r="D63" i="4"/>
  <c r="F25" i="4"/>
  <c r="K91" i="4"/>
  <c r="L65" i="4"/>
  <c r="L67" i="4" s="1"/>
  <c r="L62" i="4"/>
  <c r="J62" i="4" s="1"/>
  <c r="I62" i="4" s="1"/>
  <c r="L64" i="4"/>
  <c r="J56" i="4"/>
  <c r="J58" i="4"/>
  <c r="J91" i="4"/>
  <c r="M91" i="4" s="1"/>
  <c r="K65" i="4"/>
  <c r="K64" i="4"/>
  <c r="J64" i="4" s="1"/>
  <c r="K63" i="4"/>
  <c r="J63" i="4" s="1"/>
  <c r="I63" i="4" s="1"/>
  <c r="H24" i="4"/>
  <c r="F24" i="4"/>
  <c r="F27" i="4" s="1"/>
  <c r="D62" i="4"/>
  <c r="E27" i="4"/>
  <c r="J57" i="4"/>
  <c r="G61" i="4"/>
  <c r="C61" i="4"/>
  <c r="H23" i="3"/>
  <c r="G61" i="3"/>
  <c r="C61" i="3"/>
  <c r="I57" i="3"/>
  <c r="G57" i="3"/>
  <c r="H25" i="3"/>
  <c r="F25" i="3"/>
  <c r="D63" i="3"/>
  <c r="H24" i="3"/>
  <c r="B43" i="3" s="1"/>
  <c r="D62" i="3"/>
  <c r="F24" i="3"/>
  <c r="F27" i="3" s="1"/>
  <c r="D67" i="3"/>
  <c r="F58" i="3"/>
  <c r="K64" i="3"/>
  <c r="H22" i="3"/>
  <c r="F66" i="3"/>
  <c r="K91" i="3"/>
  <c r="M91" i="3" s="1"/>
  <c r="L65" i="3"/>
  <c r="J65" i="3" s="1"/>
  <c r="L62" i="3"/>
  <c r="J62" i="3" s="1"/>
  <c r="I62" i="3" s="1"/>
  <c r="L64" i="3"/>
  <c r="J56" i="3"/>
  <c r="H19" i="3"/>
  <c r="H27" i="3" s="1"/>
  <c r="H20" i="3"/>
  <c r="H21" i="3"/>
  <c r="K91" i="2"/>
  <c r="M91" i="2" s="1"/>
  <c r="L65" i="2"/>
  <c r="L64" i="2"/>
  <c r="J56" i="2"/>
  <c r="L62" i="2"/>
  <c r="J62" i="2" s="1"/>
  <c r="I62" i="2" s="1"/>
  <c r="E27" i="2"/>
  <c r="K65" i="2"/>
  <c r="H24" i="2"/>
  <c r="F24" i="2"/>
  <c r="D62" i="2"/>
  <c r="H23" i="2"/>
  <c r="F23" i="2"/>
  <c r="F27" i="2" s="1"/>
  <c r="D61" i="2"/>
  <c r="G27" i="2"/>
  <c r="F66" i="2"/>
  <c r="J57" i="2"/>
  <c r="K64" i="2"/>
  <c r="J64" i="2" s="1"/>
  <c r="K63" i="2"/>
  <c r="J63" i="2" s="1"/>
  <c r="I63" i="2" s="1"/>
  <c r="H25" i="2"/>
  <c r="D63" i="2"/>
  <c r="F25" i="2"/>
  <c r="F22" i="1"/>
  <c r="G64" i="1"/>
  <c r="I64" i="1"/>
  <c r="I18" i="1"/>
  <c r="F21" i="1"/>
  <c r="I65" i="1"/>
  <c r="G65" i="1"/>
  <c r="C27" i="1"/>
  <c r="E24" i="1"/>
  <c r="E25" i="1"/>
  <c r="E23" i="1"/>
  <c r="E22" i="1"/>
  <c r="E18" i="1"/>
  <c r="J67" i="1"/>
  <c r="I56" i="1"/>
  <c r="G56" i="1"/>
  <c r="F59" i="1"/>
  <c r="E20" i="1"/>
  <c r="F19" i="1"/>
  <c r="C66" i="1"/>
  <c r="G66" i="1"/>
  <c r="G20" i="1"/>
  <c r="E26" i="1"/>
  <c r="I60" i="1"/>
  <c r="G60" i="1"/>
  <c r="F26" i="1"/>
  <c r="G36" i="1"/>
  <c r="J23" i="1"/>
  <c r="J24" i="1"/>
  <c r="I22" i="1"/>
  <c r="J25" i="1"/>
  <c r="E21" i="1"/>
  <c r="G58" i="1"/>
  <c r="F60" i="5" l="1"/>
  <c r="F21" i="5"/>
  <c r="F22" i="5"/>
  <c r="I27" i="5"/>
  <c r="G65" i="5"/>
  <c r="I65" i="5"/>
  <c r="G64" i="5"/>
  <c r="I64" i="5"/>
  <c r="I67" i="5"/>
  <c r="F66" i="5"/>
  <c r="F19" i="5"/>
  <c r="I25" i="5"/>
  <c r="G25" i="5"/>
  <c r="E27" i="5"/>
  <c r="I23" i="5"/>
  <c r="G23" i="5"/>
  <c r="F56" i="5"/>
  <c r="G24" i="5"/>
  <c r="I24" i="5"/>
  <c r="F61" i="4"/>
  <c r="J65" i="4"/>
  <c r="I64" i="4"/>
  <c r="G64" i="4"/>
  <c r="K67" i="4"/>
  <c r="I58" i="4"/>
  <c r="G58" i="4"/>
  <c r="G63" i="4"/>
  <c r="C63" i="4"/>
  <c r="G62" i="4"/>
  <c r="C62" i="4"/>
  <c r="C67" i="4" s="1"/>
  <c r="D67" i="4"/>
  <c r="I56" i="4"/>
  <c r="G56" i="4"/>
  <c r="B43" i="4"/>
  <c r="H27" i="4"/>
  <c r="I57" i="4"/>
  <c r="G57" i="4"/>
  <c r="I65" i="3"/>
  <c r="G65" i="3"/>
  <c r="E64" i="3"/>
  <c r="E57" i="3"/>
  <c r="E59" i="3"/>
  <c r="E60" i="3"/>
  <c r="E65" i="3"/>
  <c r="E66" i="3"/>
  <c r="E56" i="3"/>
  <c r="E58" i="3"/>
  <c r="I56" i="3"/>
  <c r="G56" i="3"/>
  <c r="F61" i="3"/>
  <c r="G62" i="3"/>
  <c r="C62" i="3"/>
  <c r="C67" i="3" s="1"/>
  <c r="E62" i="3"/>
  <c r="J64" i="3"/>
  <c r="J67" i="3" s="1"/>
  <c r="K67" i="3"/>
  <c r="E61" i="3"/>
  <c r="G63" i="3"/>
  <c r="E63" i="3"/>
  <c r="C63" i="3"/>
  <c r="L67" i="3"/>
  <c r="F57" i="3"/>
  <c r="G61" i="2"/>
  <c r="C61" i="2"/>
  <c r="D67" i="2"/>
  <c r="J67" i="2"/>
  <c r="I56" i="2"/>
  <c r="G56" i="2"/>
  <c r="G62" i="2"/>
  <c r="C62" i="2"/>
  <c r="I64" i="2"/>
  <c r="G64" i="2"/>
  <c r="L67" i="2"/>
  <c r="I57" i="2"/>
  <c r="G57" i="2"/>
  <c r="K67" i="2"/>
  <c r="J65" i="2"/>
  <c r="G63" i="2"/>
  <c r="C63" i="2"/>
  <c r="H20" i="2"/>
  <c r="H19" i="2"/>
  <c r="H22" i="2"/>
  <c r="H18" i="2"/>
  <c r="H21" i="2"/>
  <c r="H26" i="2"/>
  <c r="F20" i="1"/>
  <c r="I23" i="1"/>
  <c r="I27" i="1" s="1"/>
  <c r="G23" i="1"/>
  <c r="J27" i="1"/>
  <c r="I67" i="1"/>
  <c r="F64" i="1"/>
  <c r="G24" i="1"/>
  <c r="I24" i="1"/>
  <c r="F56" i="1"/>
  <c r="F58" i="1"/>
  <c r="G27" i="1"/>
  <c r="I69" i="1"/>
  <c r="F65" i="1"/>
  <c r="I25" i="1"/>
  <c r="G25" i="1"/>
  <c r="F66" i="1"/>
  <c r="F60" i="1"/>
  <c r="B42" i="1"/>
  <c r="F36" i="1" s="1"/>
  <c r="H36" i="1" s="1"/>
  <c r="H91" i="1" s="1"/>
  <c r="M91" i="1" s="1"/>
  <c r="E27" i="1"/>
  <c r="D63" i="5" l="1"/>
  <c r="F25" i="5"/>
  <c r="F24" i="5"/>
  <c r="D62" i="5"/>
  <c r="F64" i="5"/>
  <c r="F23" i="5"/>
  <c r="F27" i="5" s="1"/>
  <c r="D61" i="5"/>
  <c r="G27" i="5"/>
  <c r="I69" i="5"/>
  <c r="F65" i="5"/>
  <c r="E64" i="4"/>
  <c r="E59" i="4"/>
  <c r="E66" i="4"/>
  <c r="E65" i="4"/>
  <c r="E60" i="4"/>
  <c r="E57" i="4"/>
  <c r="E56" i="4"/>
  <c r="E58" i="4"/>
  <c r="E61" i="4"/>
  <c r="F62" i="4"/>
  <c r="I65" i="4"/>
  <c r="G65" i="4"/>
  <c r="F57" i="4"/>
  <c r="H57" i="4"/>
  <c r="H64" i="4"/>
  <c r="F64" i="4"/>
  <c r="E63" i="4"/>
  <c r="E62" i="4"/>
  <c r="F56" i="4"/>
  <c r="G67" i="4"/>
  <c r="H62" i="4" s="1"/>
  <c r="I67" i="4"/>
  <c r="H63" i="4"/>
  <c r="F63" i="4"/>
  <c r="J67" i="4"/>
  <c r="F58" i="4"/>
  <c r="E67" i="3"/>
  <c r="B102" i="3"/>
  <c r="F62" i="3"/>
  <c r="F63" i="3"/>
  <c r="G67" i="3"/>
  <c r="F56" i="3"/>
  <c r="I64" i="3"/>
  <c r="I67" i="3" s="1"/>
  <c r="G64" i="3"/>
  <c r="F65" i="3"/>
  <c r="I69" i="3"/>
  <c r="E64" i="2"/>
  <c r="E60" i="2"/>
  <c r="E58" i="2"/>
  <c r="E65" i="2"/>
  <c r="E59" i="2"/>
  <c r="E56" i="2"/>
  <c r="E66" i="2"/>
  <c r="E57" i="2"/>
  <c r="F57" i="2"/>
  <c r="C67" i="2"/>
  <c r="F56" i="2"/>
  <c r="E61" i="2"/>
  <c r="F64" i="2"/>
  <c r="E63" i="2"/>
  <c r="F63" i="2"/>
  <c r="I65" i="2"/>
  <c r="I67" i="2" s="1"/>
  <c r="G65" i="2"/>
  <c r="G67" i="2" s="1"/>
  <c r="E62" i="2"/>
  <c r="F61" i="2"/>
  <c r="B43" i="2"/>
  <c r="H27" i="2"/>
  <c r="F62" i="2"/>
  <c r="H25" i="1"/>
  <c r="D63" i="1"/>
  <c r="F25" i="1"/>
  <c r="F23" i="1"/>
  <c r="F27" i="1" s="1"/>
  <c r="H23" i="1"/>
  <c r="D61" i="1"/>
  <c r="H18" i="1"/>
  <c r="H22" i="1"/>
  <c r="H26" i="1"/>
  <c r="H21" i="1"/>
  <c r="H19" i="1"/>
  <c r="H24" i="1"/>
  <c r="F24" i="1"/>
  <c r="D62" i="1"/>
  <c r="H20" i="1"/>
  <c r="H18" i="5" l="1"/>
  <c r="H20" i="5"/>
  <c r="H26" i="5"/>
  <c r="H19" i="5"/>
  <c r="H22" i="5"/>
  <c r="H21" i="5"/>
  <c r="C63" i="5"/>
  <c r="G63" i="5"/>
  <c r="G62" i="5"/>
  <c r="C62" i="5"/>
  <c r="G61" i="5"/>
  <c r="C61" i="5"/>
  <c r="D67" i="5"/>
  <c r="E63" i="5" s="1"/>
  <c r="H24" i="5"/>
  <c r="H23" i="5"/>
  <c r="H25" i="5"/>
  <c r="H56" i="4"/>
  <c r="E67" i="4"/>
  <c r="B102" i="4"/>
  <c r="F65" i="4"/>
  <c r="I69" i="4"/>
  <c r="H65" i="4"/>
  <c r="F67" i="4"/>
  <c r="H66" i="4"/>
  <c r="H59" i="4"/>
  <c r="H60" i="4"/>
  <c r="H61" i="4"/>
  <c r="H58" i="4"/>
  <c r="H59" i="3"/>
  <c r="H60" i="3"/>
  <c r="H66" i="3"/>
  <c r="H58" i="3"/>
  <c r="H57" i="3"/>
  <c r="H61" i="3"/>
  <c r="H65" i="3"/>
  <c r="H63" i="3"/>
  <c r="H64" i="3"/>
  <c r="F64" i="3"/>
  <c r="H62" i="3"/>
  <c r="H56" i="3"/>
  <c r="F67" i="3"/>
  <c r="H58" i="2"/>
  <c r="H59" i="2"/>
  <c r="H60" i="2"/>
  <c r="H66" i="2"/>
  <c r="H64" i="2"/>
  <c r="H61" i="2"/>
  <c r="H63" i="2"/>
  <c r="H56" i="2"/>
  <c r="H57" i="2"/>
  <c r="H62" i="2"/>
  <c r="E67" i="2"/>
  <c r="B102" i="2"/>
  <c r="F65" i="2"/>
  <c r="F67" i="2" s="1"/>
  <c r="H65" i="2"/>
  <c r="I69" i="2"/>
  <c r="G62" i="1"/>
  <c r="C62" i="1"/>
  <c r="G61" i="1"/>
  <c r="C61" i="1"/>
  <c r="C67" i="1" s="1"/>
  <c r="D67" i="1"/>
  <c r="E63" i="1"/>
  <c r="C63" i="1"/>
  <c r="G63" i="1"/>
  <c r="B43" i="1"/>
  <c r="H27" i="1"/>
  <c r="F61" i="5" l="1"/>
  <c r="G67" i="5"/>
  <c r="H61" i="5" s="1"/>
  <c r="E64" i="5"/>
  <c r="E65" i="5"/>
  <c r="E57" i="5"/>
  <c r="E59" i="5"/>
  <c r="E60" i="5"/>
  <c r="E58" i="5"/>
  <c r="E56" i="5"/>
  <c r="E66" i="5"/>
  <c r="C67" i="5"/>
  <c r="E61" i="5"/>
  <c r="E62" i="5"/>
  <c r="H62" i="5"/>
  <c r="F62" i="5"/>
  <c r="F63" i="5"/>
  <c r="B43" i="5"/>
  <c r="H27" i="5"/>
  <c r="H67" i="4"/>
  <c r="B103" i="4"/>
  <c r="I94" i="4" s="1"/>
  <c r="H67" i="3"/>
  <c r="B103" i="3"/>
  <c r="I94" i="3" s="1"/>
  <c r="H67" i="2"/>
  <c r="B103" i="2"/>
  <c r="I94" i="2" s="1"/>
  <c r="F61" i="1"/>
  <c r="G67" i="1"/>
  <c r="H61" i="1" s="1"/>
  <c r="F63" i="1"/>
  <c r="E64" i="1"/>
  <c r="E65" i="1"/>
  <c r="E60" i="1"/>
  <c r="E59" i="1"/>
  <c r="E57" i="1"/>
  <c r="E56" i="1"/>
  <c r="E58" i="1"/>
  <c r="E66" i="1"/>
  <c r="E61" i="1"/>
  <c r="E62" i="1"/>
  <c r="F62" i="1"/>
  <c r="H59" i="5" l="1"/>
  <c r="H58" i="5"/>
  <c r="H57" i="5"/>
  <c r="H56" i="5"/>
  <c r="H60" i="5"/>
  <c r="H66" i="5"/>
  <c r="H65" i="5"/>
  <c r="H64" i="5"/>
  <c r="H63" i="5"/>
  <c r="E67" i="5"/>
  <c r="B102" i="5"/>
  <c r="F67" i="5"/>
  <c r="H63" i="1"/>
  <c r="B102" i="1"/>
  <c r="E67" i="1"/>
  <c r="H57" i="1"/>
  <c r="H59" i="1"/>
  <c r="H65" i="1"/>
  <c r="H58" i="1"/>
  <c r="H64" i="1"/>
  <c r="H56" i="1"/>
  <c r="H66" i="1"/>
  <c r="H60" i="1"/>
  <c r="H62" i="1"/>
  <c r="F67" i="1"/>
  <c r="H67" i="5" l="1"/>
  <c r="B103" i="5"/>
  <c r="I94" i="5" s="1"/>
  <c r="H67" i="1"/>
  <c r="B103" i="1"/>
  <c r="I94" i="1" s="1"/>
</calcChain>
</file>

<file path=xl/sharedStrings.xml><?xml version="1.0" encoding="utf-8"?>
<sst xmlns="http://schemas.openxmlformats.org/spreadsheetml/2006/main" count="1010" uniqueCount="127">
  <si>
    <t>Леготин Андрей Александрович, 15</t>
  </si>
  <si>
    <t>Расчет зоны горения</t>
  </si>
  <si>
    <t>Исходные данные</t>
  </si>
  <si>
    <t>Расход природного газа</t>
  </si>
  <si>
    <t>м3/ч</t>
  </si>
  <si>
    <t>Доля газа на горение</t>
  </si>
  <si>
    <t>0,15-0,45</t>
  </si>
  <si>
    <t>состав</t>
  </si>
  <si>
    <r>
      <rPr>
        <sz val="10"/>
        <color indexed="63"/>
        <rFont val="Arial"/>
        <family val="2"/>
        <charset val="204"/>
      </rPr>
      <t>СН</t>
    </r>
    <r>
      <rPr>
        <vertAlign val="subscript"/>
        <sz val="10"/>
        <color indexed="63"/>
        <rFont val="Arial"/>
        <family val="2"/>
        <charset val="204"/>
      </rPr>
      <t>4</t>
    </r>
  </si>
  <si>
    <t>Коэффициент избытка</t>
  </si>
  <si>
    <t>0,95-1,25</t>
  </si>
  <si>
    <t>температура на входе в зону горения</t>
  </si>
  <si>
    <r>
      <rPr>
        <sz val="10"/>
        <color indexed="63"/>
        <rFont val="Arial"/>
        <family val="2"/>
        <charset val="204"/>
      </rPr>
      <t>C</t>
    </r>
    <r>
      <rPr>
        <vertAlign val="subscript"/>
        <sz val="10"/>
        <color indexed="63"/>
        <rFont val="Arial"/>
        <family val="2"/>
        <charset val="204"/>
      </rPr>
      <t>2</t>
    </r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6</t>
    </r>
  </si>
  <si>
    <t>последовательность протекания реакций в зоне горения</t>
  </si>
  <si>
    <r>
      <rPr>
        <sz val="10"/>
        <color indexed="63"/>
        <rFont val="Arial"/>
        <family val="2"/>
        <charset val="204"/>
      </rPr>
      <t>C</t>
    </r>
    <r>
      <rPr>
        <vertAlign val="subscript"/>
        <sz val="10"/>
        <color indexed="63"/>
        <rFont val="Arial"/>
        <family val="2"/>
        <charset val="204"/>
      </rPr>
      <t>3</t>
    </r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8</t>
    </r>
  </si>
  <si>
    <t>СН4 + 2О2 = СО2 + 2Н2О</t>
  </si>
  <si>
    <r>
      <rPr>
        <sz val="10"/>
        <color indexed="63"/>
        <rFont val="Arial"/>
        <family val="2"/>
        <charset val="204"/>
      </rPr>
      <t>C</t>
    </r>
    <r>
      <rPr>
        <vertAlign val="subscript"/>
        <sz val="10"/>
        <color indexed="63"/>
        <rFont val="Arial"/>
        <family val="2"/>
        <charset val="204"/>
      </rPr>
      <t>4</t>
    </r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10</t>
    </r>
  </si>
  <si>
    <t>С2Н6 + 3,5О2 = 2СО2 + 3Н2О</t>
  </si>
  <si>
    <r>
      <rPr>
        <sz val="10"/>
        <color indexed="63"/>
        <rFont val="Arial"/>
        <family val="2"/>
        <charset val="204"/>
      </rPr>
      <t>C</t>
    </r>
    <r>
      <rPr>
        <vertAlign val="subscript"/>
        <sz val="10"/>
        <color indexed="63"/>
        <rFont val="Arial"/>
        <family val="2"/>
        <charset val="204"/>
      </rPr>
      <t>5</t>
    </r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12</t>
    </r>
  </si>
  <si>
    <t>С3Н8 + 5О2 = 3СО2 + 4Н2О</t>
  </si>
  <si>
    <t>азот</t>
  </si>
  <si>
    <t>остальное</t>
  </si>
  <si>
    <t>С4Н10 + 6,5О2 = 4СО2 + 5Н2О</t>
  </si>
  <si>
    <t>С5Н12 + 8О2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</si>
  <si>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</si>
  <si>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</si>
  <si>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</si>
  <si>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</si>
  <si>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</si>
  <si>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</si>
  <si>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</si>
  <si>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</si>
  <si>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</si>
  <si>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</si>
  <si>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</si>
  <si>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</si>
  <si>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</si>
  <si>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</si>
  <si>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r>
      <rPr>
        <sz val="10"/>
        <rFont val="Arial"/>
        <family val="2"/>
        <charset val="204"/>
      </rPr>
      <t>O</t>
    </r>
    <r>
      <rPr>
        <vertAlign val="subscript"/>
        <sz val="10"/>
        <rFont val="Arial"/>
        <family val="2"/>
        <charset val="204"/>
      </rPr>
      <t>2</t>
    </r>
  </si>
  <si>
    <r>
      <rPr>
        <sz val="10"/>
        <color indexed="63"/>
        <rFont val="Arial"/>
        <family val="2"/>
        <charset val="204"/>
      </rPr>
      <t>O</t>
    </r>
    <r>
      <rPr>
        <vertAlign val="subscript"/>
        <sz val="10"/>
        <color indexed="63"/>
        <rFont val="Arial"/>
        <family val="2"/>
        <charset val="204"/>
      </rPr>
      <t>2</t>
    </r>
  </si>
  <si>
    <r>
      <rPr>
        <sz val="10"/>
        <rFont val="Arial"/>
        <family val="2"/>
        <charset val="204"/>
      </rPr>
      <t>CO</t>
    </r>
    <r>
      <rPr>
        <vertAlign val="subscript"/>
        <sz val="10"/>
        <rFont val="Arial"/>
        <family val="2"/>
        <charset val="204"/>
      </rPr>
      <t>2</t>
    </r>
  </si>
  <si>
    <r>
      <rPr>
        <sz val="10"/>
        <color indexed="63"/>
        <rFont val="Arial"/>
        <family val="2"/>
        <charset val="204"/>
      </rPr>
      <t>CO</t>
    </r>
    <r>
      <rPr>
        <vertAlign val="subscript"/>
        <sz val="10"/>
        <color indexed="63"/>
        <rFont val="Arial"/>
        <family val="2"/>
        <charset val="204"/>
      </rPr>
      <t>2</t>
    </r>
  </si>
  <si>
    <r>
      <rPr>
        <sz val="10"/>
        <rFont val="Arial"/>
        <family val="2"/>
        <charset val="204"/>
      </rPr>
      <t>H</t>
    </r>
    <r>
      <rPr>
        <vertAlign val="sub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>O</t>
    </r>
  </si>
  <si>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2</t>
    </r>
    <r>
      <rPr>
        <sz val="10"/>
        <color indexed="63"/>
        <rFont val="Arial"/>
        <family val="2"/>
        <charset val="204"/>
      </rPr>
      <t>O</t>
    </r>
  </si>
  <si>
    <r>
      <rPr>
        <sz val="10"/>
        <rFont val="Arial"/>
        <family val="2"/>
        <charset val="204"/>
      </rPr>
      <t>N</t>
    </r>
    <r>
      <rPr>
        <vertAlign val="subscript"/>
        <sz val="10"/>
        <rFont val="Arial"/>
        <family val="2"/>
        <charset val="204"/>
      </rPr>
      <t>2</t>
    </r>
  </si>
  <si>
    <r>
      <rPr>
        <sz val="10"/>
        <color indexed="63"/>
        <rFont val="Arial"/>
        <family val="2"/>
        <charset val="204"/>
      </rPr>
      <t>N</t>
    </r>
    <r>
      <rPr>
        <vertAlign val="subscript"/>
        <sz val="10"/>
        <color indexed="63"/>
        <rFont val="Arial"/>
        <family val="2"/>
        <charset val="204"/>
      </rPr>
      <t>2</t>
    </r>
  </si>
  <si>
    <t>Сумма</t>
  </si>
  <si>
    <t>Расход природного газа в зону горения</t>
  </si>
  <si>
    <t>Дж/(моль/К)</t>
  </si>
  <si>
    <t>кДж/моль</t>
  </si>
  <si>
    <t>Ср</t>
  </si>
  <si>
    <r>
      <rPr>
        <b/>
        <sz val="12"/>
        <rFont val="Arial"/>
        <family val="2"/>
        <charset val="204"/>
      </rPr>
      <t>∆H</t>
    </r>
    <r>
      <rPr>
        <b/>
        <vertAlign val="subscript"/>
        <sz val="12"/>
        <rFont val="Arial"/>
        <family val="2"/>
        <charset val="204"/>
      </rPr>
      <t>обр</t>
    </r>
  </si>
  <si>
    <t>Тепловой баланс зоны горения</t>
  </si>
  <si>
    <t>Q вх</t>
  </si>
  <si>
    <t>Q хр</t>
  </si>
  <si>
    <t>Q вых</t>
  </si>
  <si>
    <t>Дж/с</t>
  </si>
  <si>
    <r>
      <rPr>
        <sz val="12"/>
        <color indexed="63"/>
        <rFont val="Arial"/>
        <family val="2"/>
        <charset val="204"/>
      </rPr>
      <t>С</t>
    </r>
    <r>
      <rPr>
        <vertAlign val="subscript"/>
        <sz val="12"/>
        <color indexed="63"/>
        <rFont val="Arial"/>
        <family val="2"/>
        <charset val="204"/>
      </rPr>
      <t>p вх</t>
    </r>
  </si>
  <si>
    <r>
      <rPr>
        <sz val="12"/>
        <color indexed="63"/>
        <rFont val="Arial"/>
        <family val="2"/>
        <charset val="204"/>
      </rPr>
      <t>С</t>
    </r>
    <r>
      <rPr>
        <vertAlign val="subscript"/>
        <sz val="12"/>
        <color indexed="63"/>
        <rFont val="Arial"/>
        <family val="2"/>
        <charset val="204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</si>
  <si>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</si>
  <si>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</si>
  <si>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</si>
  <si>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</si>
  <si>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</si>
  <si>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</si>
  <si>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</si>
  <si>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</si>
  <si>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</si>
  <si>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</si>
  <si>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</si>
  <si>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</si>
  <si>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</si>
  <si>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</si>
  <si>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</si>
  <si>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</si>
  <si>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</si>
  <si>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</si>
  <si>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</si>
  <si>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</si>
  <si>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</si>
  <si>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</si>
  <si>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indexed="63"/>
        <rFont val="Arial"/>
        <family val="2"/>
        <charset val="204"/>
      </rPr>
      <t>О</t>
    </r>
    <r>
      <rPr>
        <vertAlign val="subscript"/>
        <sz val="10"/>
        <color indexed="63"/>
        <rFont val="Arial"/>
        <family val="2"/>
        <charset val="204"/>
      </rPr>
      <t>2</t>
    </r>
  </si>
  <si>
    <t>CO</t>
  </si>
  <si>
    <r>
      <rPr>
        <sz val="10"/>
        <color indexed="63"/>
        <rFont val="Arial"/>
        <family val="2"/>
        <charset val="204"/>
      </rPr>
      <t>H</t>
    </r>
    <r>
      <rPr>
        <vertAlign val="subscript"/>
        <sz val="10"/>
        <color indexed="63"/>
        <rFont val="Arial"/>
        <family val="2"/>
        <charset val="204"/>
      </rPr>
      <t>2</t>
    </r>
  </si>
  <si>
    <t>Соотношение Н2/СО</t>
  </si>
  <si>
    <t>CH4+H2O=CO+3H2</t>
  </si>
  <si>
    <t>C2H6+2H2O=2CO+5H2</t>
  </si>
  <si>
    <t>C3H8+3H2O=3CO+7H2</t>
  </si>
  <si>
    <t>C4H10+4H2O=4CO+9H2</t>
  </si>
  <si>
    <t>C5H12+5H2O=5CO+11H2</t>
  </si>
  <si>
    <t>CH4+CO2=2CO+2H2</t>
  </si>
  <si>
    <t>C2H6+2CO2=4CO+3H2</t>
  </si>
  <si>
    <t>C3H8+3CO2=6CO+4H2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</si>
  <si>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</si>
  <si>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</si>
  <si>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</si>
  <si>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</si>
  <si>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</si>
  <si>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</si>
  <si>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</si>
  <si>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</si>
  <si>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</si>
  <si>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t>Q вых гор</t>
  </si>
  <si>
    <t>Q вх пг</t>
  </si>
  <si>
    <t>Q пк</t>
  </si>
  <si>
    <t>Q ук</t>
  </si>
  <si>
    <t>Q по</t>
  </si>
  <si>
    <t>Q вых кон</t>
  </si>
  <si>
    <t>Т вых</t>
  </si>
  <si>
    <t>°С</t>
  </si>
  <si>
    <r>
      <rPr>
        <b/>
        <sz val="12"/>
        <color indexed="63"/>
        <rFont val="Arial"/>
        <family val="2"/>
        <charset val="204"/>
      </rPr>
      <t>С</t>
    </r>
    <r>
      <rPr>
        <b/>
        <vertAlign val="subscript"/>
        <sz val="12"/>
        <color indexed="63"/>
        <rFont val="Arial"/>
        <family val="2"/>
        <charset val="204"/>
      </rPr>
      <t>p вх</t>
    </r>
  </si>
  <si>
    <r>
      <rPr>
        <b/>
        <sz val="12"/>
        <color indexed="63"/>
        <rFont val="Arial"/>
        <family val="2"/>
        <charset val="204"/>
      </rPr>
      <t>С</t>
    </r>
    <r>
      <rPr>
        <b/>
        <vertAlign val="subscript"/>
        <sz val="12"/>
        <color indexed="63"/>
        <rFont val="Arial"/>
        <family val="2"/>
        <charset val="204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</si>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</sst>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charset val="204"/>
      <scheme val="minor"/>
    </font>
    <font>
      <sz val="14"/>
      <color indexed="63"/>
      <name val="Arial"/>
      <family val="2"/>
    </font>
    <font>
      <b/>
      <sz val="12"/>
      <color indexed="16"/>
      <name val="Arial"/>
      <family val="2"/>
      <charset val="204"/>
    </font>
    <font>
      <sz val="10"/>
      <color indexed="37"/>
      <name val="Arial"/>
      <family val="2"/>
    </font>
    <font>
      <sz val="12"/>
      <name val="Arial"/>
      <family val="2"/>
    </font>
    <font>
      <sz val="10"/>
      <color indexed="63"/>
      <name val="Arial"/>
      <family val="2"/>
      <charset val="204"/>
    </font>
    <font>
      <vertAlign val="subscript"/>
      <sz val="10"/>
      <color indexed="63"/>
      <name val="Arial"/>
      <family val="2"/>
      <charset val="204"/>
    </font>
    <font>
      <sz val="10"/>
      <name val="Arial"/>
      <family val="2"/>
      <charset val="204"/>
    </font>
    <font>
      <sz val="12"/>
      <color indexed="16"/>
      <name val="Arial"/>
      <family val="2"/>
      <charset val="204"/>
    </font>
    <font>
      <b/>
      <sz val="10"/>
      <color indexed="63"/>
      <name val="Arial"/>
      <family val="2"/>
      <charset val="204"/>
    </font>
    <font>
      <vertAlign val="subscript"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color indexed="37"/>
      <name val="Arial"/>
      <family val="2"/>
      <charset val="204"/>
    </font>
    <font>
      <b/>
      <vertAlign val="subscript"/>
      <sz val="12"/>
      <name val="Arial"/>
      <family val="2"/>
      <charset val="204"/>
    </font>
    <font>
      <b/>
      <sz val="12"/>
      <color indexed="63"/>
      <name val="Arial"/>
      <family val="2"/>
      <charset val="204"/>
    </font>
    <font>
      <sz val="12"/>
      <color indexed="63"/>
      <name val="Arial"/>
      <family val="2"/>
      <charset val="204"/>
    </font>
    <font>
      <vertAlign val="subscript"/>
      <sz val="12"/>
      <color indexed="63"/>
      <name val="Arial"/>
      <family val="2"/>
      <charset val="204"/>
    </font>
    <font>
      <sz val="12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</font>
    <font>
      <sz val="10"/>
      <color indexed="16"/>
      <name val="Arial"/>
      <family val="2"/>
    </font>
    <font>
      <b/>
      <sz val="10"/>
      <color indexed="37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8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60"/>
      <name val="Arial"/>
      <family val="2"/>
      <charset val="204"/>
    </font>
    <font>
      <b/>
      <sz val="14"/>
      <name val="Arial"/>
      <family val="2"/>
      <charset val="204"/>
    </font>
    <font>
      <b/>
      <vertAlign val="subscript"/>
      <sz val="12"/>
      <color indexed="6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5">
    <border>
      <left/>
      <right/>
      <top/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16"/>
      </bottom>
      <diagonal/>
    </border>
    <border>
      <left style="thick">
        <color indexed="16"/>
      </left>
      <right style="thick">
        <color rgb="FF800000"/>
      </right>
      <top style="thick">
        <color indexed="16"/>
      </top>
      <bottom style="thick">
        <color indexed="16"/>
      </bottom>
      <diagonal/>
    </border>
    <border>
      <left style="thick">
        <color indexed="23"/>
      </left>
      <right style="thick">
        <color indexed="16"/>
      </right>
      <top/>
      <bottom style="thick">
        <color indexed="23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23"/>
      </bottom>
      <diagonal/>
    </border>
    <border>
      <left style="thick">
        <color indexed="23"/>
      </left>
      <right style="thick">
        <color indexed="16"/>
      </right>
      <top style="thick">
        <color indexed="23"/>
      </top>
      <bottom/>
      <diagonal/>
    </border>
    <border>
      <left style="thick">
        <color indexed="16"/>
      </left>
      <right style="thick">
        <color indexed="16"/>
      </right>
      <top style="thick">
        <color indexed="23"/>
      </top>
      <bottom style="thick">
        <color indexed="16"/>
      </bottom>
      <diagonal/>
    </border>
    <border>
      <left style="thick">
        <color indexed="23"/>
      </left>
      <right style="thick">
        <color indexed="16"/>
      </right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/>
    <xf numFmtId="3" fontId="7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/>
    <xf numFmtId="0" fontId="7" fillId="0" borderId="1" xfId="0" applyFont="1" applyBorder="1" applyAlignment="1">
      <alignment horizontal="center" vertical="center"/>
    </xf>
    <xf numFmtId="4" fontId="11" fillId="0" borderId="0" xfId="0" applyNumberFormat="1" applyFont="1"/>
    <xf numFmtId="0" fontId="5" fillId="0" borderId="1" xfId="0" applyFont="1" applyBorder="1"/>
    <xf numFmtId="3" fontId="12" fillId="0" borderId="3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2" fillId="0" borderId="1" xfId="0" applyFont="1" applyBorder="1"/>
    <xf numFmtId="0" fontId="0" fillId="0" borderId="7" xfId="0" applyBorder="1"/>
    <xf numFmtId="0" fontId="0" fillId="2" borderId="0" xfId="0" applyFill="1"/>
    <xf numFmtId="0" fontId="0" fillId="2" borderId="0" xfId="0" applyFill="1" applyAlignment="1">
      <alignment horizontal="right"/>
    </xf>
    <xf numFmtId="3" fontId="0" fillId="0" borderId="0" xfId="0" applyNumberFormat="1"/>
    <xf numFmtId="0" fontId="12" fillId="0" borderId="1" xfId="0" applyFont="1" applyBorder="1"/>
    <xf numFmtId="4" fontId="0" fillId="0" borderId="1" xfId="0" applyNumberFormat="1" applyBorder="1"/>
    <xf numFmtId="0" fontId="16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4" fontId="0" fillId="0" borderId="2" xfId="0" applyNumberFormat="1" applyBorder="1"/>
    <xf numFmtId="4" fontId="0" fillId="0" borderId="3" xfId="0" applyNumberFormat="1" applyBorder="1"/>
    <xf numFmtId="0" fontId="17" fillId="0" borderId="2" xfId="0" applyFont="1" applyBorder="1" applyAlignment="1">
      <alignment horizontal="center" vertical="center"/>
    </xf>
    <xf numFmtId="4" fontId="4" fillId="0" borderId="3" xfId="0" applyNumberFormat="1" applyFont="1" applyBorder="1"/>
    <xf numFmtId="4" fontId="0" fillId="0" borderId="9" xfId="0" applyNumberFormat="1" applyBorder="1"/>
    <xf numFmtId="4" fontId="0" fillId="0" borderId="10" xfId="0" applyNumberFormat="1" applyBorder="1"/>
    <xf numFmtId="0" fontId="19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6" fillId="0" borderId="0" xfId="0" applyFont="1"/>
    <xf numFmtId="0" fontId="21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22" fillId="0" borderId="0" xfId="0" applyFont="1"/>
    <xf numFmtId="0" fontId="23" fillId="0" borderId="0" xfId="0" applyFont="1"/>
    <xf numFmtId="0" fontId="2" fillId="0" borderId="0" xfId="0" applyFont="1" applyAlignment="1">
      <alignment horizontal="center"/>
    </xf>
    <xf numFmtId="4" fontId="7" fillId="0" borderId="0" xfId="0" applyNumberFormat="1" applyFont="1"/>
    <xf numFmtId="0" fontId="24" fillId="0" borderId="0" xfId="0" applyFont="1"/>
    <xf numFmtId="0" fontId="25" fillId="0" borderId="0" xfId="0" applyFont="1"/>
    <xf numFmtId="4" fontId="24" fillId="0" borderId="1" xfId="0" applyNumberFormat="1" applyFont="1" applyBorder="1"/>
    <xf numFmtId="0" fontId="22" fillId="0" borderId="1" xfId="0" applyFont="1" applyBorder="1"/>
    <xf numFmtId="0" fontId="26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0" fillId="0" borderId="11" xfId="0" applyBorder="1"/>
    <xf numFmtId="4" fontId="0" fillId="0" borderId="11" xfId="0" applyNumberFormat="1" applyBorder="1"/>
    <xf numFmtId="0" fontId="31" fillId="0" borderId="0" xfId="0" applyFont="1"/>
    <xf numFmtId="3" fontId="0" fillId="0" borderId="7" xfId="0" applyNumberFormat="1" applyBorder="1"/>
    <xf numFmtId="0" fontId="12" fillId="0" borderId="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6" fillId="0" borderId="1" xfId="0" applyFont="1" applyBorder="1"/>
    <xf numFmtId="0" fontId="0" fillId="0" borderId="14" xfId="0" applyBorder="1"/>
    <xf numFmtId="0" fontId="0" fillId="0" borderId="15" xfId="0" applyBorder="1"/>
    <xf numFmtId="3" fontId="0" fillId="0" borderId="16" xfId="0" applyNumberFormat="1" applyBorder="1"/>
    <xf numFmtId="0" fontId="32" fillId="0" borderId="1" xfId="0" applyFont="1" applyBorder="1"/>
    <xf numFmtId="3" fontId="24" fillId="0" borderId="1" xfId="0" applyNumberFormat="1" applyFont="1" applyBorder="1"/>
    <xf numFmtId="0" fontId="7" fillId="0" borderId="0" xfId="0" applyFont="1"/>
    <xf numFmtId="0" fontId="27" fillId="0" borderId="14" xfId="0" applyFont="1" applyBorder="1"/>
    <xf numFmtId="0" fontId="27" fillId="0" borderId="15" xfId="0" applyFont="1" applyBorder="1"/>
    <xf numFmtId="0" fontId="0" fillId="0" borderId="0" xfId="0" applyAlignment="1">
      <alignment horizontal="center"/>
    </xf>
    <xf numFmtId="0" fontId="5" fillId="0" borderId="17" xfId="0" applyFon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0" fontId="0" fillId="0" borderId="9" xfId="0" applyBorder="1"/>
    <xf numFmtId="2" fontId="0" fillId="0" borderId="3" xfId="0" applyNumberFormat="1" applyBorder="1" applyAlignment="1">
      <alignment horizontal="center"/>
    </xf>
    <xf numFmtId="0" fontId="0" fillId="0" borderId="10" xfId="0" applyBorder="1"/>
    <xf numFmtId="0" fontId="20" fillId="0" borderId="19" xfId="0" applyFont="1" applyBorder="1" applyAlignment="1">
      <alignment horizontal="center"/>
    </xf>
    <xf numFmtId="4" fontId="4" fillId="0" borderId="20" xfId="0" applyNumberFormat="1" applyFont="1" applyBorder="1"/>
    <xf numFmtId="0" fontId="20" fillId="0" borderId="21" xfId="0" applyFont="1" applyBorder="1" applyAlignment="1">
      <alignment horizontal="center"/>
    </xf>
    <xf numFmtId="4" fontId="4" fillId="0" borderId="22" xfId="0" applyNumberFormat="1" applyFont="1" applyBorder="1"/>
    <xf numFmtId="0" fontId="20" fillId="0" borderId="23" xfId="0" applyFont="1" applyBorder="1" applyAlignment="1">
      <alignment horizontal="center"/>
    </xf>
    <xf numFmtId="0" fontId="27" fillId="0" borderId="4" xfId="0" applyFont="1" applyBorder="1"/>
    <xf numFmtId="0" fontId="27" fillId="0" borderId="24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4" xfId="0" applyFont="1" applyBorder="1"/>
    <xf numFmtId="0" fontId="0" fillId="0" borderId="24" xfId="0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73EF-4698-43AE-B3D3-443BA4065EEE}">
  <dimension ref="A2:AA118"/>
  <sheetViews>
    <sheetView tabSelected="1" topLeftCell="A34" workbookViewId="0">
      <selection activeCell="E30" sqref="E30"/>
    </sheetView>
  </sheetViews>
  <sheetFormatPr defaultColWidth="11.5703125" defaultRowHeight="15" x14ac:dyDescent="0.25"/>
  <cols>
    <col min="1" max="1" width="13.140625" customWidth="1"/>
    <col min="4" max="4" width="15" customWidth="1"/>
    <col min="6" max="6" width="18.140625" customWidth="1"/>
    <col min="7" max="7" width="15.5703125" customWidth="1"/>
    <col min="8" max="8" width="18.5703125" customWidth="1"/>
    <col min="9" max="9" width="13.28515625" customWidth="1"/>
    <col min="13" max="13" width="16.42578125" customWidth="1"/>
    <col min="257" max="257" width="13.140625" customWidth="1"/>
    <col min="260" max="260" width="15" customWidth="1"/>
    <col min="262" max="262" width="18.140625" customWidth="1"/>
    <col min="263" max="263" width="15.5703125" customWidth="1"/>
    <col min="264" max="264" width="18.5703125" customWidth="1"/>
    <col min="265" max="265" width="13.28515625" customWidth="1"/>
    <col min="269" max="269" width="16.42578125" customWidth="1"/>
    <col min="513" max="513" width="13.140625" customWidth="1"/>
    <col min="516" max="516" width="15" customWidth="1"/>
    <col min="518" max="518" width="18.140625" customWidth="1"/>
    <col min="519" max="519" width="15.5703125" customWidth="1"/>
    <col min="520" max="520" width="18.5703125" customWidth="1"/>
    <col min="521" max="521" width="13.28515625" customWidth="1"/>
    <col min="525" max="525" width="16.42578125" customWidth="1"/>
    <col min="769" max="769" width="13.140625" customWidth="1"/>
    <col min="772" max="772" width="15" customWidth="1"/>
    <col min="774" max="774" width="18.140625" customWidth="1"/>
    <col min="775" max="775" width="15.5703125" customWidth="1"/>
    <col min="776" max="776" width="18.5703125" customWidth="1"/>
    <col min="777" max="777" width="13.28515625" customWidth="1"/>
    <col min="781" max="781" width="16.42578125" customWidth="1"/>
    <col min="1025" max="1025" width="13.140625" customWidth="1"/>
    <col min="1028" max="1028" width="15" customWidth="1"/>
    <col min="1030" max="1030" width="18.140625" customWidth="1"/>
    <col min="1031" max="1031" width="15.5703125" customWidth="1"/>
    <col min="1032" max="1032" width="18.5703125" customWidth="1"/>
    <col min="1033" max="1033" width="13.28515625" customWidth="1"/>
    <col min="1037" max="1037" width="16.42578125" customWidth="1"/>
    <col min="1281" max="1281" width="13.140625" customWidth="1"/>
    <col min="1284" max="1284" width="15" customWidth="1"/>
    <col min="1286" max="1286" width="18.140625" customWidth="1"/>
    <col min="1287" max="1287" width="15.5703125" customWidth="1"/>
    <col min="1288" max="1288" width="18.5703125" customWidth="1"/>
    <col min="1289" max="1289" width="13.28515625" customWidth="1"/>
    <col min="1293" max="1293" width="16.42578125" customWidth="1"/>
    <col min="1537" max="1537" width="13.140625" customWidth="1"/>
    <col min="1540" max="1540" width="15" customWidth="1"/>
    <col min="1542" max="1542" width="18.140625" customWidth="1"/>
    <col min="1543" max="1543" width="15.5703125" customWidth="1"/>
    <col min="1544" max="1544" width="18.5703125" customWidth="1"/>
    <col min="1545" max="1545" width="13.28515625" customWidth="1"/>
    <col min="1549" max="1549" width="16.42578125" customWidth="1"/>
    <col min="1793" max="1793" width="13.140625" customWidth="1"/>
    <col min="1796" max="1796" width="15" customWidth="1"/>
    <col min="1798" max="1798" width="18.140625" customWidth="1"/>
    <col min="1799" max="1799" width="15.5703125" customWidth="1"/>
    <col min="1800" max="1800" width="18.5703125" customWidth="1"/>
    <col min="1801" max="1801" width="13.28515625" customWidth="1"/>
    <col min="1805" max="1805" width="16.42578125" customWidth="1"/>
    <col min="2049" max="2049" width="13.140625" customWidth="1"/>
    <col min="2052" max="2052" width="15" customWidth="1"/>
    <col min="2054" max="2054" width="18.140625" customWidth="1"/>
    <col min="2055" max="2055" width="15.5703125" customWidth="1"/>
    <col min="2056" max="2056" width="18.5703125" customWidth="1"/>
    <col min="2057" max="2057" width="13.28515625" customWidth="1"/>
    <col min="2061" max="2061" width="16.42578125" customWidth="1"/>
    <col min="2305" max="2305" width="13.140625" customWidth="1"/>
    <col min="2308" max="2308" width="15" customWidth="1"/>
    <col min="2310" max="2310" width="18.140625" customWidth="1"/>
    <col min="2311" max="2311" width="15.5703125" customWidth="1"/>
    <col min="2312" max="2312" width="18.5703125" customWidth="1"/>
    <col min="2313" max="2313" width="13.28515625" customWidth="1"/>
    <col min="2317" max="2317" width="16.42578125" customWidth="1"/>
    <col min="2561" max="2561" width="13.140625" customWidth="1"/>
    <col min="2564" max="2564" width="15" customWidth="1"/>
    <col min="2566" max="2566" width="18.140625" customWidth="1"/>
    <col min="2567" max="2567" width="15.5703125" customWidth="1"/>
    <col min="2568" max="2568" width="18.5703125" customWidth="1"/>
    <col min="2569" max="2569" width="13.28515625" customWidth="1"/>
    <col min="2573" max="2573" width="16.42578125" customWidth="1"/>
    <col min="2817" max="2817" width="13.140625" customWidth="1"/>
    <col min="2820" max="2820" width="15" customWidth="1"/>
    <col min="2822" max="2822" width="18.140625" customWidth="1"/>
    <col min="2823" max="2823" width="15.5703125" customWidth="1"/>
    <col min="2824" max="2824" width="18.5703125" customWidth="1"/>
    <col min="2825" max="2825" width="13.28515625" customWidth="1"/>
    <col min="2829" max="2829" width="16.42578125" customWidth="1"/>
    <col min="3073" max="3073" width="13.140625" customWidth="1"/>
    <col min="3076" max="3076" width="15" customWidth="1"/>
    <col min="3078" max="3078" width="18.140625" customWidth="1"/>
    <col min="3079" max="3079" width="15.5703125" customWidth="1"/>
    <col min="3080" max="3080" width="18.5703125" customWidth="1"/>
    <col min="3081" max="3081" width="13.28515625" customWidth="1"/>
    <col min="3085" max="3085" width="16.42578125" customWidth="1"/>
    <col min="3329" max="3329" width="13.140625" customWidth="1"/>
    <col min="3332" max="3332" width="15" customWidth="1"/>
    <col min="3334" max="3334" width="18.140625" customWidth="1"/>
    <col min="3335" max="3335" width="15.5703125" customWidth="1"/>
    <col min="3336" max="3336" width="18.5703125" customWidth="1"/>
    <col min="3337" max="3337" width="13.28515625" customWidth="1"/>
    <col min="3341" max="3341" width="16.42578125" customWidth="1"/>
    <col min="3585" max="3585" width="13.140625" customWidth="1"/>
    <col min="3588" max="3588" width="15" customWidth="1"/>
    <col min="3590" max="3590" width="18.140625" customWidth="1"/>
    <col min="3591" max="3591" width="15.5703125" customWidth="1"/>
    <col min="3592" max="3592" width="18.5703125" customWidth="1"/>
    <col min="3593" max="3593" width="13.28515625" customWidth="1"/>
    <col min="3597" max="3597" width="16.42578125" customWidth="1"/>
    <col min="3841" max="3841" width="13.140625" customWidth="1"/>
    <col min="3844" max="3844" width="15" customWidth="1"/>
    <col min="3846" max="3846" width="18.140625" customWidth="1"/>
    <col min="3847" max="3847" width="15.5703125" customWidth="1"/>
    <col min="3848" max="3848" width="18.5703125" customWidth="1"/>
    <col min="3849" max="3849" width="13.28515625" customWidth="1"/>
    <col min="3853" max="3853" width="16.42578125" customWidth="1"/>
    <col min="4097" max="4097" width="13.140625" customWidth="1"/>
    <col min="4100" max="4100" width="15" customWidth="1"/>
    <col min="4102" max="4102" width="18.140625" customWidth="1"/>
    <col min="4103" max="4103" width="15.5703125" customWidth="1"/>
    <col min="4104" max="4104" width="18.5703125" customWidth="1"/>
    <col min="4105" max="4105" width="13.28515625" customWidth="1"/>
    <col min="4109" max="4109" width="16.42578125" customWidth="1"/>
    <col min="4353" max="4353" width="13.140625" customWidth="1"/>
    <col min="4356" max="4356" width="15" customWidth="1"/>
    <col min="4358" max="4358" width="18.140625" customWidth="1"/>
    <col min="4359" max="4359" width="15.5703125" customWidth="1"/>
    <col min="4360" max="4360" width="18.5703125" customWidth="1"/>
    <col min="4361" max="4361" width="13.28515625" customWidth="1"/>
    <col min="4365" max="4365" width="16.42578125" customWidth="1"/>
    <col min="4609" max="4609" width="13.140625" customWidth="1"/>
    <col min="4612" max="4612" width="15" customWidth="1"/>
    <col min="4614" max="4614" width="18.140625" customWidth="1"/>
    <col min="4615" max="4615" width="15.5703125" customWidth="1"/>
    <col min="4616" max="4616" width="18.5703125" customWidth="1"/>
    <col min="4617" max="4617" width="13.28515625" customWidth="1"/>
    <col min="4621" max="4621" width="16.42578125" customWidth="1"/>
    <col min="4865" max="4865" width="13.140625" customWidth="1"/>
    <col min="4868" max="4868" width="15" customWidth="1"/>
    <col min="4870" max="4870" width="18.140625" customWidth="1"/>
    <col min="4871" max="4871" width="15.5703125" customWidth="1"/>
    <col min="4872" max="4872" width="18.5703125" customWidth="1"/>
    <col min="4873" max="4873" width="13.28515625" customWidth="1"/>
    <col min="4877" max="4877" width="16.42578125" customWidth="1"/>
    <col min="5121" max="5121" width="13.140625" customWidth="1"/>
    <col min="5124" max="5124" width="15" customWidth="1"/>
    <col min="5126" max="5126" width="18.140625" customWidth="1"/>
    <col min="5127" max="5127" width="15.5703125" customWidth="1"/>
    <col min="5128" max="5128" width="18.5703125" customWidth="1"/>
    <col min="5129" max="5129" width="13.28515625" customWidth="1"/>
    <col min="5133" max="5133" width="16.42578125" customWidth="1"/>
    <col min="5377" max="5377" width="13.140625" customWidth="1"/>
    <col min="5380" max="5380" width="15" customWidth="1"/>
    <col min="5382" max="5382" width="18.140625" customWidth="1"/>
    <col min="5383" max="5383" width="15.5703125" customWidth="1"/>
    <col min="5384" max="5384" width="18.5703125" customWidth="1"/>
    <col min="5385" max="5385" width="13.28515625" customWidth="1"/>
    <col min="5389" max="5389" width="16.42578125" customWidth="1"/>
    <col min="5633" max="5633" width="13.140625" customWidth="1"/>
    <col min="5636" max="5636" width="15" customWidth="1"/>
    <col min="5638" max="5638" width="18.140625" customWidth="1"/>
    <col min="5639" max="5639" width="15.5703125" customWidth="1"/>
    <col min="5640" max="5640" width="18.5703125" customWidth="1"/>
    <col min="5641" max="5641" width="13.28515625" customWidth="1"/>
    <col min="5645" max="5645" width="16.42578125" customWidth="1"/>
    <col min="5889" max="5889" width="13.140625" customWidth="1"/>
    <col min="5892" max="5892" width="15" customWidth="1"/>
    <col min="5894" max="5894" width="18.140625" customWidth="1"/>
    <col min="5895" max="5895" width="15.5703125" customWidth="1"/>
    <col min="5896" max="5896" width="18.5703125" customWidth="1"/>
    <col min="5897" max="5897" width="13.28515625" customWidth="1"/>
    <col min="5901" max="5901" width="16.42578125" customWidth="1"/>
    <col min="6145" max="6145" width="13.140625" customWidth="1"/>
    <col min="6148" max="6148" width="15" customWidth="1"/>
    <col min="6150" max="6150" width="18.140625" customWidth="1"/>
    <col min="6151" max="6151" width="15.5703125" customWidth="1"/>
    <col min="6152" max="6152" width="18.5703125" customWidth="1"/>
    <col min="6153" max="6153" width="13.28515625" customWidth="1"/>
    <col min="6157" max="6157" width="16.42578125" customWidth="1"/>
    <col min="6401" max="6401" width="13.140625" customWidth="1"/>
    <col min="6404" max="6404" width="15" customWidth="1"/>
    <col min="6406" max="6406" width="18.140625" customWidth="1"/>
    <col min="6407" max="6407" width="15.5703125" customWidth="1"/>
    <col min="6408" max="6408" width="18.5703125" customWidth="1"/>
    <col min="6409" max="6409" width="13.28515625" customWidth="1"/>
    <col min="6413" max="6413" width="16.42578125" customWidth="1"/>
    <col min="6657" max="6657" width="13.140625" customWidth="1"/>
    <col min="6660" max="6660" width="15" customWidth="1"/>
    <col min="6662" max="6662" width="18.140625" customWidth="1"/>
    <col min="6663" max="6663" width="15.5703125" customWidth="1"/>
    <col min="6664" max="6664" width="18.5703125" customWidth="1"/>
    <col min="6665" max="6665" width="13.28515625" customWidth="1"/>
    <col min="6669" max="6669" width="16.42578125" customWidth="1"/>
    <col min="6913" max="6913" width="13.140625" customWidth="1"/>
    <col min="6916" max="6916" width="15" customWidth="1"/>
    <col min="6918" max="6918" width="18.140625" customWidth="1"/>
    <col min="6919" max="6919" width="15.5703125" customWidth="1"/>
    <col min="6920" max="6920" width="18.5703125" customWidth="1"/>
    <col min="6921" max="6921" width="13.28515625" customWidth="1"/>
    <col min="6925" max="6925" width="16.42578125" customWidth="1"/>
    <col min="7169" max="7169" width="13.140625" customWidth="1"/>
    <col min="7172" max="7172" width="15" customWidth="1"/>
    <col min="7174" max="7174" width="18.140625" customWidth="1"/>
    <col min="7175" max="7175" width="15.5703125" customWidth="1"/>
    <col min="7176" max="7176" width="18.5703125" customWidth="1"/>
    <col min="7177" max="7177" width="13.28515625" customWidth="1"/>
    <col min="7181" max="7181" width="16.42578125" customWidth="1"/>
    <col min="7425" max="7425" width="13.140625" customWidth="1"/>
    <col min="7428" max="7428" width="15" customWidth="1"/>
    <col min="7430" max="7430" width="18.140625" customWidth="1"/>
    <col min="7431" max="7431" width="15.5703125" customWidth="1"/>
    <col min="7432" max="7432" width="18.5703125" customWidth="1"/>
    <col min="7433" max="7433" width="13.28515625" customWidth="1"/>
    <col min="7437" max="7437" width="16.42578125" customWidth="1"/>
    <col min="7681" max="7681" width="13.140625" customWidth="1"/>
    <col min="7684" max="7684" width="15" customWidth="1"/>
    <col min="7686" max="7686" width="18.140625" customWidth="1"/>
    <col min="7687" max="7687" width="15.5703125" customWidth="1"/>
    <col min="7688" max="7688" width="18.5703125" customWidth="1"/>
    <col min="7689" max="7689" width="13.28515625" customWidth="1"/>
    <col min="7693" max="7693" width="16.42578125" customWidth="1"/>
    <col min="7937" max="7937" width="13.140625" customWidth="1"/>
    <col min="7940" max="7940" width="15" customWidth="1"/>
    <col min="7942" max="7942" width="18.140625" customWidth="1"/>
    <col min="7943" max="7943" width="15.5703125" customWidth="1"/>
    <col min="7944" max="7944" width="18.5703125" customWidth="1"/>
    <col min="7945" max="7945" width="13.28515625" customWidth="1"/>
    <col min="7949" max="7949" width="16.42578125" customWidth="1"/>
    <col min="8193" max="8193" width="13.140625" customWidth="1"/>
    <col min="8196" max="8196" width="15" customWidth="1"/>
    <col min="8198" max="8198" width="18.140625" customWidth="1"/>
    <col min="8199" max="8199" width="15.5703125" customWidth="1"/>
    <col min="8200" max="8200" width="18.5703125" customWidth="1"/>
    <col min="8201" max="8201" width="13.28515625" customWidth="1"/>
    <col min="8205" max="8205" width="16.42578125" customWidth="1"/>
    <col min="8449" max="8449" width="13.140625" customWidth="1"/>
    <col min="8452" max="8452" width="15" customWidth="1"/>
    <col min="8454" max="8454" width="18.140625" customWidth="1"/>
    <col min="8455" max="8455" width="15.5703125" customWidth="1"/>
    <col min="8456" max="8456" width="18.5703125" customWidth="1"/>
    <col min="8457" max="8457" width="13.28515625" customWidth="1"/>
    <col min="8461" max="8461" width="16.42578125" customWidth="1"/>
    <col min="8705" max="8705" width="13.140625" customWidth="1"/>
    <col min="8708" max="8708" width="15" customWidth="1"/>
    <col min="8710" max="8710" width="18.140625" customWidth="1"/>
    <col min="8711" max="8711" width="15.5703125" customWidth="1"/>
    <col min="8712" max="8712" width="18.5703125" customWidth="1"/>
    <col min="8713" max="8713" width="13.28515625" customWidth="1"/>
    <col min="8717" max="8717" width="16.42578125" customWidth="1"/>
    <col min="8961" max="8961" width="13.140625" customWidth="1"/>
    <col min="8964" max="8964" width="15" customWidth="1"/>
    <col min="8966" max="8966" width="18.140625" customWidth="1"/>
    <col min="8967" max="8967" width="15.5703125" customWidth="1"/>
    <col min="8968" max="8968" width="18.5703125" customWidth="1"/>
    <col min="8969" max="8969" width="13.28515625" customWidth="1"/>
    <col min="8973" max="8973" width="16.42578125" customWidth="1"/>
    <col min="9217" max="9217" width="13.140625" customWidth="1"/>
    <col min="9220" max="9220" width="15" customWidth="1"/>
    <col min="9222" max="9222" width="18.140625" customWidth="1"/>
    <col min="9223" max="9223" width="15.5703125" customWidth="1"/>
    <col min="9224" max="9224" width="18.5703125" customWidth="1"/>
    <col min="9225" max="9225" width="13.28515625" customWidth="1"/>
    <col min="9229" max="9229" width="16.42578125" customWidth="1"/>
    <col min="9473" max="9473" width="13.140625" customWidth="1"/>
    <col min="9476" max="9476" width="15" customWidth="1"/>
    <col min="9478" max="9478" width="18.140625" customWidth="1"/>
    <col min="9479" max="9479" width="15.5703125" customWidth="1"/>
    <col min="9480" max="9480" width="18.5703125" customWidth="1"/>
    <col min="9481" max="9481" width="13.28515625" customWidth="1"/>
    <col min="9485" max="9485" width="16.42578125" customWidth="1"/>
    <col min="9729" max="9729" width="13.140625" customWidth="1"/>
    <col min="9732" max="9732" width="15" customWidth="1"/>
    <col min="9734" max="9734" width="18.140625" customWidth="1"/>
    <col min="9735" max="9735" width="15.5703125" customWidth="1"/>
    <col min="9736" max="9736" width="18.5703125" customWidth="1"/>
    <col min="9737" max="9737" width="13.28515625" customWidth="1"/>
    <col min="9741" max="9741" width="16.42578125" customWidth="1"/>
    <col min="9985" max="9985" width="13.140625" customWidth="1"/>
    <col min="9988" max="9988" width="15" customWidth="1"/>
    <col min="9990" max="9990" width="18.140625" customWidth="1"/>
    <col min="9991" max="9991" width="15.5703125" customWidth="1"/>
    <col min="9992" max="9992" width="18.5703125" customWidth="1"/>
    <col min="9993" max="9993" width="13.28515625" customWidth="1"/>
    <col min="9997" max="9997" width="16.42578125" customWidth="1"/>
    <col min="10241" max="10241" width="13.140625" customWidth="1"/>
    <col min="10244" max="10244" width="15" customWidth="1"/>
    <col min="10246" max="10246" width="18.140625" customWidth="1"/>
    <col min="10247" max="10247" width="15.5703125" customWidth="1"/>
    <col min="10248" max="10248" width="18.5703125" customWidth="1"/>
    <col min="10249" max="10249" width="13.28515625" customWidth="1"/>
    <col min="10253" max="10253" width="16.42578125" customWidth="1"/>
    <col min="10497" max="10497" width="13.140625" customWidth="1"/>
    <col min="10500" max="10500" width="15" customWidth="1"/>
    <col min="10502" max="10502" width="18.140625" customWidth="1"/>
    <col min="10503" max="10503" width="15.5703125" customWidth="1"/>
    <col min="10504" max="10504" width="18.5703125" customWidth="1"/>
    <col min="10505" max="10505" width="13.28515625" customWidth="1"/>
    <col min="10509" max="10509" width="16.42578125" customWidth="1"/>
    <col min="10753" max="10753" width="13.140625" customWidth="1"/>
    <col min="10756" max="10756" width="15" customWidth="1"/>
    <col min="10758" max="10758" width="18.140625" customWidth="1"/>
    <col min="10759" max="10759" width="15.5703125" customWidth="1"/>
    <col min="10760" max="10760" width="18.5703125" customWidth="1"/>
    <col min="10761" max="10761" width="13.28515625" customWidth="1"/>
    <col min="10765" max="10765" width="16.42578125" customWidth="1"/>
    <col min="11009" max="11009" width="13.140625" customWidth="1"/>
    <col min="11012" max="11012" width="15" customWidth="1"/>
    <col min="11014" max="11014" width="18.140625" customWidth="1"/>
    <col min="11015" max="11015" width="15.5703125" customWidth="1"/>
    <col min="11016" max="11016" width="18.5703125" customWidth="1"/>
    <col min="11017" max="11017" width="13.28515625" customWidth="1"/>
    <col min="11021" max="11021" width="16.42578125" customWidth="1"/>
    <col min="11265" max="11265" width="13.140625" customWidth="1"/>
    <col min="11268" max="11268" width="15" customWidth="1"/>
    <col min="11270" max="11270" width="18.140625" customWidth="1"/>
    <col min="11271" max="11271" width="15.5703125" customWidth="1"/>
    <col min="11272" max="11272" width="18.5703125" customWidth="1"/>
    <col min="11273" max="11273" width="13.28515625" customWidth="1"/>
    <col min="11277" max="11277" width="16.42578125" customWidth="1"/>
    <col min="11521" max="11521" width="13.140625" customWidth="1"/>
    <col min="11524" max="11524" width="15" customWidth="1"/>
    <col min="11526" max="11526" width="18.140625" customWidth="1"/>
    <col min="11527" max="11527" width="15.5703125" customWidth="1"/>
    <col min="11528" max="11528" width="18.5703125" customWidth="1"/>
    <col min="11529" max="11529" width="13.28515625" customWidth="1"/>
    <col min="11533" max="11533" width="16.42578125" customWidth="1"/>
    <col min="11777" max="11777" width="13.140625" customWidth="1"/>
    <col min="11780" max="11780" width="15" customWidth="1"/>
    <col min="11782" max="11782" width="18.140625" customWidth="1"/>
    <col min="11783" max="11783" width="15.5703125" customWidth="1"/>
    <col min="11784" max="11784" width="18.5703125" customWidth="1"/>
    <col min="11785" max="11785" width="13.28515625" customWidth="1"/>
    <col min="11789" max="11789" width="16.42578125" customWidth="1"/>
    <col min="12033" max="12033" width="13.140625" customWidth="1"/>
    <col min="12036" max="12036" width="15" customWidth="1"/>
    <col min="12038" max="12038" width="18.140625" customWidth="1"/>
    <col min="12039" max="12039" width="15.5703125" customWidth="1"/>
    <col min="12040" max="12040" width="18.5703125" customWidth="1"/>
    <col min="12041" max="12041" width="13.28515625" customWidth="1"/>
    <col min="12045" max="12045" width="16.42578125" customWidth="1"/>
    <col min="12289" max="12289" width="13.140625" customWidth="1"/>
    <col min="12292" max="12292" width="15" customWidth="1"/>
    <col min="12294" max="12294" width="18.140625" customWidth="1"/>
    <col min="12295" max="12295" width="15.5703125" customWidth="1"/>
    <col min="12296" max="12296" width="18.5703125" customWidth="1"/>
    <col min="12297" max="12297" width="13.28515625" customWidth="1"/>
    <col min="12301" max="12301" width="16.42578125" customWidth="1"/>
    <col min="12545" max="12545" width="13.140625" customWidth="1"/>
    <col min="12548" max="12548" width="15" customWidth="1"/>
    <col min="12550" max="12550" width="18.140625" customWidth="1"/>
    <col min="12551" max="12551" width="15.5703125" customWidth="1"/>
    <col min="12552" max="12552" width="18.5703125" customWidth="1"/>
    <col min="12553" max="12553" width="13.28515625" customWidth="1"/>
    <col min="12557" max="12557" width="16.42578125" customWidth="1"/>
    <col min="12801" max="12801" width="13.140625" customWidth="1"/>
    <col min="12804" max="12804" width="15" customWidth="1"/>
    <col min="12806" max="12806" width="18.140625" customWidth="1"/>
    <col min="12807" max="12807" width="15.5703125" customWidth="1"/>
    <col min="12808" max="12808" width="18.5703125" customWidth="1"/>
    <col min="12809" max="12809" width="13.28515625" customWidth="1"/>
    <col min="12813" max="12813" width="16.42578125" customWidth="1"/>
    <col min="13057" max="13057" width="13.140625" customWidth="1"/>
    <col min="13060" max="13060" width="15" customWidth="1"/>
    <col min="13062" max="13062" width="18.140625" customWidth="1"/>
    <col min="13063" max="13063" width="15.5703125" customWidth="1"/>
    <col min="13064" max="13064" width="18.5703125" customWidth="1"/>
    <col min="13065" max="13065" width="13.28515625" customWidth="1"/>
    <col min="13069" max="13069" width="16.42578125" customWidth="1"/>
    <col min="13313" max="13313" width="13.140625" customWidth="1"/>
    <col min="13316" max="13316" width="15" customWidth="1"/>
    <col min="13318" max="13318" width="18.140625" customWidth="1"/>
    <col min="13319" max="13319" width="15.5703125" customWidth="1"/>
    <col min="13320" max="13320" width="18.5703125" customWidth="1"/>
    <col min="13321" max="13321" width="13.28515625" customWidth="1"/>
    <col min="13325" max="13325" width="16.42578125" customWidth="1"/>
    <col min="13569" max="13569" width="13.140625" customWidth="1"/>
    <col min="13572" max="13572" width="15" customWidth="1"/>
    <col min="13574" max="13574" width="18.140625" customWidth="1"/>
    <col min="13575" max="13575" width="15.5703125" customWidth="1"/>
    <col min="13576" max="13576" width="18.5703125" customWidth="1"/>
    <col min="13577" max="13577" width="13.28515625" customWidth="1"/>
    <col min="13581" max="13581" width="16.42578125" customWidth="1"/>
    <col min="13825" max="13825" width="13.140625" customWidth="1"/>
    <col min="13828" max="13828" width="15" customWidth="1"/>
    <col min="13830" max="13830" width="18.140625" customWidth="1"/>
    <col min="13831" max="13831" width="15.5703125" customWidth="1"/>
    <col min="13832" max="13832" width="18.5703125" customWidth="1"/>
    <col min="13833" max="13833" width="13.28515625" customWidth="1"/>
    <col min="13837" max="13837" width="16.42578125" customWidth="1"/>
    <col min="14081" max="14081" width="13.140625" customWidth="1"/>
    <col min="14084" max="14084" width="15" customWidth="1"/>
    <col min="14086" max="14086" width="18.140625" customWidth="1"/>
    <col min="14087" max="14087" width="15.5703125" customWidth="1"/>
    <col min="14088" max="14088" width="18.5703125" customWidth="1"/>
    <col min="14089" max="14089" width="13.28515625" customWidth="1"/>
    <col min="14093" max="14093" width="16.42578125" customWidth="1"/>
    <col min="14337" max="14337" width="13.140625" customWidth="1"/>
    <col min="14340" max="14340" width="15" customWidth="1"/>
    <col min="14342" max="14342" width="18.140625" customWidth="1"/>
    <col min="14343" max="14343" width="15.5703125" customWidth="1"/>
    <col min="14344" max="14344" width="18.5703125" customWidth="1"/>
    <col min="14345" max="14345" width="13.28515625" customWidth="1"/>
    <col min="14349" max="14349" width="16.42578125" customWidth="1"/>
    <col min="14593" max="14593" width="13.140625" customWidth="1"/>
    <col min="14596" max="14596" width="15" customWidth="1"/>
    <col min="14598" max="14598" width="18.140625" customWidth="1"/>
    <col min="14599" max="14599" width="15.5703125" customWidth="1"/>
    <col min="14600" max="14600" width="18.5703125" customWidth="1"/>
    <col min="14601" max="14601" width="13.28515625" customWidth="1"/>
    <col min="14605" max="14605" width="16.42578125" customWidth="1"/>
    <col min="14849" max="14849" width="13.140625" customWidth="1"/>
    <col min="14852" max="14852" width="15" customWidth="1"/>
    <col min="14854" max="14854" width="18.140625" customWidth="1"/>
    <col min="14855" max="14855" width="15.5703125" customWidth="1"/>
    <col min="14856" max="14856" width="18.5703125" customWidth="1"/>
    <col min="14857" max="14857" width="13.28515625" customWidth="1"/>
    <col min="14861" max="14861" width="16.42578125" customWidth="1"/>
    <col min="15105" max="15105" width="13.140625" customWidth="1"/>
    <col min="15108" max="15108" width="15" customWidth="1"/>
    <col min="15110" max="15110" width="18.140625" customWidth="1"/>
    <col min="15111" max="15111" width="15.5703125" customWidth="1"/>
    <col min="15112" max="15112" width="18.5703125" customWidth="1"/>
    <col min="15113" max="15113" width="13.28515625" customWidth="1"/>
    <col min="15117" max="15117" width="16.42578125" customWidth="1"/>
    <col min="15361" max="15361" width="13.140625" customWidth="1"/>
    <col min="15364" max="15364" width="15" customWidth="1"/>
    <col min="15366" max="15366" width="18.140625" customWidth="1"/>
    <col min="15367" max="15367" width="15.5703125" customWidth="1"/>
    <col min="15368" max="15368" width="18.5703125" customWidth="1"/>
    <col min="15369" max="15369" width="13.28515625" customWidth="1"/>
    <col min="15373" max="15373" width="16.42578125" customWidth="1"/>
    <col min="15617" max="15617" width="13.140625" customWidth="1"/>
    <col min="15620" max="15620" width="15" customWidth="1"/>
    <col min="15622" max="15622" width="18.140625" customWidth="1"/>
    <col min="15623" max="15623" width="15.5703125" customWidth="1"/>
    <col min="15624" max="15624" width="18.5703125" customWidth="1"/>
    <col min="15625" max="15625" width="13.28515625" customWidth="1"/>
    <col min="15629" max="15629" width="16.42578125" customWidth="1"/>
    <col min="15873" max="15873" width="13.140625" customWidth="1"/>
    <col min="15876" max="15876" width="15" customWidth="1"/>
    <col min="15878" max="15878" width="18.140625" customWidth="1"/>
    <col min="15879" max="15879" width="15.5703125" customWidth="1"/>
    <col min="15880" max="15880" width="18.5703125" customWidth="1"/>
    <col min="15881" max="15881" width="13.28515625" customWidth="1"/>
    <col min="15885" max="15885" width="16.42578125" customWidth="1"/>
    <col min="16129" max="16129" width="13.140625" customWidth="1"/>
    <col min="16132" max="16132" width="15" customWidth="1"/>
    <col min="16134" max="16134" width="18.140625" customWidth="1"/>
    <col min="16135" max="16135" width="15.5703125" customWidth="1"/>
    <col min="16136" max="16136" width="18.5703125" customWidth="1"/>
    <col min="16137" max="16137" width="13.28515625" customWidth="1"/>
    <col min="16141" max="16141" width="16.42578125" customWidth="1"/>
  </cols>
  <sheetData>
    <row r="2" spans="1:15" ht="18" x14ac:dyDescent="0.25">
      <c r="A2" s="1" t="s">
        <v>0</v>
      </c>
    </row>
    <row r="3" spans="1:15" ht="18" x14ac:dyDescent="0.25">
      <c r="A3" s="1"/>
    </row>
    <row r="4" spans="1:15" ht="15.75" x14ac:dyDescent="0.25">
      <c r="A4" s="2" t="s">
        <v>1</v>
      </c>
      <c r="B4" s="3"/>
    </row>
    <row r="5" spans="1:15" ht="16.5" thickBot="1" x14ac:dyDescent="0.3">
      <c r="D5" s="2" t="s">
        <v>2</v>
      </c>
    </row>
    <row r="6" spans="1:15" ht="17.25" thickTop="1" thickBot="1" x14ac:dyDescent="0.3">
      <c r="C6" s="4" t="s">
        <v>3</v>
      </c>
      <c r="D6" s="5"/>
      <c r="E6" s="6">
        <v>5500</v>
      </c>
      <c r="F6" t="s">
        <v>4</v>
      </c>
      <c r="G6" s="4" t="s">
        <v>5</v>
      </c>
      <c r="H6" s="5"/>
      <c r="I6" s="6">
        <v>0.45</v>
      </c>
      <c r="K6" t="s">
        <v>6</v>
      </c>
    </row>
    <row r="7" spans="1:15" ht="17.25" thickTop="1" thickBot="1" x14ac:dyDescent="0.3">
      <c r="C7" s="4" t="s">
        <v>7</v>
      </c>
      <c r="D7" s="7" t="s">
        <v>8</v>
      </c>
      <c r="E7" s="6">
        <v>0.78</v>
      </c>
      <c r="G7" s="4" t="s">
        <v>9</v>
      </c>
      <c r="H7" s="5"/>
      <c r="I7" s="6">
        <v>1</v>
      </c>
      <c r="K7" t="s">
        <v>10</v>
      </c>
      <c r="M7" s="108"/>
      <c r="N7" s="108"/>
      <c r="O7" s="108"/>
    </row>
    <row r="8" spans="1:15" ht="17.25" thickTop="1" thickBot="1" x14ac:dyDescent="0.3">
      <c r="C8" t="s">
        <v>11</v>
      </c>
      <c r="D8" s="9" t="s">
        <v>12</v>
      </c>
      <c r="E8" s="6">
        <v>0.03</v>
      </c>
      <c r="G8" s="10" t="s">
        <v>13</v>
      </c>
      <c r="H8" s="3"/>
      <c r="I8" s="3"/>
      <c r="J8" s="3"/>
      <c r="M8" s="8"/>
      <c r="N8" s="8"/>
      <c r="O8" s="11"/>
    </row>
    <row r="9" spans="1:15" ht="17.25" thickTop="1" thickBot="1" x14ac:dyDescent="0.3">
      <c r="C9">
        <v>475</v>
      </c>
      <c r="D9" s="9" t="s">
        <v>14</v>
      </c>
      <c r="E9" s="6">
        <v>0.05</v>
      </c>
      <c r="G9" s="12" t="s">
        <v>15</v>
      </c>
      <c r="H9" s="12"/>
      <c r="I9" s="13">
        <v>5</v>
      </c>
      <c r="M9" s="108"/>
      <c r="N9" s="108"/>
      <c r="O9" s="108"/>
    </row>
    <row r="10" spans="1:15" ht="17.25" thickTop="1" thickBot="1" x14ac:dyDescent="0.3">
      <c r="D10" s="9" t="s">
        <v>16</v>
      </c>
      <c r="E10" s="6">
        <v>0.06</v>
      </c>
      <c r="G10" s="12" t="s">
        <v>17</v>
      </c>
      <c r="H10" s="12"/>
      <c r="I10" s="13">
        <v>4</v>
      </c>
      <c r="M10" s="8"/>
      <c r="N10" s="8"/>
      <c r="O10" s="11"/>
    </row>
    <row r="11" spans="1:15" ht="17.25" thickTop="1" thickBot="1" x14ac:dyDescent="0.3">
      <c r="D11" s="9" t="s">
        <v>18</v>
      </c>
      <c r="E11" s="6">
        <v>0.01</v>
      </c>
      <c r="G11" s="12" t="s">
        <v>19</v>
      </c>
      <c r="H11" s="12"/>
      <c r="I11" s="13">
        <v>3</v>
      </c>
      <c r="M11" s="108"/>
      <c r="N11" s="108"/>
      <c r="O11" s="108"/>
    </row>
    <row r="12" spans="1:15" ht="17.25" thickTop="1" thickBot="1" x14ac:dyDescent="0.3">
      <c r="D12" s="14" t="s">
        <v>20</v>
      </c>
      <c r="E12" s="15" t="s">
        <v>21</v>
      </c>
      <c r="G12" s="12" t="s">
        <v>22</v>
      </c>
      <c r="H12" s="12"/>
      <c r="I12" s="13">
        <v>2</v>
      </c>
      <c r="M12" s="11"/>
      <c r="N12" s="11"/>
      <c r="O12" s="11"/>
    </row>
    <row r="13" spans="1:15" ht="17.25" thickTop="1" thickBot="1" x14ac:dyDescent="0.3">
      <c r="D13">
        <v>22.4</v>
      </c>
      <c r="G13" s="12" t="s">
        <v>23</v>
      </c>
      <c r="H13" s="12"/>
      <c r="I13" s="13">
        <v>1</v>
      </c>
      <c r="M13" s="108"/>
      <c r="N13" s="108"/>
      <c r="O13" s="108"/>
    </row>
    <row r="14" spans="1:15" ht="15.75" thickTop="1" x14ac:dyDescent="0.25">
      <c r="M14" s="11"/>
      <c r="N14" s="11"/>
      <c r="O14" s="11"/>
    </row>
    <row r="15" spans="1:15" ht="16.5" thickBot="1" x14ac:dyDescent="0.3">
      <c r="E15" s="2" t="s">
        <v>24</v>
      </c>
      <c r="F15" s="3"/>
      <c r="M15" s="108"/>
      <c r="N15" s="108"/>
      <c r="O15" s="108"/>
    </row>
    <row r="16" spans="1:15" ht="17.25" thickTop="1" thickBot="1" x14ac:dyDescent="0.3">
      <c r="A16" s="12"/>
      <c r="B16" s="12"/>
      <c r="C16" s="109" t="s">
        <v>25</v>
      </c>
      <c r="D16" s="109"/>
      <c r="E16" s="109"/>
      <c r="F16" s="109" t="s">
        <v>26</v>
      </c>
      <c r="G16" s="109"/>
      <c r="H16" s="109"/>
      <c r="I16" s="4" t="s">
        <v>27</v>
      </c>
      <c r="J16" s="12"/>
    </row>
    <row r="17" spans="1:21" ht="16.5" thickTop="1" thickBot="1" x14ac:dyDescent="0.3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</row>
    <row r="18" spans="1:21" ht="17.25" thickTop="1" thickBot="1" x14ac:dyDescent="0.3">
      <c r="A18" s="18" t="s">
        <v>8</v>
      </c>
      <c r="B18" s="19">
        <v>16</v>
      </c>
      <c r="C18" s="20">
        <f t="shared" ref="C18:C26" si="0">D18/D$13*B18</f>
        <v>1378.9285714285716</v>
      </c>
      <c r="D18" s="20">
        <f>F$29*E7</f>
        <v>1930.5</v>
      </c>
      <c r="E18" s="21">
        <f t="shared" ref="E18:E26" si="1">D18/D$27</f>
        <v>9.254237288135593E-2</v>
      </c>
      <c r="F18" s="20">
        <f t="shared" ref="F18:F26" si="2">G18/D$13*B18</f>
        <v>729.24107142857144</v>
      </c>
      <c r="G18" s="22">
        <f>2041.875/2</f>
        <v>1020.9375</v>
      </c>
      <c r="H18" s="23">
        <f t="shared" ref="H18:H26" si="3">G18/G$27</f>
        <v>4.7945205479452052E-2</v>
      </c>
      <c r="I18" s="20">
        <f t="shared" ref="I18:I26" si="4">J18/D$13*B18</f>
        <v>-649.6875</v>
      </c>
      <c r="J18" s="20">
        <f>G18-D18</f>
        <v>-909.5625</v>
      </c>
      <c r="N18" s="24"/>
      <c r="O18" s="24"/>
      <c r="P18" s="24"/>
      <c r="Q18" s="24"/>
      <c r="R18" s="24"/>
      <c r="S18" s="24"/>
      <c r="T18" s="24"/>
      <c r="U18" s="24"/>
    </row>
    <row r="19" spans="1:21" ht="17.25" thickTop="1" thickBot="1" x14ac:dyDescent="0.3">
      <c r="A19" s="18" t="s">
        <v>12</v>
      </c>
      <c r="B19" s="19">
        <v>30</v>
      </c>
      <c r="C19" s="20">
        <f t="shared" si="0"/>
        <v>99.441964285714292</v>
      </c>
      <c r="D19" s="20">
        <f>F$29*E8</f>
        <v>74.25</v>
      </c>
      <c r="E19" s="21">
        <f t="shared" si="1"/>
        <v>3.5593220338983049E-3</v>
      </c>
      <c r="F19" s="20">
        <f t="shared" si="2"/>
        <v>0</v>
      </c>
      <c r="G19" s="20">
        <f t="shared" ref="G19:G26" si="5">D19+J19</f>
        <v>0</v>
      </c>
      <c r="H19" s="23">
        <f t="shared" si="3"/>
        <v>0</v>
      </c>
      <c r="I19" s="20">
        <f t="shared" si="4"/>
        <v>-99.441964285714292</v>
      </c>
      <c r="J19" s="20">
        <f>-D19</f>
        <v>-74.25</v>
      </c>
      <c r="N19" s="24"/>
      <c r="O19" s="24"/>
      <c r="P19" s="24"/>
      <c r="Q19" s="24"/>
      <c r="R19" s="24"/>
      <c r="S19" s="24"/>
      <c r="T19" s="24"/>
      <c r="U19" s="24"/>
    </row>
    <row r="20" spans="1:21" ht="17.25" thickTop="1" thickBot="1" x14ac:dyDescent="0.3">
      <c r="A20" s="18" t="s">
        <v>14</v>
      </c>
      <c r="B20" s="19">
        <v>44</v>
      </c>
      <c r="C20" s="20">
        <f t="shared" si="0"/>
        <v>243.08035714285717</v>
      </c>
      <c r="D20" s="20">
        <f>F$29*E9</f>
        <v>123.75</v>
      </c>
      <c r="E20" s="21">
        <f t="shared" si="1"/>
        <v>5.9322033898305086E-3</v>
      </c>
      <c r="F20" s="20">
        <f t="shared" si="2"/>
        <v>0</v>
      </c>
      <c r="G20" s="20">
        <f t="shared" si="5"/>
        <v>0</v>
      </c>
      <c r="H20" s="23">
        <f t="shared" si="3"/>
        <v>0</v>
      </c>
      <c r="I20" s="20">
        <f t="shared" si="4"/>
        <v>-243.08035714285717</v>
      </c>
      <c r="J20" s="20">
        <f>-D20</f>
        <v>-123.75</v>
      </c>
      <c r="N20" s="24"/>
      <c r="O20" s="24"/>
      <c r="P20" s="24"/>
      <c r="Q20" s="24"/>
      <c r="R20" s="24"/>
      <c r="S20" s="24"/>
      <c r="T20" s="24"/>
      <c r="U20" s="24"/>
    </row>
    <row r="21" spans="1:21" ht="17.25" thickTop="1" thickBot="1" x14ac:dyDescent="0.3">
      <c r="A21" s="18" t="s">
        <v>16</v>
      </c>
      <c r="B21" s="19">
        <v>58</v>
      </c>
      <c r="C21" s="20">
        <f t="shared" si="0"/>
        <v>384.50892857142861</v>
      </c>
      <c r="D21" s="20">
        <f>F$29*E10</f>
        <v>148.5</v>
      </c>
      <c r="E21" s="21">
        <f t="shared" si="1"/>
        <v>7.1186440677966098E-3</v>
      </c>
      <c r="F21" s="20">
        <f t="shared" si="2"/>
        <v>0</v>
      </c>
      <c r="G21" s="20">
        <f t="shared" si="5"/>
        <v>0</v>
      </c>
      <c r="H21" s="23">
        <f t="shared" si="3"/>
        <v>0</v>
      </c>
      <c r="I21" s="20">
        <f t="shared" si="4"/>
        <v>-384.50892857142861</v>
      </c>
      <c r="J21" s="20">
        <f>-D21</f>
        <v>-148.5</v>
      </c>
      <c r="N21" s="24"/>
      <c r="O21" s="24"/>
      <c r="P21" s="24"/>
      <c r="Q21" s="24"/>
      <c r="R21" s="24"/>
      <c r="S21" s="24"/>
      <c r="T21" s="24"/>
      <c r="U21" s="24"/>
    </row>
    <row r="22" spans="1:21" ht="17.25" thickTop="1" thickBot="1" x14ac:dyDescent="0.3">
      <c r="A22" s="18" t="s">
        <v>18</v>
      </c>
      <c r="B22" s="19">
        <v>72</v>
      </c>
      <c r="C22" s="20">
        <f t="shared" si="0"/>
        <v>79.553571428571445</v>
      </c>
      <c r="D22" s="20">
        <f>F$29*E11</f>
        <v>24.75</v>
      </c>
      <c r="E22" s="21">
        <f t="shared" si="1"/>
        <v>1.1864406779661016E-3</v>
      </c>
      <c r="F22" s="20">
        <f t="shared" si="2"/>
        <v>0</v>
      </c>
      <c r="G22" s="20">
        <f t="shared" si="5"/>
        <v>0</v>
      </c>
      <c r="H22" s="23">
        <f t="shared" si="3"/>
        <v>0</v>
      </c>
      <c r="I22" s="20">
        <f t="shared" si="4"/>
        <v>-79.553571428571445</v>
      </c>
      <c r="J22" s="20">
        <f>-D22</f>
        <v>-24.75</v>
      </c>
      <c r="L22" s="25" t="s">
        <v>38</v>
      </c>
      <c r="N22" s="24"/>
      <c r="O22" s="24"/>
      <c r="P22" s="24"/>
      <c r="Q22" s="24"/>
      <c r="R22" s="24"/>
      <c r="S22" s="24"/>
      <c r="T22" s="24"/>
      <c r="U22" s="24"/>
    </row>
    <row r="23" spans="1:21" ht="17.25" thickTop="1" thickBot="1" x14ac:dyDescent="0.3">
      <c r="A23" s="18" t="s">
        <v>39</v>
      </c>
      <c r="B23" s="19">
        <v>32</v>
      </c>
      <c r="C23" s="20">
        <f t="shared" si="0"/>
        <v>5515.7142857142862</v>
      </c>
      <c r="D23" s="20">
        <f>E7*F29*2*I7</f>
        <v>3861</v>
      </c>
      <c r="E23" s="21">
        <f t="shared" si="1"/>
        <v>0.18508474576271186</v>
      </c>
      <c r="F23" s="20">
        <f t="shared" si="2"/>
        <v>0</v>
      </c>
      <c r="G23" s="20">
        <f t="shared" si="5"/>
        <v>0</v>
      </c>
      <c r="H23" s="23">
        <f t="shared" si="3"/>
        <v>0</v>
      </c>
      <c r="I23" s="20">
        <f t="shared" si="4"/>
        <v>-5515.7142857142862</v>
      </c>
      <c r="J23" s="20">
        <f>J22*8+J21*6.5+J20*5+J19*3.5+J18*2</f>
        <v>-3861</v>
      </c>
      <c r="L23" s="25" t="s">
        <v>40</v>
      </c>
      <c r="N23" s="24"/>
      <c r="O23" s="24"/>
      <c r="P23" s="24"/>
      <c r="Q23" s="24"/>
      <c r="R23" s="26"/>
      <c r="S23" s="24"/>
      <c r="T23" s="24"/>
      <c r="U23" s="24"/>
    </row>
    <row r="24" spans="1:21" ht="17.25" thickTop="1" thickBot="1" x14ac:dyDescent="0.3">
      <c r="A24" s="18" t="s">
        <v>41</v>
      </c>
      <c r="B24" s="19">
        <v>44</v>
      </c>
      <c r="C24" s="20">
        <f t="shared" si="0"/>
        <v>0</v>
      </c>
      <c r="D24" s="20">
        <v>0</v>
      </c>
      <c r="E24" s="21">
        <f t="shared" si="1"/>
        <v>0</v>
      </c>
      <c r="F24" s="20">
        <f t="shared" si="2"/>
        <v>4217.4441964285716</v>
      </c>
      <c r="G24" s="20">
        <f t="shared" si="5"/>
        <v>2147.0625</v>
      </c>
      <c r="H24" s="23">
        <f t="shared" si="3"/>
        <v>0.1008302200083022</v>
      </c>
      <c r="I24" s="20">
        <f t="shared" si="4"/>
        <v>4217.4441964285716</v>
      </c>
      <c r="J24" s="20">
        <f>-J22*5-J21*4-J20*3-J19*2-J18*1</f>
        <v>2147.0625</v>
      </c>
      <c r="L24" s="25" t="s">
        <v>42</v>
      </c>
      <c r="N24" s="24"/>
      <c r="O24" s="24"/>
      <c r="P24" s="24"/>
      <c r="Q24" s="24"/>
      <c r="R24" s="24"/>
      <c r="S24" s="24"/>
      <c r="T24" s="24"/>
      <c r="U24" s="24"/>
    </row>
    <row r="25" spans="1:21" ht="17.25" thickTop="1" thickBot="1" x14ac:dyDescent="0.3">
      <c r="A25" s="18" t="s">
        <v>43</v>
      </c>
      <c r="B25" s="19">
        <v>18</v>
      </c>
      <c r="C25" s="20">
        <f t="shared" si="0"/>
        <v>0</v>
      </c>
      <c r="D25" s="20">
        <v>0</v>
      </c>
      <c r="E25" s="21">
        <f t="shared" si="1"/>
        <v>0</v>
      </c>
      <c r="F25" s="20">
        <f t="shared" si="2"/>
        <v>2754.5424107142862</v>
      </c>
      <c r="G25" s="20">
        <f t="shared" si="5"/>
        <v>3427.875</v>
      </c>
      <c r="H25" s="23">
        <f t="shared" si="3"/>
        <v>0.1609796596097966</v>
      </c>
      <c r="I25" s="20">
        <f t="shared" si="4"/>
        <v>2754.5424107142862</v>
      </c>
      <c r="J25" s="20">
        <f>-J22*6-J21*5-J20*4-J19*3-J18*2</f>
        <v>3427.875</v>
      </c>
      <c r="L25" s="25" t="s">
        <v>44</v>
      </c>
      <c r="N25" s="24"/>
      <c r="O25" s="24"/>
      <c r="P25" s="24"/>
      <c r="Q25" s="24"/>
      <c r="R25" s="24"/>
      <c r="S25" s="24"/>
      <c r="T25" s="24"/>
      <c r="U25" s="24"/>
    </row>
    <row r="26" spans="1:21" ht="17.25" thickTop="1" thickBot="1" x14ac:dyDescent="0.3">
      <c r="A26" s="18" t="s">
        <v>45</v>
      </c>
      <c r="B26" s="19">
        <v>28</v>
      </c>
      <c r="C26" s="20">
        <f t="shared" si="0"/>
        <v>18372.455357142859</v>
      </c>
      <c r="D26" s="20">
        <f>D23*79/21+F29*(1-SUM(E7:E11))</f>
        <v>14697.964285714286</v>
      </c>
      <c r="E26" s="21">
        <f t="shared" si="1"/>
        <v>0.70457627118644073</v>
      </c>
      <c r="F26" s="20">
        <f t="shared" si="2"/>
        <v>18372.455357142859</v>
      </c>
      <c r="G26" s="20">
        <f t="shared" si="5"/>
        <v>14697.964285714286</v>
      </c>
      <c r="H26" s="23">
        <f t="shared" si="3"/>
        <v>0.6902449149024491</v>
      </c>
      <c r="I26" s="20">
        <f t="shared" si="4"/>
        <v>0</v>
      </c>
      <c r="J26" s="20">
        <v>0</v>
      </c>
      <c r="N26" s="24"/>
      <c r="O26" s="24"/>
      <c r="P26" s="24"/>
      <c r="Q26" s="24"/>
      <c r="R26" s="24"/>
      <c r="S26" s="24"/>
      <c r="T26" s="24"/>
      <c r="U26" s="24"/>
    </row>
    <row r="27" spans="1:21" ht="17.25" thickTop="1" thickBot="1" x14ac:dyDescent="0.3">
      <c r="A27" s="27" t="s">
        <v>46</v>
      </c>
      <c r="B27" s="14"/>
      <c r="C27" s="28">
        <f t="shared" ref="C27:J27" si="6">SUM(C18:C26)</f>
        <v>26073.68303571429</v>
      </c>
      <c r="D27" s="29">
        <f t="shared" si="6"/>
        <v>20860.714285714286</v>
      </c>
      <c r="E27" s="30">
        <f t="shared" si="6"/>
        <v>1</v>
      </c>
      <c r="F27" s="28">
        <f t="shared" si="6"/>
        <v>26073.68303571429</v>
      </c>
      <c r="G27" s="29">
        <f t="shared" si="6"/>
        <v>21293.839285714286</v>
      </c>
      <c r="H27" s="30">
        <f t="shared" si="6"/>
        <v>1</v>
      </c>
      <c r="I27" s="31">
        <f t="shared" si="6"/>
        <v>0</v>
      </c>
      <c r="J27" s="32">
        <f t="shared" si="6"/>
        <v>433.125</v>
      </c>
      <c r="N27" s="24"/>
      <c r="O27" s="24"/>
      <c r="P27" s="24"/>
      <c r="Q27" s="24"/>
      <c r="R27" s="24"/>
      <c r="S27" s="24"/>
      <c r="T27" s="24"/>
      <c r="U27" s="24"/>
    </row>
    <row r="28" spans="1:21" ht="16.5" thickTop="1" thickBot="1" x14ac:dyDescent="0.3"/>
    <row r="29" spans="1:21" ht="27" customHeight="1" thickTop="1" thickBot="1" x14ac:dyDescent="0.3">
      <c r="C29" s="33" t="s">
        <v>47</v>
      </c>
      <c r="D29" s="34"/>
      <c r="E29" s="34"/>
      <c r="F29" s="35">
        <f>E6*I6</f>
        <v>2475</v>
      </c>
    </row>
    <row r="30" spans="1:21" ht="26.25" customHeight="1" thickTop="1" thickBot="1" x14ac:dyDescent="0.3">
      <c r="A30" s="36"/>
      <c r="B30" s="37" t="s">
        <v>48</v>
      </c>
      <c r="C30" s="38" t="s">
        <v>49</v>
      </c>
      <c r="H30" s="39"/>
    </row>
    <row r="31" spans="1:21" ht="20.25" thickTop="1" thickBot="1" x14ac:dyDescent="0.4">
      <c r="A31" s="40" t="s">
        <v>28</v>
      </c>
      <c r="B31" s="40" t="s">
        <v>50</v>
      </c>
      <c r="C31" s="40" t="s">
        <v>51</v>
      </c>
    </row>
    <row r="32" spans="1:21" ht="17.25" thickTop="1" thickBot="1" x14ac:dyDescent="0.3">
      <c r="A32" s="18" t="s">
        <v>8</v>
      </c>
      <c r="B32" s="41">
        <v>35.700000000000003</v>
      </c>
      <c r="C32" s="41">
        <v>-74.599999999999994</v>
      </c>
      <c r="G32" s="3"/>
    </row>
    <row r="33" spans="1:13" ht="17.25" thickTop="1" thickBot="1" x14ac:dyDescent="0.3">
      <c r="A33" s="18" t="s">
        <v>12</v>
      </c>
      <c r="B33" s="41">
        <v>52.49</v>
      </c>
      <c r="C33" s="41">
        <v>-84</v>
      </c>
      <c r="F33" s="2" t="s">
        <v>52</v>
      </c>
    </row>
    <row r="34" spans="1:13" ht="17.25" thickTop="1" thickBot="1" x14ac:dyDescent="0.3">
      <c r="A34" s="18" t="s">
        <v>14</v>
      </c>
      <c r="B34" s="41">
        <v>73.599999999999994</v>
      </c>
      <c r="C34" s="41">
        <v>-103.85</v>
      </c>
    </row>
    <row r="35" spans="1:13" ht="17.25" thickTop="1" thickBot="1" x14ac:dyDescent="0.3">
      <c r="A35" s="18" t="s">
        <v>16</v>
      </c>
      <c r="B35" s="41">
        <v>98.49</v>
      </c>
      <c r="C35" s="41">
        <v>-125.77</v>
      </c>
      <c r="F35" s="42" t="s">
        <v>53</v>
      </c>
      <c r="G35" s="42" t="s">
        <v>54</v>
      </c>
      <c r="H35" s="43" t="s">
        <v>55</v>
      </c>
    </row>
    <row r="36" spans="1:13" ht="17.25" thickTop="1" thickBot="1" x14ac:dyDescent="0.3">
      <c r="A36" s="18" t="s">
        <v>18</v>
      </c>
      <c r="B36" s="41">
        <v>120.04</v>
      </c>
      <c r="C36" s="41">
        <v>-146.36000000000001</v>
      </c>
      <c r="D36" t="s">
        <v>56</v>
      </c>
      <c r="F36" s="41">
        <f>D27/D13*B42*C9*1000/3600</f>
        <v>3775507.1498325905</v>
      </c>
      <c r="G36" s="44">
        <f>(J22/D13*C45+J21/D13*C46+J20/D13*C47+J19/D13*C48+J18/D13*C49)*1000/3600*1000</f>
        <v>18427445.382254463</v>
      </c>
      <c r="H36" s="45">
        <f>F36+G36</f>
        <v>22202952.532087054</v>
      </c>
    </row>
    <row r="37" spans="1:13" ht="17.25" thickTop="1" thickBot="1" x14ac:dyDescent="0.3">
      <c r="A37" s="18" t="s">
        <v>39</v>
      </c>
      <c r="B37" s="41">
        <v>29.38</v>
      </c>
      <c r="C37" s="41">
        <v>0</v>
      </c>
    </row>
    <row r="38" spans="1:13" ht="17.25" thickTop="1" thickBot="1" x14ac:dyDescent="0.3">
      <c r="A38" s="18" t="s">
        <v>41</v>
      </c>
      <c r="B38" s="41">
        <v>37.14</v>
      </c>
      <c r="C38" s="41">
        <v>-393.51</v>
      </c>
    </row>
    <row r="39" spans="1:13" ht="17.25" thickTop="1" thickBot="1" x14ac:dyDescent="0.3">
      <c r="A39" s="18" t="s">
        <v>43</v>
      </c>
      <c r="B39" s="41">
        <v>33.6</v>
      </c>
      <c r="C39" s="41">
        <v>-241.83</v>
      </c>
    </row>
    <row r="40" spans="1:13" ht="18" customHeight="1" thickTop="1" thickBot="1" x14ac:dyDescent="0.3">
      <c r="A40" s="18" t="s">
        <v>45</v>
      </c>
      <c r="B40" s="41">
        <v>29.12</v>
      </c>
      <c r="C40" s="41"/>
    </row>
    <row r="41" spans="1:13" ht="9" customHeight="1" thickTop="1" thickBot="1" x14ac:dyDescent="0.3">
      <c r="A41" s="8"/>
      <c r="B41" s="24"/>
      <c r="C41" s="24"/>
    </row>
    <row r="42" spans="1:13" ht="21" thickTop="1" thickBot="1" x14ac:dyDescent="0.3">
      <c r="A42" s="46" t="s">
        <v>57</v>
      </c>
      <c r="B42" s="47">
        <f>B32*E18+B33*E19+B34*E20+B35*E21+B36*E22+B37*E23+B38*E24+B39*E25+B40*E26</f>
        <v>30.725788135593223</v>
      </c>
      <c r="C42" s="48"/>
    </row>
    <row r="43" spans="1:13" ht="21" thickTop="1" thickBot="1" x14ac:dyDescent="0.3">
      <c r="A43" s="46" t="s">
        <v>58</v>
      </c>
      <c r="B43" s="47">
        <f>B32*H18+B38*H24+B39*H25+B40*H26</f>
        <v>30.965326691573267</v>
      </c>
      <c r="C43" s="49"/>
    </row>
    <row r="44" spans="1:13" ht="9.75" customHeight="1" thickTop="1" thickBot="1" x14ac:dyDescent="0.3">
      <c r="A44" s="50"/>
      <c r="B44" s="24"/>
      <c r="C44" s="24"/>
    </row>
    <row r="45" spans="1:13" ht="17.25" thickTop="1" thickBot="1" x14ac:dyDescent="0.3">
      <c r="B45" s="51" t="s">
        <v>59</v>
      </c>
      <c r="C45" s="47">
        <f>6*C39+5*C38-(8*C37+C36)</f>
        <v>-3272.1699999999996</v>
      </c>
      <c r="D45" t="s">
        <v>60</v>
      </c>
      <c r="L45" s="52" t="s">
        <v>7</v>
      </c>
      <c r="M45" s="52" t="s">
        <v>61</v>
      </c>
    </row>
    <row r="46" spans="1:13" ht="17.25" thickTop="1" thickBot="1" x14ac:dyDescent="0.3">
      <c r="B46" s="51" t="s">
        <v>62</v>
      </c>
      <c r="C46" s="47">
        <f>C39*5+C38*4-(C37*6.5+C35)</f>
        <v>-2657.42</v>
      </c>
      <c r="D46" t="s">
        <v>60</v>
      </c>
      <c r="K46" s="53" t="s">
        <v>63</v>
      </c>
      <c r="L46" s="6">
        <v>0.78</v>
      </c>
      <c r="M46" s="41">
        <f>35.7</f>
        <v>35.700000000000003</v>
      </c>
    </row>
    <row r="47" spans="1:13" ht="17.25" thickTop="1" thickBot="1" x14ac:dyDescent="0.3">
      <c r="B47" s="51" t="s">
        <v>64</v>
      </c>
      <c r="C47" s="47">
        <f>C39*3+C38*2-(C37*5+C34)</f>
        <v>-1408.66</v>
      </c>
      <c r="D47" t="s">
        <v>60</v>
      </c>
      <c r="K47" s="53" t="s">
        <v>65</v>
      </c>
      <c r="L47" s="6">
        <v>0.03</v>
      </c>
      <c r="M47" s="41">
        <v>52.49</v>
      </c>
    </row>
    <row r="48" spans="1:13" ht="17.25" thickTop="1" thickBot="1" x14ac:dyDescent="0.3">
      <c r="B48" s="51" t="s">
        <v>66</v>
      </c>
      <c r="C48" s="47">
        <f>C39*3+C38*2-(C37*3.5+C33)</f>
        <v>-1428.51</v>
      </c>
      <c r="D48" t="s">
        <v>60</v>
      </c>
      <c r="K48" s="53" t="s">
        <v>67</v>
      </c>
      <c r="L48" s="6">
        <v>0.05</v>
      </c>
      <c r="M48" s="41">
        <v>73.599999999999994</v>
      </c>
    </row>
    <row r="49" spans="1:27" ht="17.25" thickTop="1" thickBot="1" x14ac:dyDescent="0.3">
      <c r="B49" s="51" t="s">
        <v>68</v>
      </c>
      <c r="C49" s="47">
        <f>C39*2+C38-(C37*2+C32)</f>
        <v>-802.57</v>
      </c>
      <c r="D49" t="s">
        <v>60</v>
      </c>
      <c r="K49" s="53" t="s">
        <v>69</v>
      </c>
      <c r="L49" s="6">
        <v>0.06</v>
      </c>
      <c r="M49" s="41">
        <v>98.49</v>
      </c>
      <c r="N49" s="2" t="s">
        <v>70</v>
      </c>
    </row>
    <row r="50" spans="1:27" ht="17.25" thickTop="1" thickBot="1" x14ac:dyDescent="0.3">
      <c r="B50" s="24"/>
      <c r="C50" s="24"/>
      <c r="K50" s="53" t="s">
        <v>71</v>
      </c>
      <c r="L50" s="6">
        <v>0.01</v>
      </c>
      <c r="M50" s="41">
        <v>120.04</v>
      </c>
      <c r="N50" s="54">
        <f>(M46*L46+M47*L47+M48*L48+M49*L49+M50*L50+M51*(1-L46-L47-L48-L49-L50))</f>
        <v>42.248899999999999</v>
      </c>
    </row>
    <row r="51" spans="1:27" ht="16.5" thickTop="1" thickBot="1" x14ac:dyDescent="0.3">
      <c r="K51" s="53" t="s">
        <v>20</v>
      </c>
      <c r="L51" s="12" t="s">
        <v>21</v>
      </c>
      <c r="M51" s="41">
        <v>29.12</v>
      </c>
    </row>
    <row r="52" spans="1:27" ht="17.25" thickTop="1" thickBot="1" x14ac:dyDescent="0.3">
      <c r="A52" s="2" t="s">
        <v>72</v>
      </c>
      <c r="B52" s="3"/>
      <c r="E52" s="55" t="s">
        <v>73</v>
      </c>
      <c r="F52" s="3"/>
      <c r="G52" s="35">
        <f>E6*(1-I6)</f>
        <v>3025.0000000000005</v>
      </c>
    </row>
    <row r="53" spans="1:27" ht="22.5" customHeight="1" thickTop="1" x14ac:dyDescent="0.25">
      <c r="A53" s="56"/>
      <c r="B53" s="3"/>
      <c r="D53" s="106" t="s">
        <v>74</v>
      </c>
      <c r="E53" s="106"/>
      <c r="F53" s="106"/>
      <c r="G53" s="106"/>
      <c r="H53" s="106"/>
      <c r="I53" s="106"/>
    </row>
    <row r="54" spans="1:27" ht="16.5" thickBot="1" x14ac:dyDescent="0.3">
      <c r="I54">
        <v>22.4</v>
      </c>
      <c r="K54" s="57" t="s">
        <v>75</v>
      </c>
      <c r="L54" s="57" t="s">
        <v>76</v>
      </c>
      <c r="M54" s="57" t="s">
        <v>77</v>
      </c>
    </row>
    <row r="55" spans="1:27" ht="17.25" thickTop="1" thickBot="1" x14ac:dyDescent="0.3">
      <c r="A55" s="42" t="s">
        <v>28</v>
      </c>
      <c r="B55" s="42" t="s">
        <v>29</v>
      </c>
      <c r="C55" s="42" t="s">
        <v>30</v>
      </c>
      <c r="D55" s="42" t="s">
        <v>31</v>
      </c>
      <c r="E55" s="42" t="s">
        <v>32</v>
      </c>
      <c r="F55" s="42" t="s">
        <v>33</v>
      </c>
      <c r="G55" s="42" t="s">
        <v>34</v>
      </c>
      <c r="H55" s="42" t="s">
        <v>35</v>
      </c>
      <c r="I55" s="42" t="s">
        <v>36</v>
      </c>
      <c r="J55" s="42" t="s">
        <v>37</v>
      </c>
      <c r="K55" s="42" t="s">
        <v>78</v>
      </c>
      <c r="L55" s="42" t="s">
        <v>79</v>
      </c>
      <c r="M55" s="42" t="s">
        <v>80</v>
      </c>
    </row>
    <row r="56" spans="1:27" ht="17.25" thickTop="1" thickBot="1" x14ac:dyDescent="0.3">
      <c r="A56" s="18" t="s">
        <v>8</v>
      </c>
      <c r="B56" s="19">
        <v>16</v>
      </c>
      <c r="C56" s="20">
        <f t="shared" ref="C56:C66" si="7">D56/22.4*B56</f>
        <v>2414.5982142857147</v>
      </c>
      <c r="D56" s="20">
        <f>G18+G52*E7</f>
        <v>3380.4375000000005</v>
      </c>
      <c r="E56" s="23">
        <f t="shared" ref="E56:E66" si="8">D56/$D$67</f>
        <v>0.13900488671701466</v>
      </c>
      <c r="F56" s="20">
        <f>G56/$I$54*B56</f>
        <v>0</v>
      </c>
      <c r="G56" s="20">
        <f>D56+J56</f>
        <v>0</v>
      </c>
      <c r="H56" s="23">
        <f t="shared" ref="H56:H66" si="9">G56/$G$67</f>
        <v>0</v>
      </c>
      <c r="I56" s="20">
        <f>J56/$I$54*B56</f>
        <v>-2414.5982142857147</v>
      </c>
      <c r="J56" s="20">
        <f>SUM(K56:M56)</f>
        <v>-3380.4375000000005</v>
      </c>
      <c r="K56" s="20">
        <v>-1915.375</v>
      </c>
      <c r="L56" s="20">
        <f>-D56-K56</f>
        <v>-1465.0625000000005</v>
      </c>
      <c r="M56" s="20"/>
      <c r="Q56" s="24"/>
      <c r="R56" s="24"/>
      <c r="S56" s="24"/>
      <c r="T56" s="24"/>
      <c r="U56" s="26"/>
      <c r="V56" s="24"/>
      <c r="W56" s="24"/>
      <c r="X56" s="24"/>
      <c r="Y56" s="24"/>
      <c r="Z56" s="24"/>
      <c r="AA56" s="24"/>
    </row>
    <row r="57" spans="1:27" ht="17.25" thickTop="1" thickBot="1" x14ac:dyDescent="0.3">
      <c r="A57" s="18" t="s">
        <v>12</v>
      </c>
      <c r="B57" s="19">
        <v>30</v>
      </c>
      <c r="C57" s="20">
        <f t="shared" si="7"/>
        <v>121.5401785714286</v>
      </c>
      <c r="D57" s="20">
        <f>G$52*E8</f>
        <v>90.750000000000014</v>
      </c>
      <c r="E57" s="23">
        <f t="shared" si="8"/>
        <v>3.7316748111950251E-3</v>
      </c>
      <c r="F57" s="20">
        <f t="shared" ref="F57:F66" si="10">G57/$I$54*B57</f>
        <v>0</v>
      </c>
      <c r="G57" s="20">
        <f t="shared" ref="G57:G66" si="11">D57+J57</f>
        <v>0</v>
      </c>
      <c r="H57" s="23">
        <f t="shared" si="9"/>
        <v>0</v>
      </c>
      <c r="I57" s="20">
        <f t="shared" ref="I57:I66" si="12">J57/$I$54*B57</f>
        <v>-121.5401785714286</v>
      </c>
      <c r="J57" s="20">
        <f t="shared" ref="J57:J66" si="13">SUM(K57:M57)</f>
        <v>-90.750000000000014</v>
      </c>
      <c r="K57" s="20">
        <f>-D57</f>
        <v>-90.750000000000014</v>
      </c>
      <c r="L57" s="20"/>
      <c r="M57" s="20"/>
      <c r="Q57" s="24"/>
      <c r="R57" s="24"/>
      <c r="S57" s="24"/>
      <c r="T57" s="24"/>
      <c r="U57" s="58"/>
      <c r="V57" s="24"/>
      <c r="W57" s="24"/>
      <c r="X57" s="24"/>
      <c r="Y57" s="24"/>
      <c r="Z57" s="24"/>
      <c r="AA57" s="24"/>
    </row>
    <row r="58" spans="1:27" ht="17.25" thickTop="1" thickBot="1" x14ac:dyDescent="0.3">
      <c r="A58" s="18" t="s">
        <v>14</v>
      </c>
      <c r="B58" s="19">
        <v>44</v>
      </c>
      <c r="C58" s="20">
        <f t="shared" si="7"/>
        <v>297.09821428571433</v>
      </c>
      <c r="D58" s="20">
        <f>G$52*E9</f>
        <v>151.25000000000003</v>
      </c>
      <c r="E58" s="23">
        <f t="shared" si="8"/>
        <v>6.2194580186583749E-3</v>
      </c>
      <c r="F58" s="20">
        <f t="shared" si="10"/>
        <v>0</v>
      </c>
      <c r="G58" s="20">
        <f t="shared" si="11"/>
        <v>0</v>
      </c>
      <c r="H58" s="23">
        <f t="shared" si="9"/>
        <v>0</v>
      </c>
      <c r="I58" s="20">
        <f t="shared" si="12"/>
        <v>-297.09821428571433</v>
      </c>
      <c r="J58" s="20">
        <f t="shared" si="13"/>
        <v>-151.25000000000003</v>
      </c>
      <c r="K58" s="20">
        <f>-D58</f>
        <v>-151.25000000000003</v>
      </c>
      <c r="L58" s="20"/>
      <c r="M58" s="20"/>
      <c r="Q58" s="24"/>
      <c r="R58" s="24"/>
      <c r="S58" s="24"/>
      <c r="T58" s="24"/>
      <c r="U58" s="58"/>
      <c r="V58" s="24"/>
      <c r="W58" s="24"/>
      <c r="X58" s="24"/>
      <c r="Y58" s="24"/>
      <c r="Z58" s="24"/>
      <c r="AA58" s="24"/>
    </row>
    <row r="59" spans="1:27" ht="17.25" thickTop="1" thickBot="1" x14ac:dyDescent="0.3">
      <c r="A59" s="18" t="s">
        <v>16</v>
      </c>
      <c r="B59" s="19">
        <v>58</v>
      </c>
      <c r="C59" s="20">
        <f t="shared" si="7"/>
        <v>469.95535714285722</v>
      </c>
      <c r="D59" s="20">
        <f>G$52*E10</f>
        <v>181.50000000000003</v>
      </c>
      <c r="E59" s="23">
        <f t="shared" si="8"/>
        <v>7.4633496223900503E-3</v>
      </c>
      <c r="F59" s="20">
        <f t="shared" si="10"/>
        <v>0</v>
      </c>
      <c r="G59" s="20">
        <f t="shared" si="11"/>
        <v>0</v>
      </c>
      <c r="H59" s="23">
        <f t="shared" si="9"/>
        <v>0</v>
      </c>
      <c r="I59" s="20">
        <f t="shared" si="12"/>
        <v>-469.95535714285722</v>
      </c>
      <c r="J59" s="20">
        <f t="shared" si="13"/>
        <v>-181.50000000000003</v>
      </c>
      <c r="K59" s="20">
        <f>-D59</f>
        <v>-181.50000000000003</v>
      </c>
      <c r="L59" s="20"/>
      <c r="M59" s="20"/>
      <c r="Q59" s="24"/>
      <c r="R59" s="24"/>
      <c r="S59" s="24"/>
      <c r="T59" s="24"/>
      <c r="U59" s="58"/>
      <c r="V59" s="24"/>
      <c r="W59" s="24"/>
      <c r="X59" s="24"/>
      <c r="Y59" s="24"/>
      <c r="Z59" s="24"/>
      <c r="AA59" s="24"/>
    </row>
    <row r="60" spans="1:27" ht="17.25" thickTop="1" thickBot="1" x14ac:dyDescent="0.3">
      <c r="A60" s="18" t="s">
        <v>18</v>
      </c>
      <c r="B60" s="19">
        <v>72</v>
      </c>
      <c r="C60" s="20">
        <f t="shared" si="7"/>
        <v>97.232142857142875</v>
      </c>
      <c r="D60" s="20">
        <f>G$52*E11</f>
        <v>30.250000000000004</v>
      </c>
      <c r="E60" s="23">
        <f t="shared" si="8"/>
        <v>1.2438916037316749E-3</v>
      </c>
      <c r="F60" s="20">
        <f t="shared" si="10"/>
        <v>0</v>
      </c>
      <c r="G60" s="20">
        <f t="shared" si="11"/>
        <v>0</v>
      </c>
      <c r="H60" s="23">
        <f t="shared" si="9"/>
        <v>0</v>
      </c>
      <c r="I60" s="20">
        <f t="shared" si="12"/>
        <v>-97.232142857142875</v>
      </c>
      <c r="J60" s="20">
        <f t="shared" si="13"/>
        <v>-30.250000000000004</v>
      </c>
      <c r="K60" s="20">
        <f>-D60</f>
        <v>-30.250000000000004</v>
      </c>
      <c r="L60" s="20"/>
      <c r="M60" s="20"/>
      <c r="Q60" s="24"/>
      <c r="R60" s="24"/>
      <c r="S60" s="24"/>
      <c r="T60" s="24"/>
      <c r="U60" s="58"/>
      <c r="V60" s="24"/>
      <c r="W60" s="24"/>
      <c r="X60" s="24"/>
      <c r="Y60" s="24"/>
      <c r="Z60" s="24"/>
      <c r="AA60" s="24"/>
    </row>
    <row r="61" spans="1:27" ht="17.25" thickTop="1" thickBot="1" x14ac:dyDescent="0.35">
      <c r="A61" s="19" t="s">
        <v>81</v>
      </c>
      <c r="B61" s="19">
        <v>16</v>
      </c>
      <c r="C61" s="20">
        <f t="shared" si="7"/>
        <v>0</v>
      </c>
      <c r="D61" s="20">
        <f>G23</f>
        <v>0</v>
      </c>
      <c r="E61" s="23">
        <f t="shared" si="8"/>
        <v>0</v>
      </c>
      <c r="F61" s="20">
        <f t="shared" si="10"/>
        <v>0</v>
      </c>
      <c r="G61" s="20">
        <f t="shared" si="11"/>
        <v>0</v>
      </c>
      <c r="H61" s="23">
        <f t="shared" si="9"/>
        <v>0</v>
      </c>
      <c r="I61" s="20">
        <f t="shared" si="12"/>
        <v>0</v>
      </c>
      <c r="J61" s="20">
        <f t="shared" si="13"/>
        <v>0</v>
      </c>
      <c r="K61" s="20"/>
      <c r="L61" s="20"/>
      <c r="M61" s="20"/>
      <c r="Q61" s="24"/>
      <c r="R61" s="58"/>
      <c r="S61" s="24"/>
      <c r="T61" s="24"/>
      <c r="U61" s="58"/>
      <c r="V61" s="24"/>
      <c r="W61" s="24"/>
      <c r="X61" s="24"/>
      <c r="Y61" s="24"/>
      <c r="Z61" s="24"/>
      <c r="AA61" s="24"/>
    </row>
    <row r="62" spans="1:27" ht="17.25" thickTop="1" thickBot="1" x14ac:dyDescent="0.35">
      <c r="A62" s="19" t="s">
        <v>41</v>
      </c>
      <c r="B62" s="19">
        <v>44</v>
      </c>
      <c r="C62" s="20">
        <f t="shared" si="7"/>
        <v>4217.4441964285716</v>
      </c>
      <c r="D62" s="20">
        <f>G24</f>
        <v>2147.0625</v>
      </c>
      <c r="E62" s="23">
        <f t="shared" si="8"/>
        <v>8.8288033601227736E-2</v>
      </c>
      <c r="F62" s="20">
        <f t="shared" si="10"/>
        <v>1339.6428571428562</v>
      </c>
      <c r="G62" s="20">
        <f t="shared" si="11"/>
        <v>681.99999999999955</v>
      </c>
      <c r="H62" s="23">
        <f t="shared" si="9"/>
        <v>1.9997235405243501E-2</v>
      </c>
      <c r="I62" s="20">
        <f t="shared" si="12"/>
        <v>-2877.8013392857156</v>
      </c>
      <c r="J62" s="20">
        <f t="shared" si="13"/>
        <v>-1465.0625000000005</v>
      </c>
      <c r="K62" s="20"/>
      <c r="L62" s="20">
        <f>L56</f>
        <v>-1465.0625000000005</v>
      </c>
      <c r="M62" s="20"/>
      <c r="Q62" s="24"/>
      <c r="R62" s="24"/>
      <c r="S62" s="24"/>
      <c r="T62" s="24"/>
      <c r="U62" s="58"/>
      <c r="V62" s="24"/>
      <c r="W62" s="24"/>
      <c r="X62" s="24"/>
      <c r="Y62" s="24"/>
      <c r="Z62" s="24"/>
      <c r="AA62" s="24"/>
    </row>
    <row r="63" spans="1:27" ht="17.25" thickTop="1" thickBot="1" x14ac:dyDescent="0.35">
      <c r="A63" s="19" t="s">
        <v>43</v>
      </c>
      <c r="B63" s="19">
        <v>18</v>
      </c>
      <c r="C63" s="20">
        <f t="shared" si="7"/>
        <v>2754.5424107142862</v>
      </c>
      <c r="D63" s="20">
        <f>G25</f>
        <v>3427.875</v>
      </c>
      <c r="E63" s="23">
        <f t="shared" si="8"/>
        <v>0.14095553491377569</v>
      </c>
      <c r="F63" s="20">
        <f t="shared" si="10"/>
        <v>0</v>
      </c>
      <c r="G63" s="20">
        <f t="shared" si="11"/>
        <v>0</v>
      </c>
      <c r="H63" s="23">
        <f t="shared" si="9"/>
        <v>0</v>
      </c>
      <c r="I63" s="20">
        <f t="shared" si="12"/>
        <v>-2754.5424107142862</v>
      </c>
      <c r="J63" s="20">
        <f t="shared" si="13"/>
        <v>-3427.875</v>
      </c>
      <c r="K63" s="20">
        <f>K60*5+K59*4+K58*3+K57*2+K56</f>
        <v>-3427.875</v>
      </c>
      <c r="L63" s="20"/>
      <c r="M63" s="20"/>
      <c r="Q63" s="24"/>
      <c r="R63" s="24"/>
      <c r="S63" s="24"/>
      <c r="T63" s="24"/>
      <c r="U63" s="58"/>
      <c r="V63" s="24"/>
      <c r="W63" s="24"/>
      <c r="X63" s="24"/>
      <c r="Y63" s="24"/>
      <c r="AA63" s="24"/>
    </row>
    <row r="64" spans="1:27" ht="16.5" thickTop="1" thickBot="1" x14ac:dyDescent="0.3">
      <c r="A64" s="19" t="s">
        <v>82</v>
      </c>
      <c r="B64" s="19">
        <v>28</v>
      </c>
      <c r="C64" s="20">
        <f t="shared" si="7"/>
        <v>0</v>
      </c>
      <c r="D64" s="20">
        <v>0</v>
      </c>
      <c r="E64" s="23">
        <f t="shared" si="8"/>
        <v>0</v>
      </c>
      <c r="F64" s="20">
        <f t="shared" si="10"/>
        <v>7947.5000000000018</v>
      </c>
      <c r="G64" s="20">
        <f t="shared" si="11"/>
        <v>6358.0000000000009</v>
      </c>
      <c r="H64" s="23">
        <f t="shared" si="9"/>
        <v>0.1864258397456573</v>
      </c>
      <c r="I64" s="20">
        <f t="shared" si="12"/>
        <v>7947.5000000000018</v>
      </c>
      <c r="J64" s="20">
        <f t="shared" si="13"/>
        <v>6358.0000000000009</v>
      </c>
      <c r="K64" s="20">
        <f>-K60*5-K59*4-K58*3-K57*2-K56</f>
        <v>3427.875</v>
      </c>
      <c r="L64" s="20">
        <f>-L56*2</f>
        <v>2930.1250000000009</v>
      </c>
      <c r="M64" s="20"/>
      <c r="Q64" s="24"/>
      <c r="R64" s="24"/>
      <c r="S64" s="24"/>
      <c r="T64" s="24"/>
      <c r="U64" s="58"/>
      <c r="V64" s="24"/>
      <c r="W64" s="24"/>
      <c r="X64" s="24"/>
      <c r="Y64" s="24"/>
      <c r="Z64" s="24"/>
      <c r="AA64" s="24"/>
    </row>
    <row r="65" spans="1:27" ht="17.25" thickTop="1" thickBot="1" x14ac:dyDescent="0.35">
      <c r="A65" s="19" t="s">
        <v>83</v>
      </c>
      <c r="B65" s="19">
        <v>2</v>
      </c>
      <c r="C65" s="20">
        <f t="shared" si="7"/>
        <v>0</v>
      </c>
      <c r="D65" s="20">
        <f>0</f>
        <v>0</v>
      </c>
      <c r="E65" s="23">
        <f t="shared" si="8"/>
        <v>0</v>
      </c>
      <c r="F65" s="20">
        <f t="shared" si="10"/>
        <v>1085.2678571428571</v>
      </c>
      <c r="G65" s="20">
        <f t="shared" si="11"/>
        <v>12155</v>
      </c>
      <c r="H65" s="23">
        <f t="shared" si="9"/>
        <v>0.35640234069022714</v>
      </c>
      <c r="I65" s="20">
        <f t="shared" si="12"/>
        <v>1085.2678571428571</v>
      </c>
      <c r="J65" s="20">
        <f t="shared" si="13"/>
        <v>12155</v>
      </c>
      <c r="K65" s="20">
        <f>-K60*11-K59*9-K58*7-K57*5-K56*3</f>
        <v>9224.875</v>
      </c>
      <c r="L65" s="20">
        <f>-L56*2</f>
        <v>2930.1250000000009</v>
      </c>
      <c r="M65" s="20"/>
      <c r="Q65" s="24"/>
      <c r="R65" s="24"/>
      <c r="S65" s="24"/>
      <c r="T65" s="24"/>
      <c r="U65" s="58"/>
      <c r="V65" s="24"/>
      <c r="W65" s="24"/>
      <c r="X65" s="24"/>
      <c r="Y65" s="24"/>
      <c r="Z65" s="24"/>
      <c r="AA65" s="24"/>
    </row>
    <row r="66" spans="1:27" ht="17.25" thickTop="1" thickBot="1" x14ac:dyDescent="0.35">
      <c r="A66" s="19" t="s">
        <v>45</v>
      </c>
      <c r="B66" s="19">
        <v>28</v>
      </c>
      <c r="C66" s="20">
        <f t="shared" si="7"/>
        <v>18637.142857142859</v>
      </c>
      <c r="D66" s="20">
        <f>G52*(1-E7-E8-E9-E10-E11)+D26</f>
        <v>14909.714285714286</v>
      </c>
      <c r="E66" s="23">
        <f t="shared" si="8"/>
        <v>0.61309317071200675</v>
      </c>
      <c r="F66" s="20">
        <f t="shared" si="10"/>
        <v>18637.142857142859</v>
      </c>
      <c r="G66" s="20">
        <f t="shared" si="11"/>
        <v>14909.714285714286</v>
      </c>
      <c r="H66" s="23">
        <f t="shared" si="9"/>
        <v>0.437174584158872</v>
      </c>
      <c r="I66" s="20">
        <f t="shared" si="12"/>
        <v>0</v>
      </c>
      <c r="J66" s="20">
        <f t="shared" si="13"/>
        <v>0</v>
      </c>
      <c r="K66" s="20"/>
      <c r="L66" s="20"/>
      <c r="M66" s="20"/>
      <c r="Q66" s="24"/>
      <c r="R66" s="24"/>
      <c r="S66" s="24"/>
      <c r="T66" s="24"/>
      <c r="U66" s="58"/>
      <c r="V66" s="24"/>
      <c r="W66" s="24"/>
      <c r="X66" s="24"/>
      <c r="Y66" s="24"/>
      <c r="Z66" s="24"/>
      <c r="AA66" s="24"/>
    </row>
    <row r="67" spans="1:27" ht="16.5" thickTop="1" thickBot="1" x14ac:dyDescent="0.3">
      <c r="A67" s="27" t="s">
        <v>46</v>
      </c>
      <c r="B67" s="19"/>
      <c r="C67" s="20">
        <f t="shared" ref="C67:J67" si="14">SUM(C56:C66)</f>
        <v>29009.553571428572</v>
      </c>
      <c r="D67" s="20">
        <f t="shared" si="14"/>
        <v>24318.839285714286</v>
      </c>
      <c r="E67" s="23">
        <f t="shared" si="14"/>
        <v>0.99999999999999989</v>
      </c>
      <c r="F67" s="20">
        <f t="shared" si="14"/>
        <v>29009.553571428572</v>
      </c>
      <c r="G67" s="20">
        <f t="shared" si="14"/>
        <v>34104.71428571429</v>
      </c>
      <c r="H67" s="23">
        <f t="shared" si="14"/>
        <v>0.99999999999999989</v>
      </c>
      <c r="I67" s="20">
        <f t="shared" si="14"/>
        <v>2.2737367544323206E-13</v>
      </c>
      <c r="J67" s="20">
        <f t="shared" si="14"/>
        <v>9785.875</v>
      </c>
      <c r="K67" s="20"/>
      <c r="L67" s="20"/>
      <c r="M67" s="20"/>
      <c r="Q67" s="26"/>
      <c r="R67" s="24"/>
      <c r="S67" s="24"/>
      <c r="T67" s="26"/>
      <c r="U67" s="58"/>
      <c r="V67" s="24"/>
      <c r="W67" s="24"/>
      <c r="X67" s="24"/>
      <c r="Y67" s="24"/>
      <c r="Z67" s="24"/>
      <c r="AA67" s="24"/>
    </row>
    <row r="68" spans="1:27" ht="16.5" thickTop="1" thickBot="1" x14ac:dyDescent="0.3">
      <c r="C68" s="24"/>
      <c r="D68" s="24"/>
    </row>
    <row r="69" spans="1:27" ht="19.5" thickTop="1" thickBot="1" x14ac:dyDescent="0.3">
      <c r="G69" s="59" t="s">
        <v>84</v>
      </c>
      <c r="H69" s="60"/>
      <c r="I69" s="61">
        <f>G65/G64</f>
        <v>1.9117647058823526</v>
      </c>
    </row>
    <row r="70" spans="1:27" ht="16.5" thickTop="1" thickBot="1" x14ac:dyDescent="0.3">
      <c r="B70" s="12" t="s">
        <v>85</v>
      </c>
      <c r="C70" s="62"/>
      <c r="D70" s="63">
        <v>5</v>
      </c>
      <c r="H70" s="55"/>
    </row>
    <row r="71" spans="1:27" ht="17.25" thickTop="1" thickBot="1" x14ac:dyDescent="0.3">
      <c r="A71" s="57" t="s">
        <v>75</v>
      </c>
      <c r="B71" s="12" t="s">
        <v>86</v>
      </c>
      <c r="C71" s="62"/>
      <c r="D71" s="63">
        <v>4</v>
      </c>
      <c r="K71" s="39"/>
    </row>
    <row r="72" spans="1:27" ht="17.25" thickTop="1" thickBot="1" x14ac:dyDescent="0.3">
      <c r="A72" s="57"/>
      <c r="B72" s="12" t="s">
        <v>87</v>
      </c>
      <c r="C72" s="62"/>
      <c r="D72" s="63">
        <v>3</v>
      </c>
      <c r="I72" s="39"/>
    </row>
    <row r="73" spans="1:27" ht="17.25" thickTop="1" thickBot="1" x14ac:dyDescent="0.3">
      <c r="A73" s="57"/>
      <c r="B73" s="12" t="s">
        <v>88</v>
      </c>
      <c r="C73" s="62"/>
      <c r="D73" s="63">
        <v>2</v>
      </c>
      <c r="S73" s="24"/>
    </row>
    <row r="74" spans="1:27" ht="17.25" thickTop="1" thickBot="1" x14ac:dyDescent="0.3">
      <c r="A74" s="57"/>
      <c r="B74" s="12" t="s">
        <v>89</v>
      </c>
      <c r="C74" s="62"/>
      <c r="D74" s="63">
        <v>1</v>
      </c>
    </row>
    <row r="75" spans="1:27" ht="17.25" thickTop="1" thickBot="1" x14ac:dyDescent="0.3">
      <c r="A75" s="57"/>
      <c r="B75" s="12"/>
      <c r="C75" s="62"/>
      <c r="D75" s="63"/>
      <c r="K75" s="39"/>
    </row>
    <row r="76" spans="1:27" ht="17.25" thickTop="1" thickBot="1" x14ac:dyDescent="0.3">
      <c r="A76" s="57"/>
      <c r="B76" s="12" t="s">
        <v>90</v>
      </c>
      <c r="C76" s="12"/>
      <c r="D76" s="63">
        <v>6</v>
      </c>
      <c r="H76" s="24"/>
    </row>
    <row r="77" spans="1:27" ht="17.25" thickTop="1" thickBot="1" x14ac:dyDescent="0.3">
      <c r="A77" s="57" t="s">
        <v>76</v>
      </c>
      <c r="B77" s="64" t="s">
        <v>91</v>
      </c>
      <c r="C77" s="12"/>
      <c r="D77" s="65"/>
      <c r="K77" s="24"/>
      <c r="M77" s="24"/>
    </row>
    <row r="78" spans="1:27" ht="17.25" thickTop="1" thickBot="1" x14ac:dyDescent="0.3">
      <c r="A78" s="57"/>
      <c r="B78" s="64" t="s">
        <v>92</v>
      </c>
      <c r="C78" s="12"/>
      <c r="D78" s="65"/>
      <c r="L78" s="24"/>
      <c r="M78" s="24"/>
    </row>
    <row r="79" spans="1:27" ht="17.25" thickTop="1" thickBot="1" x14ac:dyDescent="0.3">
      <c r="A79" s="57"/>
      <c r="B79" s="64" t="s">
        <v>93</v>
      </c>
      <c r="C79" s="12"/>
      <c r="D79" s="65"/>
    </row>
    <row r="80" spans="1:27" ht="17.25" thickTop="1" thickBot="1" x14ac:dyDescent="0.3">
      <c r="A80" s="57"/>
      <c r="B80" s="64" t="s">
        <v>94</v>
      </c>
      <c r="C80" s="12"/>
      <c r="D80" s="66"/>
      <c r="K80" s="24"/>
      <c r="M80" s="24"/>
    </row>
    <row r="81" spans="1:24" ht="17.25" thickTop="1" thickBot="1" x14ac:dyDescent="0.3">
      <c r="A81" s="57"/>
      <c r="B81" s="64"/>
      <c r="C81" s="12"/>
      <c r="D81" s="67"/>
    </row>
    <row r="82" spans="1:24" ht="17.25" thickTop="1" thickBot="1" x14ac:dyDescent="0.3">
      <c r="A82" s="57"/>
      <c r="B82" s="64" t="s">
        <v>95</v>
      </c>
      <c r="C82" s="12"/>
      <c r="D82" s="67"/>
    </row>
    <row r="83" spans="1:24" ht="17.25" thickTop="1" thickBot="1" x14ac:dyDescent="0.3">
      <c r="A83" s="57" t="s">
        <v>77</v>
      </c>
      <c r="B83" s="64" t="s">
        <v>96</v>
      </c>
      <c r="C83" s="12"/>
      <c r="D83" s="67"/>
    </row>
    <row r="84" spans="1:24" ht="17.25" thickTop="1" thickBot="1" x14ac:dyDescent="0.3">
      <c r="A84" s="57"/>
      <c r="B84" s="64" t="s">
        <v>97</v>
      </c>
      <c r="C84" s="12"/>
      <c r="D84" s="6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6.5" thickTop="1" thickBot="1" x14ac:dyDescent="0.3">
      <c r="B85" s="64" t="s">
        <v>98</v>
      </c>
      <c r="C85" s="12"/>
      <c r="D85" s="6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6.5" thickTop="1" thickBot="1" x14ac:dyDescent="0.3">
      <c r="B86" s="64" t="s">
        <v>99</v>
      </c>
      <c r="C86" s="62"/>
      <c r="D86" s="6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thickTop="1" x14ac:dyDescent="0.25"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B88" s="69"/>
      <c r="C88" s="70"/>
      <c r="D88" s="70"/>
      <c r="F88" s="107" t="s">
        <v>100</v>
      </c>
      <c r="G88" s="107"/>
      <c r="H88" s="107"/>
      <c r="I88" s="107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thickBot="1" x14ac:dyDescent="0.3">
      <c r="B89" s="37" t="s">
        <v>101</v>
      </c>
      <c r="C89" s="38" t="s">
        <v>49</v>
      </c>
      <c r="D89" s="70"/>
      <c r="F89" s="71"/>
      <c r="I89" s="72"/>
      <c r="J89" s="72"/>
      <c r="K89" s="72"/>
      <c r="L89" s="72"/>
      <c r="M89" s="72"/>
      <c r="N89" s="69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0.25" thickTop="1" thickBot="1" x14ac:dyDescent="0.4">
      <c r="A90" s="73" t="s">
        <v>28</v>
      </c>
      <c r="B90" s="73" t="s">
        <v>50</v>
      </c>
      <c r="C90" s="73" t="s">
        <v>51</v>
      </c>
      <c r="D90">
        <v>11</v>
      </c>
      <c r="E90" s="74" t="s">
        <v>85</v>
      </c>
      <c r="F90" s="75"/>
      <c r="H90" s="76" t="s">
        <v>102</v>
      </c>
      <c r="I90" s="76" t="s">
        <v>103</v>
      </c>
      <c r="J90" s="76" t="s">
        <v>104</v>
      </c>
      <c r="K90" s="76" t="s">
        <v>105</v>
      </c>
      <c r="L90" s="76" t="s">
        <v>106</v>
      </c>
      <c r="M90" s="76" t="s">
        <v>107</v>
      </c>
    </row>
    <row r="91" spans="1:24" ht="17.25" thickTop="1" thickBot="1" x14ac:dyDescent="0.3">
      <c r="A91" s="18" t="s">
        <v>8</v>
      </c>
      <c r="B91" s="23">
        <v>35.700000000000003</v>
      </c>
      <c r="C91" s="23">
        <v>-74.599999999999994</v>
      </c>
      <c r="D91">
        <v>12</v>
      </c>
      <c r="E91" s="77" t="s">
        <v>86</v>
      </c>
      <c r="F91" s="78"/>
      <c r="H91" s="20">
        <f>H36</f>
        <v>22202952.532087054</v>
      </c>
      <c r="I91" s="20">
        <f>E6*(1-I6)/D13*N50*20*1000/3600</f>
        <v>31697.153397817463</v>
      </c>
      <c r="J91" s="20">
        <f>(K60/D13*C108+K59/D13*C107+K58/D13*C106+K57/D13*C105+K56/D13*C104)*1000/3600*1000</f>
        <v>-7980554.5634920634</v>
      </c>
      <c r="K91" s="20">
        <f>L56/D13*C109*1000/3600*1000</f>
        <v>-4488389.0206473228</v>
      </c>
      <c r="L91" s="20">
        <f>0</f>
        <v>0</v>
      </c>
      <c r="M91" s="20">
        <f>H91+I91+J91+K91+L91</f>
        <v>9765706.1013454851</v>
      </c>
      <c r="N91" s="79"/>
    </row>
    <row r="92" spans="1:24" ht="17.25" thickTop="1" thickBot="1" x14ac:dyDescent="0.3">
      <c r="A92" s="18" t="s">
        <v>12</v>
      </c>
      <c r="B92" s="23">
        <v>52.49</v>
      </c>
      <c r="C92" s="23">
        <v>-84</v>
      </c>
      <c r="D92">
        <v>13</v>
      </c>
      <c r="E92" s="77" t="s">
        <v>87</v>
      </c>
      <c r="F92" s="78"/>
    </row>
    <row r="93" spans="1:24" ht="17.25" thickTop="1" thickBot="1" x14ac:dyDescent="0.3">
      <c r="A93" s="18" t="s">
        <v>14</v>
      </c>
      <c r="B93" s="23">
        <v>73.599999999999994</v>
      </c>
      <c r="C93" s="23">
        <v>-103.85</v>
      </c>
      <c r="D93">
        <v>14</v>
      </c>
      <c r="E93" s="77" t="s">
        <v>88</v>
      </c>
      <c r="F93" s="78"/>
    </row>
    <row r="94" spans="1:24" ht="19.5" thickTop="1" thickBot="1" x14ac:dyDescent="0.3">
      <c r="A94" s="18" t="s">
        <v>16</v>
      </c>
      <c r="B94" s="23">
        <v>98.49</v>
      </c>
      <c r="C94" s="23">
        <v>-125.77</v>
      </c>
      <c r="D94">
        <v>15</v>
      </c>
      <c r="E94" s="77" t="s">
        <v>89</v>
      </c>
      <c r="F94" s="78"/>
      <c r="H94" s="80" t="s">
        <v>108</v>
      </c>
      <c r="I94" s="81">
        <f>M91/(G67/D13*1000/3600*B103)</f>
        <v>791.20726959873923</v>
      </c>
      <c r="J94" s="82" t="s">
        <v>109</v>
      </c>
    </row>
    <row r="95" spans="1:24" ht="17.25" thickTop="1" thickBot="1" x14ac:dyDescent="0.3">
      <c r="A95" s="18" t="s">
        <v>18</v>
      </c>
      <c r="B95" s="23">
        <v>120.04</v>
      </c>
      <c r="C95" s="23">
        <v>-146.36000000000001</v>
      </c>
      <c r="E95" s="77"/>
      <c r="F95" s="78"/>
    </row>
    <row r="96" spans="1:24" ht="17.25" thickTop="1" thickBot="1" x14ac:dyDescent="0.35">
      <c r="A96" s="19" t="s">
        <v>81</v>
      </c>
      <c r="B96" s="23">
        <v>29.38</v>
      </c>
      <c r="C96" s="23">
        <v>0</v>
      </c>
      <c r="D96">
        <v>21</v>
      </c>
      <c r="E96" s="77" t="s">
        <v>90</v>
      </c>
      <c r="F96" s="78"/>
    </row>
    <row r="97" spans="1:8" ht="17.25" thickTop="1" thickBot="1" x14ac:dyDescent="0.35">
      <c r="A97" s="19" t="s">
        <v>41</v>
      </c>
      <c r="B97" s="23">
        <v>37.14</v>
      </c>
      <c r="C97" s="23">
        <v>-393.51</v>
      </c>
      <c r="D97">
        <v>22</v>
      </c>
      <c r="E97" s="83" t="s">
        <v>91</v>
      </c>
      <c r="F97" s="84"/>
    </row>
    <row r="98" spans="1:8" ht="17.25" thickTop="1" thickBot="1" x14ac:dyDescent="0.35">
      <c r="A98" s="19" t="s">
        <v>43</v>
      </c>
      <c r="B98" s="23">
        <v>33.6</v>
      </c>
      <c r="C98" s="23">
        <v>-241.83</v>
      </c>
      <c r="D98">
        <v>23</v>
      </c>
      <c r="E98" s="83" t="s">
        <v>92</v>
      </c>
      <c r="F98" s="84"/>
    </row>
    <row r="99" spans="1:8" ht="16.5" thickTop="1" thickBot="1" x14ac:dyDescent="0.3">
      <c r="A99" s="19" t="s">
        <v>82</v>
      </c>
      <c r="B99" s="23">
        <v>29.14</v>
      </c>
      <c r="C99" s="23">
        <v>-110.53</v>
      </c>
      <c r="D99">
        <v>24</v>
      </c>
      <c r="E99" s="83" t="s">
        <v>93</v>
      </c>
      <c r="F99" s="84"/>
      <c r="H99" s="85"/>
    </row>
    <row r="100" spans="1:8" ht="17.25" thickTop="1" thickBot="1" x14ac:dyDescent="0.35">
      <c r="A100" s="19" t="s">
        <v>83</v>
      </c>
      <c r="B100" s="23">
        <v>28.84</v>
      </c>
      <c r="C100" s="23">
        <v>0</v>
      </c>
      <c r="D100">
        <v>25</v>
      </c>
      <c r="E100" s="83" t="s">
        <v>94</v>
      </c>
      <c r="F100" s="84"/>
      <c r="H100" s="85"/>
    </row>
    <row r="101" spans="1:8" ht="17.25" thickTop="1" thickBot="1" x14ac:dyDescent="0.35">
      <c r="A101" s="86" t="s">
        <v>45</v>
      </c>
      <c r="B101" s="87">
        <v>29.12</v>
      </c>
      <c r="C101" s="23"/>
      <c r="E101" s="83"/>
      <c r="F101" s="84"/>
      <c r="H101" s="85"/>
    </row>
    <row r="102" spans="1:8" ht="20.25" thickTop="1" thickBot="1" x14ac:dyDescent="0.3">
      <c r="A102" s="88" t="s">
        <v>110</v>
      </c>
      <c r="B102" s="89">
        <f>B91*E56+B92*E57+B93*E58+B94*E59+B95*E60+B96*E61+B97*E62+B98*E63+B99*E64+B100*E65+B101*E66</f>
        <v>32.368880901417555</v>
      </c>
      <c r="C102" s="90"/>
      <c r="D102">
        <v>31</v>
      </c>
      <c r="E102" s="83" t="s">
        <v>95</v>
      </c>
      <c r="F102" s="84"/>
      <c r="H102" s="85"/>
    </row>
    <row r="103" spans="1:8" ht="20.25" thickTop="1" thickBot="1" x14ac:dyDescent="0.3">
      <c r="A103" s="88" t="s">
        <v>111</v>
      </c>
      <c r="B103" s="91">
        <f>B91*H56+B92*H57+B93*H58+B94*H59+B95*H60+B96*H61+B97*H62+B98*H63+B99*H64+B100*H65+B101*H66</f>
        <v>29.184313689351704</v>
      </c>
      <c r="C103" s="92"/>
      <c r="D103">
        <v>32</v>
      </c>
      <c r="E103" s="83" t="s">
        <v>96</v>
      </c>
      <c r="F103" s="84"/>
      <c r="H103" s="85"/>
    </row>
    <row r="104" spans="1:8" ht="17.25" thickTop="1" thickBot="1" x14ac:dyDescent="0.3">
      <c r="B104" s="93" t="s">
        <v>112</v>
      </c>
      <c r="C104" s="94">
        <f>C99-C91-C98</f>
        <v>205.9</v>
      </c>
      <c r="D104">
        <v>33</v>
      </c>
      <c r="E104" s="83" t="s">
        <v>97</v>
      </c>
      <c r="F104" s="84"/>
      <c r="H104" s="85"/>
    </row>
    <row r="105" spans="1:8" ht="17.25" thickTop="1" thickBot="1" x14ac:dyDescent="0.3">
      <c r="B105" s="95" t="s">
        <v>113</v>
      </c>
      <c r="C105" s="96">
        <f>2*C99-C92-2*C98</f>
        <v>346.6</v>
      </c>
      <c r="D105">
        <v>34</v>
      </c>
      <c r="E105" s="83" t="s">
        <v>98</v>
      </c>
      <c r="F105" s="84"/>
    </row>
    <row r="106" spans="1:8" ht="17.25" thickTop="1" thickBot="1" x14ac:dyDescent="0.3">
      <c r="B106" s="97" t="s">
        <v>114</v>
      </c>
      <c r="C106" s="47">
        <f>C99*3-C93-3*C98</f>
        <v>497.75</v>
      </c>
      <c r="D106">
        <v>35</v>
      </c>
      <c r="E106" s="98" t="s">
        <v>99</v>
      </c>
      <c r="F106" s="99"/>
    </row>
    <row r="107" spans="1:8" ht="17.25" thickTop="1" thickBot="1" x14ac:dyDescent="0.3">
      <c r="B107" s="97" t="s">
        <v>115</v>
      </c>
      <c r="C107" s="47">
        <f>C99*4-C94-C98*4</f>
        <v>650.97</v>
      </c>
    </row>
    <row r="108" spans="1:8" ht="17.25" thickTop="1" thickBot="1" x14ac:dyDescent="0.3">
      <c r="B108" s="97" t="s">
        <v>116</v>
      </c>
      <c r="C108" s="47">
        <f>C99*5-C95-C98*5</f>
        <v>802.86000000000013</v>
      </c>
    </row>
    <row r="109" spans="1:8" ht="17.25" thickTop="1" thickBot="1" x14ac:dyDescent="0.3">
      <c r="B109" s="97" t="s">
        <v>117</v>
      </c>
      <c r="C109" s="47">
        <f>2*C99-C91-C97</f>
        <v>247.04999999999998</v>
      </c>
      <c r="D109" t="s">
        <v>60</v>
      </c>
    </row>
    <row r="110" spans="1:8" ht="17.25" thickTop="1" thickBot="1" x14ac:dyDescent="0.3">
      <c r="B110" s="97" t="s">
        <v>118</v>
      </c>
      <c r="C110" s="47"/>
    </row>
    <row r="111" spans="1:8" ht="17.25" thickTop="1" thickBot="1" x14ac:dyDescent="0.3">
      <c r="B111" s="97" t="s">
        <v>119</v>
      </c>
      <c r="C111" s="47"/>
    </row>
    <row r="112" spans="1:8" ht="17.25" thickTop="1" thickBot="1" x14ac:dyDescent="0.3">
      <c r="B112" s="97" t="s">
        <v>120</v>
      </c>
      <c r="C112" s="47"/>
    </row>
    <row r="113" spans="2:3" ht="17.25" thickTop="1" thickBot="1" x14ac:dyDescent="0.3">
      <c r="B113" s="97" t="s">
        <v>121</v>
      </c>
      <c r="C113" s="47"/>
    </row>
    <row r="114" spans="2:3" ht="17.25" thickTop="1" thickBot="1" x14ac:dyDescent="0.3">
      <c r="B114" s="97" t="s">
        <v>122</v>
      </c>
      <c r="C114" s="47"/>
    </row>
    <row r="115" spans="2:3" ht="17.25" thickTop="1" thickBot="1" x14ac:dyDescent="0.3">
      <c r="B115" s="97" t="s">
        <v>123</v>
      </c>
      <c r="C115" s="47"/>
    </row>
    <row r="116" spans="2:3" ht="17.25" thickTop="1" thickBot="1" x14ac:dyDescent="0.3">
      <c r="B116" s="97" t="s">
        <v>124</v>
      </c>
      <c r="C116" s="47"/>
    </row>
    <row r="117" spans="2:3" ht="17.25" thickTop="1" thickBot="1" x14ac:dyDescent="0.3">
      <c r="B117" s="97" t="s">
        <v>125</v>
      </c>
      <c r="C117" s="47"/>
    </row>
    <row r="118" spans="2:3" ht="17.25" thickTop="1" thickBot="1" x14ac:dyDescent="0.3">
      <c r="B118" s="97" t="s">
        <v>126</v>
      </c>
      <c r="C118" s="47"/>
    </row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DC46-277E-41A7-BA18-DE3F83777BA3}">
  <dimension ref="A2:AA118"/>
  <sheetViews>
    <sheetView topLeftCell="A56" workbookViewId="0">
      <selection activeCell="H94" sqref="H94"/>
    </sheetView>
  </sheetViews>
  <sheetFormatPr defaultColWidth="11.5703125" defaultRowHeight="15" x14ac:dyDescent="0.25"/>
  <cols>
    <col min="1" max="1" width="13.140625" customWidth="1"/>
    <col min="4" max="4" width="15" customWidth="1"/>
    <col min="6" max="6" width="18.140625" customWidth="1"/>
    <col min="7" max="7" width="15.5703125" customWidth="1"/>
    <col min="8" max="8" width="18.5703125" customWidth="1"/>
    <col min="9" max="9" width="13.28515625" customWidth="1"/>
    <col min="13" max="13" width="16.42578125" customWidth="1"/>
    <col min="257" max="257" width="13.140625" customWidth="1"/>
    <col min="260" max="260" width="15" customWidth="1"/>
    <col min="262" max="262" width="18.140625" customWidth="1"/>
    <col min="263" max="263" width="15.5703125" customWidth="1"/>
    <col min="264" max="264" width="18.5703125" customWidth="1"/>
    <col min="265" max="265" width="13.28515625" customWidth="1"/>
    <col min="269" max="269" width="16.42578125" customWidth="1"/>
    <col min="513" max="513" width="13.140625" customWidth="1"/>
    <col min="516" max="516" width="15" customWidth="1"/>
    <col min="518" max="518" width="18.140625" customWidth="1"/>
    <col min="519" max="519" width="15.5703125" customWidth="1"/>
    <col min="520" max="520" width="18.5703125" customWidth="1"/>
    <col min="521" max="521" width="13.28515625" customWidth="1"/>
    <col min="525" max="525" width="16.42578125" customWidth="1"/>
    <col min="769" max="769" width="13.140625" customWidth="1"/>
    <col min="772" max="772" width="15" customWidth="1"/>
    <col min="774" max="774" width="18.140625" customWidth="1"/>
    <col min="775" max="775" width="15.5703125" customWidth="1"/>
    <col min="776" max="776" width="18.5703125" customWidth="1"/>
    <col min="777" max="777" width="13.28515625" customWidth="1"/>
    <col min="781" max="781" width="16.42578125" customWidth="1"/>
    <col min="1025" max="1025" width="13.140625" customWidth="1"/>
    <col min="1028" max="1028" width="15" customWidth="1"/>
    <col min="1030" max="1030" width="18.140625" customWidth="1"/>
    <col min="1031" max="1031" width="15.5703125" customWidth="1"/>
    <col min="1032" max="1032" width="18.5703125" customWidth="1"/>
    <col min="1033" max="1033" width="13.28515625" customWidth="1"/>
    <col min="1037" max="1037" width="16.42578125" customWidth="1"/>
    <col min="1281" max="1281" width="13.140625" customWidth="1"/>
    <col min="1284" max="1284" width="15" customWidth="1"/>
    <col min="1286" max="1286" width="18.140625" customWidth="1"/>
    <col min="1287" max="1287" width="15.5703125" customWidth="1"/>
    <col min="1288" max="1288" width="18.5703125" customWidth="1"/>
    <col min="1289" max="1289" width="13.28515625" customWidth="1"/>
    <col min="1293" max="1293" width="16.42578125" customWidth="1"/>
    <col min="1537" max="1537" width="13.140625" customWidth="1"/>
    <col min="1540" max="1540" width="15" customWidth="1"/>
    <col min="1542" max="1542" width="18.140625" customWidth="1"/>
    <col min="1543" max="1543" width="15.5703125" customWidth="1"/>
    <col min="1544" max="1544" width="18.5703125" customWidth="1"/>
    <col min="1545" max="1545" width="13.28515625" customWidth="1"/>
    <col min="1549" max="1549" width="16.42578125" customWidth="1"/>
    <col min="1793" max="1793" width="13.140625" customWidth="1"/>
    <col min="1796" max="1796" width="15" customWidth="1"/>
    <col min="1798" max="1798" width="18.140625" customWidth="1"/>
    <col min="1799" max="1799" width="15.5703125" customWidth="1"/>
    <col min="1800" max="1800" width="18.5703125" customWidth="1"/>
    <col min="1801" max="1801" width="13.28515625" customWidth="1"/>
    <col min="1805" max="1805" width="16.42578125" customWidth="1"/>
    <col min="2049" max="2049" width="13.140625" customWidth="1"/>
    <col min="2052" max="2052" width="15" customWidth="1"/>
    <col min="2054" max="2054" width="18.140625" customWidth="1"/>
    <col min="2055" max="2055" width="15.5703125" customWidth="1"/>
    <col min="2056" max="2056" width="18.5703125" customWidth="1"/>
    <col min="2057" max="2057" width="13.28515625" customWidth="1"/>
    <col min="2061" max="2061" width="16.42578125" customWidth="1"/>
    <col min="2305" max="2305" width="13.140625" customWidth="1"/>
    <col min="2308" max="2308" width="15" customWidth="1"/>
    <col min="2310" max="2310" width="18.140625" customWidth="1"/>
    <col min="2311" max="2311" width="15.5703125" customWidth="1"/>
    <col min="2312" max="2312" width="18.5703125" customWidth="1"/>
    <col min="2313" max="2313" width="13.28515625" customWidth="1"/>
    <col min="2317" max="2317" width="16.42578125" customWidth="1"/>
    <col min="2561" max="2561" width="13.140625" customWidth="1"/>
    <col min="2564" max="2564" width="15" customWidth="1"/>
    <col min="2566" max="2566" width="18.140625" customWidth="1"/>
    <col min="2567" max="2567" width="15.5703125" customWidth="1"/>
    <col min="2568" max="2568" width="18.5703125" customWidth="1"/>
    <col min="2569" max="2569" width="13.28515625" customWidth="1"/>
    <col min="2573" max="2573" width="16.42578125" customWidth="1"/>
    <col min="2817" max="2817" width="13.140625" customWidth="1"/>
    <col min="2820" max="2820" width="15" customWidth="1"/>
    <col min="2822" max="2822" width="18.140625" customWidth="1"/>
    <col min="2823" max="2823" width="15.5703125" customWidth="1"/>
    <col min="2824" max="2824" width="18.5703125" customWidth="1"/>
    <col min="2825" max="2825" width="13.28515625" customWidth="1"/>
    <col min="2829" max="2829" width="16.42578125" customWidth="1"/>
    <col min="3073" max="3073" width="13.140625" customWidth="1"/>
    <col min="3076" max="3076" width="15" customWidth="1"/>
    <col min="3078" max="3078" width="18.140625" customWidth="1"/>
    <col min="3079" max="3079" width="15.5703125" customWidth="1"/>
    <col min="3080" max="3080" width="18.5703125" customWidth="1"/>
    <col min="3081" max="3081" width="13.28515625" customWidth="1"/>
    <col min="3085" max="3085" width="16.42578125" customWidth="1"/>
    <col min="3329" max="3329" width="13.140625" customWidth="1"/>
    <col min="3332" max="3332" width="15" customWidth="1"/>
    <col min="3334" max="3334" width="18.140625" customWidth="1"/>
    <col min="3335" max="3335" width="15.5703125" customWidth="1"/>
    <col min="3336" max="3336" width="18.5703125" customWidth="1"/>
    <col min="3337" max="3337" width="13.28515625" customWidth="1"/>
    <col min="3341" max="3341" width="16.42578125" customWidth="1"/>
    <col min="3585" max="3585" width="13.140625" customWidth="1"/>
    <col min="3588" max="3588" width="15" customWidth="1"/>
    <col min="3590" max="3590" width="18.140625" customWidth="1"/>
    <col min="3591" max="3591" width="15.5703125" customWidth="1"/>
    <col min="3592" max="3592" width="18.5703125" customWidth="1"/>
    <col min="3593" max="3593" width="13.28515625" customWidth="1"/>
    <col min="3597" max="3597" width="16.42578125" customWidth="1"/>
    <col min="3841" max="3841" width="13.140625" customWidth="1"/>
    <col min="3844" max="3844" width="15" customWidth="1"/>
    <col min="3846" max="3846" width="18.140625" customWidth="1"/>
    <col min="3847" max="3847" width="15.5703125" customWidth="1"/>
    <col min="3848" max="3848" width="18.5703125" customWidth="1"/>
    <col min="3849" max="3849" width="13.28515625" customWidth="1"/>
    <col min="3853" max="3853" width="16.42578125" customWidth="1"/>
    <col min="4097" max="4097" width="13.140625" customWidth="1"/>
    <col min="4100" max="4100" width="15" customWidth="1"/>
    <col min="4102" max="4102" width="18.140625" customWidth="1"/>
    <col min="4103" max="4103" width="15.5703125" customWidth="1"/>
    <col min="4104" max="4104" width="18.5703125" customWidth="1"/>
    <col min="4105" max="4105" width="13.28515625" customWidth="1"/>
    <col min="4109" max="4109" width="16.42578125" customWidth="1"/>
    <col min="4353" max="4353" width="13.140625" customWidth="1"/>
    <col min="4356" max="4356" width="15" customWidth="1"/>
    <col min="4358" max="4358" width="18.140625" customWidth="1"/>
    <col min="4359" max="4359" width="15.5703125" customWidth="1"/>
    <col min="4360" max="4360" width="18.5703125" customWidth="1"/>
    <col min="4361" max="4361" width="13.28515625" customWidth="1"/>
    <col min="4365" max="4365" width="16.42578125" customWidth="1"/>
    <col min="4609" max="4609" width="13.140625" customWidth="1"/>
    <col min="4612" max="4612" width="15" customWidth="1"/>
    <col min="4614" max="4614" width="18.140625" customWidth="1"/>
    <col min="4615" max="4615" width="15.5703125" customWidth="1"/>
    <col min="4616" max="4616" width="18.5703125" customWidth="1"/>
    <col min="4617" max="4617" width="13.28515625" customWidth="1"/>
    <col min="4621" max="4621" width="16.42578125" customWidth="1"/>
    <col min="4865" max="4865" width="13.140625" customWidth="1"/>
    <col min="4868" max="4868" width="15" customWidth="1"/>
    <col min="4870" max="4870" width="18.140625" customWidth="1"/>
    <col min="4871" max="4871" width="15.5703125" customWidth="1"/>
    <col min="4872" max="4872" width="18.5703125" customWidth="1"/>
    <col min="4873" max="4873" width="13.28515625" customWidth="1"/>
    <col min="4877" max="4877" width="16.42578125" customWidth="1"/>
    <col min="5121" max="5121" width="13.140625" customWidth="1"/>
    <col min="5124" max="5124" width="15" customWidth="1"/>
    <col min="5126" max="5126" width="18.140625" customWidth="1"/>
    <col min="5127" max="5127" width="15.5703125" customWidth="1"/>
    <col min="5128" max="5128" width="18.5703125" customWidth="1"/>
    <col min="5129" max="5129" width="13.28515625" customWidth="1"/>
    <col min="5133" max="5133" width="16.42578125" customWidth="1"/>
    <col min="5377" max="5377" width="13.140625" customWidth="1"/>
    <col min="5380" max="5380" width="15" customWidth="1"/>
    <col min="5382" max="5382" width="18.140625" customWidth="1"/>
    <col min="5383" max="5383" width="15.5703125" customWidth="1"/>
    <col min="5384" max="5384" width="18.5703125" customWidth="1"/>
    <col min="5385" max="5385" width="13.28515625" customWidth="1"/>
    <col min="5389" max="5389" width="16.42578125" customWidth="1"/>
    <col min="5633" max="5633" width="13.140625" customWidth="1"/>
    <col min="5636" max="5636" width="15" customWidth="1"/>
    <col min="5638" max="5638" width="18.140625" customWidth="1"/>
    <col min="5639" max="5639" width="15.5703125" customWidth="1"/>
    <col min="5640" max="5640" width="18.5703125" customWidth="1"/>
    <col min="5641" max="5641" width="13.28515625" customWidth="1"/>
    <col min="5645" max="5645" width="16.42578125" customWidth="1"/>
    <col min="5889" max="5889" width="13.140625" customWidth="1"/>
    <col min="5892" max="5892" width="15" customWidth="1"/>
    <col min="5894" max="5894" width="18.140625" customWidth="1"/>
    <col min="5895" max="5895" width="15.5703125" customWidth="1"/>
    <col min="5896" max="5896" width="18.5703125" customWidth="1"/>
    <col min="5897" max="5897" width="13.28515625" customWidth="1"/>
    <col min="5901" max="5901" width="16.42578125" customWidth="1"/>
    <col min="6145" max="6145" width="13.140625" customWidth="1"/>
    <col min="6148" max="6148" width="15" customWidth="1"/>
    <col min="6150" max="6150" width="18.140625" customWidth="1"/>
    <col min="6151" max="6151" width="15.5703125" customWidth="1"/>
    <col min="6152" max="6152" width="18.5703125" customWidth="1"/>
    <col min="6153" max="6153" width="13.28515625" customWidth="1"/>
    <col min="6157" max="6157" width="16.42578125" customWidth="1"/>
    <col min="6401" max="6401" width="13.140625" customWidth="1"/>
    <col min="6404" max="6404" width="15" customWidth="1"/>
    <col min="6406" max="6406" width="18.140625" customWidth="1"/>
    <col min="6407" max="6407" width="15.5703125" customWidth="1"/>
    <col min="6408" max="6408" width="18.5703125" customWidth="1"/>
    <col min="6409" max="6409" width="13.28515625" customWidth="1"/>
    <col min="6413" max="6413" width="16.42578125" customWidth="1"/>
    <col min="6657" max="6657" width="13.140625" customWidth="1"/>
    <col min="6660" max="6660" width="15" customWidth="1"/>
    <col min="6662" max="6662" width="18.140625" customWidth="1"/>
    <col min="6663" max="6663" width="15.5703125" customWidth="1"/>
    <col min="6664" max="6664" width="18.5703125" customWidth="1"/>
    <col min="6665" max="6665" width="13.28515625" customWidth="1"/>
    <col min="6669" max="6669" width="16.42578125" customWidth="1"/>
    <col min="6913" max="6913" width="13.140625" customWidth="1"/>
    <col min="6916" max="6916" width="15" customWidth="1"/>
    <col min="6918" max="6918" width="18.140625" customWidth="1"/>
    <col min="6919" max="6919" width="15.5703125" customWidth="1"/>
    <col min="6920" max="6920" width="18.5703125" customWidth="1"/>
    <col min="6921" max="6921" width="13.28515625" customWidth="1"/>
    <col min="6925" max="6925" width="16.42578125" customWidth="1"/>
    <col min="7169" max="7169" width="13.140625" customWidth="1"/>
    <col min="7172" max="7172" width="15" customWidth="1"/>
    <col min="7174" max="7174" width="18.140625" customWidth="1"/>
    <col min="7175" max="7175" width="15.5703125" customWidth="1"/>
    <col min="7176" max="7176" width="18.5703125" customWidth="1"/>
    <col min="7177" max="7177" width="13.28515625" customWidth="1"/>
    <col min="7181" max="7181" width="16.42578125" customWidth="1"/>
    <col min="7425" max="7425" width="13.140625" customWidth="1"/>
    <col min="7428" max="7428" width="15" customWidth="1"/>
    <col min="7430" max="7430" width="18.140625" customWidth="1"/>
    <col min="7431" max="7431" width="15.5703125" customWidth="1"/>
    <col min="7432" max="7432" width="18.5703125" customWidth="1"/>
    <col min="7433" max="7433" width="13.28515625" customWidth="1"/>
    <col min="7437" max="7437" width="16.42578125" customWidth="1"/>
    <col min="7681" max="7681" width="13.140625" customWidth="1"/>
    <col min="7684" max="7684" width="15" customWidth="1"/>
    <col min="7686" max="7686" width="18.140625" customWidth="1"/>
    <col min="7687" max="7687" width="15.5703125" customWidth="1"/>
    <col min="7688" max="7688" width="18.5703125" customWidth="1"/>
    <col min="7689" max="7689" width="13.28515625" customWidth="1"/>
    <col min="7693" max="7693" width="16.42578125" customWidth="1"/>
    <col min="7937" max="7937" width="13.140625" customWidth="1"/>
    <col min="7940" max="7940" width="15" customWidth="1"/>
    <col min="7942" max="7942" width="18.140625" customWidth="1"/>
    <col min="7943" max="7943" width="15.5703125" customWidth="1"/>
    <col min="7944" max="7944" width="18.5703125" customWidth="1"/>
    <col min="7945" max="7945" width="13.28515625" customWidth="1"/>
    <col min="7949" max="7949" width="16.42578125" customWidth="1"/>
    <col min="8193" max="8193" width="13.140625" customWidth="1"/>
    <col min="8196" max="8196" width="15" customWidth="1"/>
    <col min="8198" max="8198" width="18.140625" customWidth="1"/>
    <col min="8199" max="8199" width="15.5703125" customWidth="1"/>
    <col min="8200" max="8200" width="18.5703125" customWidth="1"/>
    <col min="8201" max="8201" width="13.28515625" customWidth="1"/>
    <col min="8205" max="8205" width="16.42578125" customWidth="1"/>
    <col min="8449" max="8449" width="13.140625" customWidth="1"/>
    <col min="8452" max="8452" width="15" customWidth="1"/>
    <col min="8454" max="8454" width="18.140625" customWidth="1"/>
    <col min="8455" max="8455" width="15.5703125" customWidth="1"/>
    <col min="8456" max="8456" width="18.5703125" customWidth="1"/>
    <col min="8457" max="8457" width="13.28515625" customWidth="1"/>
    <col min="8461" max="8461" width="16.42578125" customWidth="1"/>
    <col min="8705" max="8705" width="13.140625" customWidth="1"/>
    <col min="8708" max="8708" width="15" customWidth="1"/>
    <col min="8710" max="8710" width="18.140625" customWidth="1"/>
    <col min="8711" max="8711" width="15.5703125" customWidth="1"/>
    <col min="8712" max="8712" width="18.5703125" customWidth="1"/>
    <col min="8713" max="8713" width="13.28515625" customWidth="1"/>
    <col min="8717" max="8717" width="16.42578125" customWidth="1"/>
    <col min="8961" max="8961" width="13.140625" customWidth="1"/>
    <col min="8964" max="8964" width="15" customWidth="1"/>
    <col min="8966" max="8966" width="18.140625" customWidth="1"/>
    <col min="8967" max="8967" width="15.5703125" customWidth="1"/>
    <col min="8968" max="8968" width="18.5703125" customWidth="1"/>
    <col min="8969" max="8969" width="13.28515625" customWidth="1"/>
    <col min="8973" max="8973" width="16.42578125" customWidth="1"/>
    <col min="9217" max="9217" width="13.140625" customWidth="1"/>
    <col min="9220" max="9220" width="15" customWidth="1"/>
    <col min="9222" max="9222" width="18.140625" customWidth="1"/>
    <col min="9223" max="9223" width="15.5703125" customWidth="1"/>
    <col min="9224" max="9224" width="18.5703125" customWidth="1"/>
    <col min="9225" max="9225" width="13.28515625" customWidth="1"/>
    <col min="9229" max="9229" width="16.42578125" customWidth="1"/>
    <col min="9473" max="9473" width="13.140625" customWidth="1"/>
    <col min="9476" max="9476" width="15" customWidth="1"/>
    <col min="9478" max="9478" width="18.140625" customWidth="1"/>
    <col min="9479" max="9479" width="15.5703125" customWidth="1"/>
    <col min="9480" max="9480" width="18.5703125" customWidth="1"/>
    <col min="9481" max="9481" width="13.28515625" customWidth="1"/>
    <col min="9485" max="9485" width="16.42578125" customWidth="1"/>
    <col min="9729" max="9729" width="13.140625" customWidth="1"/>
    <col min="9732" max="9732" width="15" customWidth="1"/>
    <col min="9734" max="9734" width="18.140625" customWidth="1"/>
    <col min="9735" max="9735" width="15.5703125" customWidth="1"/>
    <col min="9736" max="9736" width="18.5703125" customWidth="1"/>
    <col min="9737" max="9737" width="13.28515625" customWidth="1"/>
    <col min="9741" max="9741" width="16.42578125" customWidth="1"/>
    <col min="9985" max="9985" width="13.140625" customWidth="1"/>
    <col min="9988" max="9988" width="15" customWidth="1"/>
    <col min="9990" max="9990" width="18.140625" customWidth="1"/>
    <col min="9991" max="9991" width="15.5703125" customWidth="1"/>
    <col min="9992" max="9992" width="18.5703125" customWidth="1"/>
    <col min="9993" max="9993" width="13.28515625" customWidth="1"/>
    <col min="9997" max="9997" width="16.42578125" customWidth="1"/>
    <col min="10241" max="10241" width="13.140625" customWidth="1"/>
    <col min="10244" max="10244" width="15" customWidth="1"/>
    <col min="10246" max="10246" width="18.140625" customWidth="1"/>
    <col min="10247" max="10247" width="15.5703125" customWidth="1"/>
    <col min="10248" max="10248" width="18.5703125" customWidth="1"/>
    <col min="10249" max="10249" width="13.28515625" customWidth="1"/>
    <col min="10253" max="10253" width="16.42578125" customWidth="1"/>
    <col min="10497" max="10497" width="13.140625" customWidth="1"/>
    <col min="10500" max="10500" width="15" customWidth="1"/>
    <col min="10502" max="10502" width="18.140625" customWidth="1"/>
    <col min="10503" max="10503" width="15.5703125" customWidth="1"/>
    <col min="10504" max="10504" width="18.5703125" customWidth="1"/>
    <col min="10505" max="10505" width="13.28515625" customWidth="1"/>
    <col min="10509" max="10509" width="16.42578125" customWidth="1"/>
    <col min="10753" max="10753" width="13.140625" customWidth="1"/>
    <col min="10756" max="10756" width="15" customWidth="1"/>
    <col min="10758" max="10758" width="18.140625" customWidth="1"/>
    <col min="10759" max="10759" width="15.5703125" customWidth="1"/>
    <col min="10760" max="10760" width="18.5703125" customWidth="1"/>
    <col min="10761" max="10761" width="13.28515625" customWidth="1"/>
    <col min="10765" max="10765" width="16.42578125" customWidth="1"/>
    <col min="11009" max="11009" width="13.140625" customWidth="1"/>
    <col min="11012" max="11012" width="15" customWidth="1"/>
    <col min="11014" max="11014" width="18.140625" customWidth="1"/>
    <col min="11015" max="11015" width="15.5703125" customWidth="1"/>
    <col min="11016" max="11016" width="18.5703125" customWidth="1"/>
    <col min="11017" max="11017" width="13.28515625" customWidth="1"/>
    <col min="11021" max="11021" width="16.42578125" customWidth="1"/>
    <col min="11265" max="11265" width="13.140625" customWidth="1"/>
    <col min="11268" max="11268" width="15" customWidth="1"/>
    <col min="11270" max="11270" width="18.140625" customWidth="1"/>
    <col min="11271" max="11271" width="15.5703125" customWidth="1"/>
    <col min="11272" max="11272" width="18.5703125" customWidth="1"/>
    <col min="11273" max="11273" width="13.28515625" customWidth="1"/>
    <col min="11277" max="11277" width="16.42578125" customWidth="1"/>
    <col min="11521" max="11521" width="13.140625" customWidth="1"/>
    <col min="11524" max="11524" width="15" customWidth="1"/>
    <col min="11526" max="11526" width="18.140625" customWidth="1"/>
    <col min="11527" max="11527" width="15.5703125" customWidth="1"/>
    <col min="11528" max="11528" width="18.5703125" customWidth="1"/>
    <col min="11529" max="11529" width="13.28515625" customWidth="1"/>
    <col min="11533" max="11533" width="16.42578125" customWidth="1"/>
    <col min="11777" max="11777" width="13.140625" customWidth="1"/>
    <col min="11780" max="11780" width="15" customWidth="1"/>
    <col min="11782" max="11782" width="18.140625" customWidth="1"/>
    <col min="11783" max="11783" width="15.5703125" customWidth="1"/>
    <col min="11784" max="11784" width="18.5703125" customWidth="1"/>
    <col min="11785" max="11785" width="13.28515625" customWidth="1"/>
    <col min="11789" max="11789" width="16.42578125" customWidth="1"/>
    <col min="12033" max="12033" width="13.140625" customWidth="1"/>
    <col min="12036" max="12036" width="15" customWidth="1"/>
    <col min="12038" max="12038" width="18.140625" customWidth="1"/>
    <col min="12039" max="12039" width="15.5703125" customWidth="1"/>
    <col min="12040" max="12040" width="18.5703125" customWidth="1"/>
    <col min="12041" max="12041" width="13.28515625" customWidth="1"/>
    <col min="12045" max="12045" width="16.42578125" customWidth="1"/>
    <col min="12289" max="12289" width="13.140625" customWidth="1"/>
    <col min="12292" max="12292" width="15" customWidth="1"/>
    <col min="12294" max="12294" width="18.140625" customWidth="1"/>
    <col min="12295" max="12295" width="15.5703125" customWidth="1"/>
    <col min="12296" max="12296" width="18.5703125" customWidth="1"/>
    <col min="12297" max="12297" width="13.28515625" customWidth="1"/>
    <col min="12301" max="12301" width="16.42578125" customWidth="1"/>
    <col min="12545" max="12545" width="13.140625" customWidth="1"/>
    <col min="12548" max="12548" width="15" customWidth="1"/>
    <col min="12550" max="12550" width="18.140625" customWidth="1"/>
    <col min="12551" max="12551" width="15.5703125" customWidth="1"/>
    <col min="12552" max="12552" width="18.5703125" customWidth="1"/>
    <col min="12553" max="12553" width="13.28515625" customWidth="1"/>
    <col min="12557" max="12557" width="16.42578125" customWidth="1"/>
    <col min="12801" max="12801" width="13.140625" customWidth="1"/>
    <col min="12804" max="12804" width="15" customWidth="1"/>
    <col min="12806" max="12806" width="18.140625" customWidth="1"/>
    <col min="12807" max="12807" width="15.5703125" customWidth="1"/>
    <col min="12808" max="12808" width="18.5703125" customWidth="1"/>
    <col min="12809" max="12809" width="13.28515625" customWidth="1"/>
    <col min="12813" max="12813" width="16.42578125" customWidth="1"/>
    <col min="13057" max="13057" width="13.140625" customWidth="1"/>
    <col min="13060" max="13060" width="15" customWidth="1"/>
    <col min="13062" max="13062" width="18.140625" customWidth="1"/>
    <col min="13063" max="13063" width="15.5703125" customWidth="1"/>
    <col min="13064" max="13064" width="18.5703125" customWidth="1"/>
    <col min="13065" max="13065" width="13.28515625" customWidth="1"/>
    <col min="13069" max="13069" width="16.42578125" customWidth="1"/>
    <col min="13313" max="13313" width="13.140625" customWidth="1"/>
    <col min="13316" max="13316" width="15" customWidth="1"/>
    <col min="13318" max="13318" width="18.140625" customWidth="1"/>
    <col min="13319" max="13319" width="15.5703125" customWidth="1"/>
    <col min="13320" max="13320" width="18.5703125" customWidth="1"/>
    <col min="13321" max="13321" width="13.28515625" customWidth="1"/>
    <col min="13325" max="13325" width="16.42578125" customWidth="1"/>
    <col min="13569" max="13569" width="13.140625" customWidth="1"/>
    <col min="13572" max="13572" width="15" customWidth="1"/>
    <col min="13574" max="13574" width="18.140625" customWidth="1"/>
    <col min="13575" max="13575" width="15.5703125" customWidth="1"/>
    <col min="13576" max="13576" width="18.5703125" customWidth="1"/>
    <col min="13577" max="13577" width="13.28515625" customWidth="1"/>
    <col min="13581" max="13581" width="16.42578125" customWidth="1"/>
    <col min="13825" max="13825" width="13.140625" customWidth="1"/>
    <col min="13828" max="13828" width="15" customWidth="1"/>
    <col min="13830" max="13830" width="18.140625" customWidth="1"/>
    <col min="13831" max="13831" width="15.5703125" customWidth="1"/>
    <col min="13832" max="13832" width="18.5703125" customWidth="1"/>
    <col min="13833" max="13833" width="13.28515625" customWidth="1"/>
    <col min="13837" max="13837" width="16.42578125" customWidth="1"/>
    <col min="14081" max="14081" width="13.140625" customWidth="1"/>
    <col min="14084" max="14084" width="15" customWidth="1"/>
    <col min="14086" max="14086" width="18.140625" customWidth="1"/>
    <col min="14087" max="14087" width="15.5703125" customWidth="1"/>
    <col min="14088" max="14088" width="18.5703125" customWidth="1"/>
    <col min="14089" max="14089" width="13.28515625" customWidth="1"/>
    <col min="14093" max="14093" width="16.42578125" customWidth="1"/>
    <col min="14337" max="14337" width="13.140625" customWidth="1"/>
    <col min="14340" max="14340" width="15" customWidth="1"/>
    <col min="14342" max="14342" width="18.140625" customWidth="1"/>
    <col min="14343" max="14343" width="15.5703125" customWidth="1"/>
    <col min="14344" max="14344" width="18.5703125" customWidth="1"/>
    <col min="14345" max="14345" width="13.28515625" customWidth="1"/>
    <col min="14349" max="14349" width="16.42578125" customWidth="1"/>
    <col min="14593" max="14593" width="13.140625" customWidth="1"/>
    <col min="14596" max="14596" width="15" customWidth="1"/>
    <col min="14598" max="14598" width="18.140625" customWidth="1"/>
    <col min="14599" max="14599" width="15.5703125" customWidth="1"/>
    <col min="14600" max="14600" width="18.5703125" customWidth="1"/>
    <col min="14601" max="14601" width="13.28515625" customWidth="1"/>
    <col min="14605" max="14605" width="16.42578125" customWidth="1"/>
    <col min="14849" max="14849" width="13.140625" customWidth="1"/>
    <col min="14852" max="14852" width="15" customWidth="1"/>
    <col min="14854" max="14854" width="18.140625" customWidth="1"/>
    <col min="14855" max="14855" width="15.5703125" customWidth="1"/>
    <col min="14856" max="14856" width="18.5703125" customWidth="1"/>
    <col min="14857" max="14857" width="13.28515625" customWidth="1"/>
    <col min="14861" max="14861" width="16.42578125" customWidth="1"/>
    <col min="15105" max="15105" width="13.140625" customWidth="1"/>
    <col min="15108" max="15108" width="15" customWidth="1"/>
    <col min="15110" max="15110" width="18.140625" customWidth="1"/>
    <col min="15111" max="15111" width="15.5703125" customWidth="1"/>
    <col min="15112" max="15112" width="18.5703125" customWidth="1"/>
    <col min="15113" max="15113" width="13.28515625" customWidth="1"/>
    <col min="15117" max="15117" width="16.42578125" customWidth="1"/>
    <col min="15361" max="15361" width="13.140625" customWidth="1"/>
    <col min="15364" max="15364" width="15" customWidth="1"/>
    <col min="15366" max="15366" width="18.140625" customWidth="1"/>
    <col min="15367" max="15367" width="15.5703125" customWidth="1"/>
    <col min="15368" max="15368" width="18.5703125" customWidth="1"/>
    <col min="15369" max="15369" width="13.28515625" customWidth="1"/>
    <col min="15373" max="15373" width="16.42578125" customWidth="1"/>
    <col min="15617" max="15617" width="13.140625" customWidth="1"/>
    <col min="15620" max="15620" width="15" customWidth="1"/>
    <col min="15622" max="15622" width="18.140625" customWidth="1"/>
    <col min="15623" max="15623" width="15.5703125" customWidth="1"/>
    <col min="15624" max="15624" width="18.5703125" customWidth="1"/>
    <col min="15625" max="15625" width="13.28515625" customWidth="1"/>
    <col min="15629" max="15629" width="16.42578125" customWidth="1"/>
    <col min="15873" max="15873" width="13.140625" customWidth="1"/>
    <col min="15876" max="15876" width="15" customWidth="1"/>
    <col min="15878" max="15878" width="18.140625" customWidth="1"/>
    <col min="15879" max="15879" width="15.5703125" customWidth="1"/>
    <col min="15880" max="15880" width="18.5703125" customWidth="1"/>
    <col min="15881" max="15881" width="13.28515625" customWidth="1"/>
    <col min="15885" max="15885" width="16.42578125" customWidth="1"/>
    <col min="16129" max="16129" width="13.140625" customWidth="1"/>
    <col min="16132" max="16132" width="15" customWidth="1"/>
    <col min="16134" max="16134" width="18.140625" customWidth="1"/>
    <col min="16135" max="16135" width="15.5703125" customWidth="1"/>
    <col min="16136" max="16136" width="18.5703125" customWidth="1"/>
    <col min="16137" max="16137" width="13.28515625" customWidth="1"/>
    <col min="16141" max="16141" width="16.42578125" customWidth="1"/>
  </cols>
  <sheetData>
    <row r="2" spans="1:15" ht="18" x14ac:dyDescent="0.25">
      <c r="A2" s="1" t="s">
        <v>0</v>
      </c>
    </row>
    <row r="3" spans="1:15" ht="18" x14ac:dyDescent="0.25">
      <c r="A3" s="1"/>
    </row>
    <row r="4" spans="1:15" ht="15.75" x14ac:dyDescent="0.25">
      <c r="A4" s="2" t="s">
        <v>1</v>
      </c>
      <c r="B4" s="3"/>
    </row>
    <row r="5" spans="1:15" ht="16.5" thickBot="1" x14ac:dyDescent="0.3">
      <c r="D5" s="2" t="s">
        <v>2</v>
      </c>
    </row>
    <row r="6" spans="1:15" ht="17.25" thickTop="1" thickBot="1" x14ac:dyDescent="0.3">
      <c r="C6" s="4" t="s">
        <v>3</v>
      </c>
      <c r="D6" s="5"/>
      <c r="E6" s="6">
        <v>5500</v>
      </c>
      <c r="F6" t="s">
        <v>4</v>
      </c>
      <c r="G6" s="4" t="s">
        <v>5</v>
      </c>
      <c r="H6" s="5"/>
      <c r="I6" s="6">
        <v>0.45</v>
      </c>
      <c r="K6" t="s">
        <v>6</v>
      </c>
    </row>
    <row r="7" spans="1:15" ht="17.25" thickTop="1" thickBot="1" x14ac:dyDescent="0.3">
      <c r="C7" s="4" t="s">
        <v>7</v>
      </c>
      <c r="D7" s="7" t="s">
        <v>8</v>
      </c>
      <c r="E7" s="6">
        <v>0.78</v>
      </c>
      <c r="G7" s="4" t="s">
        <v>9</v>
      </c>
      <c r="H7" s="5"/>
      <c r="I7" s="6">
        <v>1.05</v>
      </c>
      <c r="K7" t="s">
        <v>10</v>
      </c>
      <c r="M7" s="108"/>
      <c r="N7" s="108"/>
      <c r="O7" s="108"/>
    </row>
    <row r="8" spans="1:15" ht="17.25" thickTop="1" thickBot="1" x14ac:dyDescent="0.3">
      <c r="C8" t="s">
        <v>11</v>
      </c>
      <c r="D8" s="9" t="s">
        <v>12</v>
      </c>
      <c r="E8" s="6">
        <v>0.03</v>
      </c>
      <c r="G8" s="10" t="s">
        <v>13</v>
      </c>
      <c r="H8" s="3"/>
      <c r="I8" s="3"/>
      <c r="J8" s="3"/>
      <c r="M8" s="8"/>
      <c r="N8" s="8"/>
      <c r="O8" s="11"/>
    </row>
    <row r="9" spans="1:15" ht="17.25" thickTop="1" thickBot="1" x14ac:dyDescent="0.3">
      <c r="C9">
        <v>475</v>
      </c>
      <c r="D9" s="9" t="s">
        <v>14</v>
      </c>
      <c r="E9" s="6">
        <v>0.05</v>
      </c>
      <c r="G9" s="12" t="s">
        <v>15</v>
      </c>
      <c r="H9" s="12"/>
      <c r="I9" s="13">
        <v>5</v>
      </c>
      <c r="M9" s="108"/>
      <c r="N9" s="108"/>
      <c r="O9" s="108"/>
    </row>
    <row r="10" spans="1:15" ht="17.25" thickTop="1" thickBot="1" x14ac:dyDescent="0.3">
      <c r="D10" s="9" t="s">
        <v>16</v>
      </c>
      <c r="E10" s="6">
        <v>0.06</v>
      </c>
      <c r="G10" s="12" t="s">
        <v>17</v>
      </c>
      <c r="H10" s="12"/>
      <c r="I10" s="13">
        <v>4</v>
      </c>
      <c r="M10" s="8"/>
      <c r="N10" s="8"/>
      <c r="O10" s="11"/>
    </row>
    <row r="11" spans="1:15" ht="17.25" thickTop="1" thickBot="1" x14ac:dyDescent="0.3">
      <c r="D11" s="9" t="s">
        <v>18</v>
      </c>
      <c r="E11" s="6">
        <v>0.01</v>
      </c>
      <c r="G11" s="12" t="s">
        <v>19</v>
      </c>
      <c r="H11" s="12"/>
      <c r="I11" s="13">
        <v>3</v>
      </c>
      <c r="M11" s="108"/>
      <c r="N11" s="108"/>
      <c r="O11" s="108"/>
    </row>
    <row r="12" spans="1:15" ht="17.25" thickTop="1" thickBot="1" x14ac:dyDescent="0.3">
      <c r="D12" s="14" t="s">
        <v>20</v>
      </c>
      <c r="E12" s="15" t="s">
        <v>21</v>
      </c>
      <c r="G12" s="12" t="s">
        <v>22</v>
      </c>
      <c r="H12" s="12"/>
      <c r="I12" s="13">
        <v>2</v>
      </c>
      <c r="M12" s="16"/>
      <c r="N12" s="11"/>
      <c r="O12" s="11"/>
    </row>
    <row r="13" spans="1:15" ht="17.25" thickTop="1" thickBot="1" x14ac:dyDescent="0.3">
      <c r="D13">
        <v>22.4</v>
      </c>
      <c r="G13" s="12" t="s">
        <v>23</v>
      </c>
      <c r="H13" s="12"/>
      <c r="I13" s="13">
        <v>1</v>
      </c>
      <c r="M13" s="108"/>
      <c r="N13" s="108"/>
      <c r="O13" s="108"/>
    </row>
    <row r="14" spans="1:15" ht="15.75" thickTop="1" x14ac:dyDescent="0.25">
      <c r="M14" s="11"/>
      <c r="N14" s="11"/>
      <c r="O14" s="11"/>
    </row>
    <row r="15" spans="1:15" ht="16.5" thickBot="1" x14ac:dyDescent="0.3">
      <c r="E15" s="2" t="s">
        <v>24</v>
      </c>
      <c r="F15" s="3"/>
      <c r="M15" s="108"/>
      <c r="N15" s="108"/>
      <c r="O15" s="108"/>
    </row>
    <row r="16" spans="1:15" ht="17.25" thickTop="1" thickBot="1" x14ac:dyDescent="0.3">
      <c r="A16" s="12"/>
      <c r="B16" s="12"/>
      <c r="C16" s="109" t="s">
        <v>25</v>
      </c>
      <c r="D16" s="109"/>
      <c r="E16" s="109"/>
      <c r="F16" s="109" t="s">
        <v>26</v>
      </c>
      <c r="G16" s="109"/>
      <c r="H16" s="109"/>
      <c r="I16" s="4" t="s">
        <v>27</v>
      </c>
      <c r="J16" s="12"/>
    </row>
    <row r="17" spans="1:21" ht="16.5" thickTop="1" thickBot="1" x14ac:dyDescent="0.3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</row>
    <row r="18" spans="1:21" ht="17.25" thickTop="1" thickBot="1" x14ac:dyDescent="0.3">
      <c r="A18" s="18" t="s">
        <v>8</v>
      </c>
      <c r="B18" s="19">
        <v>16</v>
      </c>
      <c r="C18" s="20">
        <f t="shared" ref="C18:C26" si="0">D18/D$13*B18</f>
        <v>1378.9285714285716</v>
      </c>
      <c r="D18" s="20">
        <f>F$29*E7</f>
        <v>1930.5</v>
      </c>
      <c r="E18" s="21">
        <f t="shared" ref="E18:E26" si="1">D18/D$27</f>
        <v>8.8636363636363638E-2</v>
      </c>
      <c r="F18" s="20">
        <f t="shared" ref="F18:F26" si="2">G18/D$13*B18</f>
        <v>660.29464285714289</v>
      </c>
      <c r="G18" s="22">
        <f>1848.825/2</f>
        <v>924.41250000000002</v>
      </c>
      <c r="H18" s="23">
        <f t="shared" ref="H18:H26" si="3">G18/G$27</f>
        <v>4.1615598885793872E-2</v>
      </c>
      <c r="I18" s="20">
        <f t="shared" ref="I18:I26" si="4">J18/D$13*B18</f>
        <v>-718.63392857142856</v>
      </c>
      <c r="J18" s="20">
        <f>G18-D18</f>
        <v>-1006.0875</v>
      </c>
      <c r="N18" s="24"/>
      <c r="O18" s="24"/>
      <c r="P18" s="24"/>
      <c r="Q18" s="24"/>
      <c r="R18" s="24"/>
      <c r="S18" s="24"/>
      <c r="T18" s="24"/>
      <c r="U18" s="24"/>
    </row>
    <row r="19" spans="1:21" ht="17.25" thickTop="1" thickBot="1" x14ac:dyDescent="0.3">
      <c r="A19" s="18" t="s">
        <v>12</v>
      </c>
      <c r="B19" s="19">
        <v>30</v>
      </c>
      <c r="C19" s="20">
        <f t="shared" si="0"/>
        <v>99.441964285714292</v>
      </c>
      <c r="D19" s="20">
        <f>F$29*E8</f>
        <v>74.25</v>
      </c>
      <c r="E19" s="21">
        <f t="shared" si="1"/>
        <v>3.4090909090909089E-3</v>
      </c>
      <c r="F19" s="20">
        <f t="shared" si="2"/>
        <v>0</v>
      </c>
      <c r="G19" s="20">
        <f t="shared" ref="G19:G26" si="5">D19+J19</f>
        <v>0</v>
      </c>
      <c r="H19" s="23">
        <f t="shared" si="3"/>
        <v>0</v>
      </c>
      <c r="I19" s="20">
        <f t="shared" si="4"/>
        <v>-99.441964285714292</v>
      </c>
      <c r="J19" s="20">
        <f>-D19</f>
        <v>-74.25</v>
      </c>
      <c r="N19" s="24"/>
      <c r="O19" s="24"/>
      <c r="P19" s="24"/>
      <c r="Q19" s="24"/>
      <c r="R19" s="24"/>
      <c r="S19" s="24"/>
      <c r="T19" s="24"/>
      <c r="U19" s="24"/>
    </row>
    <row r="20" spans="1:21" ht="17.25" thickTop="1" thickBot="1" x14ac:dyDescent="0.3">
      <c r="A20" s="18" t="s">
        <v>14</v>
      </c>
      <c r="B20" s="19">
        <v>44</v>
      </c>
      <c r="C20" s="20">
        <f t="shared" si="0"/>
        <v>243.08035714285717</v>
      </c>
      <c r="D20" s="20">
        <f>F$29*E9</f>
        <v>123.75</v>
      </c>
      <c r="E20" s="21">
        <f t="shared" si="1"/>
        <v>5.681818181818182E-3</v>
      </c>
      <c r="F20" s="20">
        <f t="shared" si="2"/>
        <v>0</v>
      </c>
      <c r="G20" s="20">
        <f t="shared" si="5"/>
        <v>0</v>
      </c>
      <c r="H20" s="23">
        <f t="shared" si="3"/>
        <v>0</v>
      </c>
      <c r="I20" s="20">
        <f t="shared" si="4"/>
        <v>-243.08035714285717</v>
      </c>
      <c r="J20" s="20">
        <f>-D20</f>
        <v>-123.75</v>
      </c>
      <c r="N20" s="24"/>
      <c r="O20" s="24"/>
      <c r="P20" s="24"/>
      <c r="Q20" s="24"/>
      <c r="R20" s="24"/>
      <c r="S20" s="24"/>
      <c r="T20" s="24"/>
      <c r="U20" s="24"/>
    </row>
    <row r="21" spans="1:21" ht="17.25" thickTop="1" thickBot="1" x14ac:dyDescent="0.3">
      <c r="A21" s="18" t="s">
        <v>16</v>
      </c>
      <c r="B21" s="19">
        <v>58</v>
      </c>
      <c r="C21" s="20">
        <f t="shared" si="0"/>
        <v>384.50892857142861</v>
      </c>
      <c r="D21" s="20">
        <f>F$29*E10</f>
        <v>148.5</v>
      </c>
      <c r="E21" s="21">
        <f t="shared" si="1"/>
        <v>6.8181818181818179E-3</v>
      </c>
      <c r="F21" s="20">
        <f t="shared" si="2"/>
        <v>0</v>
      </c>
      <c r="G21" s="20">
        <f t="shared" si="5"/>
        <v>0</v>
      </c>
      <c r="H21" s="23">
        <f t="shared" si="3"/>
        <v>0</v>
      </c>
      <c r="I21" s="20">
        <f t="shared" si="4"/>
        <v>-384.50892857142861</v>
      </c>
      <c r="J21" s="20">
        <f>-D21</f>
        <v>-148.5</v>
      </c>
      <c r="N21" s="24"/>
      <c r="O21" s="24"/>
      <c r="P21" s="24"/>
      <c r="Q21" s="24"/>
      <c r="R21" s="24"/>
      <c r="S21" s="24"/>
      <c r="T21" s="24"/>
      <c r="U21" s="24"/>
    </row>
    <row r="22" spans="1:21" ht="17.25" thickTop="1" thickBot="1" x14ac:dyDescent="0.3">
      <c r="A22" s="18" t="s">
        <v>18</v>
      </c>
      <c r="B22" s="19">
        <v>72</v>
      </c>
      <c r="C22" s="20">
        <f t="shared" si="0"/>
        <v>79.553571428571445</v>
      </c>
      <c r="D22" s="20">
        <f>F$29*E11</f>
        <v>24.75</v>
      </c>
      <c r="E22" s="21">
        <f t="shared" si="1"/>
        <v>1.1363636363636363E-3</v>
      </c>
      <c r="F22" s="20">
        <f t="shared" si="2"/>
        <v>0</v>
      </c>
      <c r="G22" s="20">
        <f t="shared" si="5"/>
        <v>0</v>
      </c>
      <c r="H22" s="23">
        <f t="shared" si="3"/>
        <v>0</v>
      </c>
      <c r="I22" s="20">
        <f t="shared" si="4"/>
        <v>-79.553571428571445</v>
      </c>
      <c r="J22" s="20">
        <f>-D22</f>
        <v>-24.75</v>
      </c>
      <c r="L22" s="25" t="s">
        <v>38</v>
      </c>
      <c r="N22" s="24"/>
      <c r="O22" s="24"/>
      <c r="P22" s="24"/>
      <c r="Q22" s="24"/>
      <c r="R22" s="24"/>
      <c r="S22" s="24"/>
      <c r="T22" s="24"/>
      <c r="U22" s="24"/>
    </row>
    <row r="23" spans="1:21" ht="17.25" thickTop="1" thickBot="1" x14ac:dyDescent="0.3">
      <c r="A23" s="18" t="s">
        <v>39</v>
      </c>
      <c r="B23" s="19">
        <v>32</v>
      </c>
      <c r="C23" s="20">
        <f t="shared" si="0"/>
        <v>5791.5000000000009</v>
      </c>
      <c r="D23" s="20">
        <f>E7*F29*2*I7</f>
        <v>4054.05</v>
      </c>
      <c r="E23" s="21">
        <f t="shared" si="1"/>
        <v>0.18613636363636366</v>
      </c>
      <c r="F23" s="20">
        <f t="shared" si="2"/>
        <v>0</v>
      </c>
      <c r="G23" s="20">
        <f t="shared" si="5"/>
        <v>0</v>
      </c>
      <c r="H23" s="23">
        <f t="shared" si="3"/>
        <v>0</v>
      </c>
      <c r="I23" s="20">
        <f t="shared" si="4"/>
        <v>-5791.5000000000009</v>
      </c>
      <c r="J23" s="20">
        <f>J22*8+J21*6.5+J20*5+J19*3.5+J18*2</f>
        <v>-4054.05</v>
      </c>
      <c r="L23" s="25" t="s">
        <v>40</v>
      </c>
      <c r="N23" s="24"/>
      <c r="O23" s="24"/>
      <c r="P23" s="24"/>
      <c r="Q23" s="24"/>
      <c r="R23" s="26"/>
      <c r="S23" s="24"/>
      <c r="T23" s="24"/>
      <c r="U23" s="24"/>
    </row>
    <row r="24" spans="1:21" ht="17.25" thickTop="1" thickBot="1" x14ac:dyDescent="0.3">
      <c r="A24" s="18" t="s">
        <v>41</v>
      </c>
      <c r="B24" s="19">
        <v>44</v>
      </c>
      <c r="C24" s="20">
        <f t="shared" si="0"/>
        <v>0</v>
      </c>
      <c r="D24" s="20">
        <v>0</v>
      </c>
      <c r="E24" s="21">
        <f t="shared" si="1"/>
        <v>0</v>
      </c>
      <c r="F24" s="20">
        <f t="shared" si="2"/>
        <v>4407.0468750000009</v>
      </c>
      <c r="G24" s="20">
        <f t="shared" si="5"/>
        <v>2243.5875000000001</v>
      </c>
      <c r="H24" s="23">
        <f t="shared" si="3"/>
        <v>0.10100278551532034</v>
      </c>
      <c r="I24" s="20">
        <f t="shared" si="4"/>
        <v>4407.0468750000009</v>
      </c>
      <c r="J24" s="20">
        <f>-J22*5-J21*4-J20*3-J19*2-J18*1</f>
        <v>2243.5875000000001</v>
      </c>
      <c r="L24" s="25" t="s">
        <v>42</v>
      </c>
      <c r="N24" s="24"/>
      <c r="O24" s="24"/>
      <c r="P24" s="24"/>
      <c r="Q24" s="24"/>
      <c r="R24" s="24"/>
      <c r="S24" s="24"/>
      <c r="T24" s="24"/>
      <c r="U24" s="24"/>
    </row>
    <row r="25" spans="1:21" ht="17.25" thickTop="1" thickBot="1" x14ac:dyDescent="0.3">
      <c r="A25" s="18" t="s">
        <v>43</v>
      </c>
      <c r="B25" s="19">
        <v>18</v>
      </c>
      <c r="C25" s="20">
        <f t="shared" si="0"/>
        <v>0</v>
      </c>
      <c r="D25" s="20">
        <v>0</v>
      </c>
      <c r="E25" s="21">
        <f t="shared" si="1"/>
        <v>0</v>
      </c>
      <c r="F25" s="20">
        <f t="shared" si="2"/>
        <v>2909.6718750000005</v>
      </c>
      <c r="G25" s="20">
        <f t="shared" si="5"/>
        <v>3620.9250000000002</v>
      </c>
      <c r="H25" s="23">
        <f t="shared" si="3"/>
        <v>0.16300835654596102</v>
      </c>
      <c r="I25" s="20">
        <f t="shared" si="4"/>
        <v>2909.6718750000005</v>
      </c>
      <c r="J25" s="20">
        <f>-J22*6-J21*5-J20*4-J19*3-J18*2</f>
        <v>3620.9250000000002</v>
      </c>
      <c r="L25" s="25" t="s">
        <v>44</v>
      </c>
      <c r="N25" s="24"/>
      <c r="O25" s="24"/>
      <c r="P25" s="24"/>
      <c r="Q25" s="24"/>
      <c r="R25" s="24"/>
      <c r="S25" s="24"/>
      <c r="T25" s="24"/>
      <c r="U25" s="24"/>
    </row>
    <row r="26" spans="1:21" ht="17.25" thickTop="1" thickBot="1" x14ac:dyDescent="0.3">
      <c r="A26" s="18" t="s">
        <v>45</v>
      </c>
      <c r="B26" s="19">
        <v>28</v>
      </c>
      <c r="C26" s="20">
        <f t="shared" si="0"/>
        <v>19280.250000000004</v>
      </c>
      <c r="D26" s="20">
        <f>D23*79/21+F29*(1-SUM(E7:E11))</f>
        <v>15424.2</v>
      </c>
      <c r="E26" s="21">
        <f t="shared" si="1"/>
        <v>0.70818181818181825</v>
      </c>
      <c r="F26" s="20">
        <f t="shared" si="2"/>
        <v>19280.250000000004</v>
      </c>
      <c r="G26" s="20">
        <f t="shared" si="5"/>
        <v>15424.2</v>
      </c>
      <c r="H26" s="23">
        <f t="shared" si="3"/>
        <v>0.6943732590529248</v>
      </c>
      <c r="I26" s="20">
        <f t="shared" si="4"/>
        <v>0</v>
      </c>
      <c r="J26" s="20">
        <v>0</v>
      </c>
      <c r="N26" s="24"/>
      <c r="O26" s="24"/>
      <c r="P26" s="24"/>
      <c r="Q26" s="24"/>
      <c r="R26" s="24"/>
      <c r="S26" s="24"/>
      <c r="T26" s="24"/>
      <c r="U26" s="24"/>
    </row>
    <row r="27" spans="1:21" ht="17.25" thickTop="1" thickBot="1" x14ac:dyDescent="0.3">
      <c r="A27" s="27" t="s">
        <v>46</v>
      </c>
      <c r="B27" s="14"/>
      <c r="C27" s="28">
        <f t="shared" ref="C27:J27" si="6">SUM(C18:C26)</f>
        <v>27257.263392857149</v>
      </c>
      <c r="D27" s="29">
        <f t="shared" si="6"/>
        <v>21780</v>
      </c>
      <c r="E27" s="30">
        <f t="shared" si="6"/>
        <v>1</v>
      </c>
      <c r="F27" s="28">
        <f t="shared" si="6"/>
        <v>27257.263392857149</v>
      </c>
      <c r="G27" s="29">
        <f t="shared" si="6"/>
        <v>22213.125</v>
      </c>
      <c r="H27" s="30">
        <f t="shared" si="6"/>
        <v>1</v>
      </c>
      <c r="I27" s="31">
        <f t="shared" si="6"/>
        <v>4.5474735088646412E-13</v>
      </c>
      <c r="J27" s="32">
        <f t="shared" si="6"/>
        <v>433.12499999999955</v>
      </c>
      <c r="N27" s="24"/>
      <c r="O27" s="24"/>
      <c r="P27" s="24"/>
      <c r="Q27" s="24"/>
      <c r="R27" s="24"/>
      <c r="S27" s="24"/>
      <c r="T27" s="24"/>
      <c r="U27" s="24"/>
    </row>
    <row r="28" spans="1:21" ht="16.5" thickTop="1" thickBot="1" x14ac:dyDescent="0.3"/>
    <row r="29" spans="1:21" ht="27" customHeight="1" thickTop="1" thickBot="1" x14ac:dyDescent="0.3">
      <c r="C29" s="33" t="s">
        <v>47</v>
      </c>
      <c r="D29" s="34"/>
      <c r="E29" s="34"/>
      <c r="F29" s="35">
        <f>E6*I6</f>
        <v>2475</v>
      </c>
    </row>
    <row r="30" spans="1:21" ht="26.25" customHeight="1" thickTop="1" thickBot="1" x14ac:dyDescent="0.3">
      <c r="A30" s="36"/>
      <c r="B30" s="37" t="s">
        <v>48</v>
      </c>
      <c r="C30" s="38" t="s">
        <v>49</v>
      </c>
      <c r="H30" s="39"/>
    </row>
    <row r="31" spans="1:21" ht="20.25" thickTop="1" thickBot="1" x14ac:dyDescent="0.4">
      <c r="A31" s="40" t="s">
        <v>28</v>
      </c>
      <c r="B31" s="40" t="s">
        <v>50</v>
      </c>
      <c r="C31" s="40" t="s">
        <v>51</v>
      </c>
    </row>
    <row r="32" spans="1:21" ht="17.25" thickTop="1" thickBot="1" x14ac:dyDescent="0.3">
      <c r="A32" s="18" t="s">
        <v>8</v>
      </c>
      <c r="B32" s="41">
        <v>35.700000000000003</v>
      </c>
      <c r="C32" s="41">
        <v>-74.599999999999994</v>
      </c>
      <c r="G32" s="3"/>
    </row>
    <row r="33" spans="1:13" ht="17.25" thickTop="1" thickBot="1" x14ac:dyDescent="0.3">
      <c r="A33" s="18" t="s">
        <v>12</v>
      </c>
      <c r="B33" s="41">
        <v>52.49</v>
      </c>
      <c r="C33" s="41">
        <v>-84</v>
      </c>
      <c r="F33" s="2" t="s">
        <v>52</v>
      </c>
    </row>
    <row r="34" spans="1:13" ht="17.25" thickTop="1" thickBot="1" x14ac:dyDescent="0.3">
      <c r="A34" s="18" t="s">
        <v>14</v>
      </c>
      <c r="B34" s="41">
        <v>73.599999999999994</v>
      </c>
      <c r="C34" s="41">
        <v>-103.85</v>
      </c>
    </row>
    <row r="35" spans="1:13" ht="17.25" thickTop="1" thickBot="1" x14ac:dyDescent="0.3">
      <c r="A35" s="18" t="s">
        <v>16</v>
      </c>
      <c r="B35" s="41">
        <v>98.49</v>
      </c>
      <c r="C35" s="41">
        <v>-125.77</v>
      </c>
      <c r="F35" s="42" t="s">
        <v>53</v>
      </c>
      <c r="G35" s="42" t="s">
        <v>54</v>
      </c>
      <c r="H35" s="43" t="s">
        <v>55</v>
      </c>
    </row>
    <row r="36" spans="1:13" ht="17.25" thickTop="1" thickBot="1" x14ac:dyDescent="0.3">
      <c r="A36" s="18" t="s">
        <v>18</v>
      </c>
      <c r="B36" s="41">
        <v>120.04</v>
      </c>
      <c r="C36" s="41">
        <v>-146.36000000000001</v>
      </c>
      <c r="D36" t="s">
        <v>56</v>
      </c>
      <c r="F36" s="41">
        <f>D27/D13*B42*C9*1000/3600</f>
        <v>3933485.84123884</v>
      </c>
      <c r="G36" s="44">
        <f>(J22/D13*C45+J21/D13*C46+J20/D13*C47+J19/D13*C48+J18/D13*C49)*1000/3600*1000</f>
        <v>19388110.923549108</v>
      </c>
      <c r="H36" s="45">
        <f>F36+G36</f>
        <v>23321596.76478795</v>
      </c>
    </row>
    <row r="37" spans="1:13" ht="17.25" thickTop="1" thickBot="1" x14ac:dyDescent="0.3">
      <c r="A37" s="18" t="s">
        <v>39</v>
      </c>
      <c r="B37" s="41">
        <v>29.38</v>
      </c>
      <c r="C37" s="41">
        <v>0</v>
      </c>
    </row>
    <row r="38" spans="1:13" ht="17.25" thickTop="1" thickBot="1" x14ac:dyDescent="0.3">
      <c r="A38" s="18" t="s">
        <v>41</v>
      </c>
      <c r="B38" s="41">
        <v>37.14</v>
      </c>
      <c r="C38" s="41">
        <v>-393.51</v>
      </c>
    </row>
    <row r="39" spans="1:13" ht="17.25" thickTop="1" thickBot="1" x14ac:dyDescent="0.3">
      <c r="A39" s="18" t="s">
        <v>43</v>
      </c>
      <c r="B39" s="41">
        <v>33.6</v>
      </c>
      <c r="C39" s="41">
        <v>-241.83</v>
      </c>
    </row>
    <row r="40" spans="1:13" ht="18" customHeight="1" thickTop="1" thickBot="1" x14ac:dyDescent="0.3">
      <c r="A40" s="18" t="s">
        <v>45</v>
      </c>
      <c r="B40" s="41">
        <v>29.12</v>
      </c>
      <c r="C40" s="41"/>
    </row>
    <row r="41" spans="1:13" ht="9" customHeight="1" thickTop="1" thickBot="1" x14ac:dyDescent="0.3">
      <c r="A41" s="8"/>
      <c r="B41" s="24"/>
      <c r="C41" s="24"/>
    </row>
    <row r="42" spans="1:13" ht="21" thickTop="1" thickBot="1" x14ac:dyDescent="0.3">
      <c r="A42" s="46" t="s">
        <v>57</v>
      </c>
      <c r="B42" s="47">
        <f>B32*E18+B33*E19+B34*E20+B35*E21+B36*E22+B37*E23+B38*E24+B39*E25+B40*E26</f>
        <v>30.660315909090912</v>
      </c>
      <c r="C42" s="48"/>
    </row>
    <row r="43" spans="1:13" ht="21" thickTop="1" thickBot="1" x14ac:dyDescent="0.3">
      <c r="A43" s="46" t="s">
        <v>58</v>
      </c>
      <c r="B43" s="47">
        <f>B32*H18+B38*H24+B39*H25+B40*H26</f>
        <v>30.934150417827301</v>
      </c>
      <c r="C43" s="49"/>
    </row>
    <row r="44" spans="1:13" ht="9.75" customHeight="1" thickTop="1" thickBot="1" x14ac:dyDescent="0.3">
      <c r="A44" s="50"/>
      <c r="B44" s="24"/>
      <c r="C44" s="24"/>
    </row>
    <row r="45" spans="1:13" ht="17.25" thickTop="1" thickBot="1" x14ac:dyDescent="0.3">
      <c r="B45" s="51" t="s">
        <v>59</v>
      </c>
      <c r="C45" s="47">
        <f>6*C39+5*C38-(8*C37+C36)</f>
        <v>-3272.1699999999996</v>
      </c>
      <c r="D45" t="s">
        <v>60</v>
      </c>
      <c r="L45" s="52" t="s">
        <v>7</v>
      </c>
      <c r="M45" s="52" t="s">
        <v>61</v>
      </c>
    </row>
    <row r="46" spans="1:13" ht="17.25" thickTop="1" thickBot="1" x14ac:dyDescent="0.3">
      <c r="B46" s="51" t="s">
        <v>62</v>
      </c>
      <c r="C46" s="47">
        <f>C39*5+C38*4-(C37*6.5+C35)</f>
        <v>-2657.42</v>
      </c>
      <c r="D46" t="s">
        <v>60</v>
      </c>
      <c r="K46" s="53" t="s">
        <v>63</v>
      </c>
      <c r="L46" s="6">
        <v>0.78</v>
      </c>
      <c r="M46" s="41">
        <f>35.7</f>
        <v>35.700000000000003</v>
      </c>
    </row>
    <row r="47" spans="1:13" ht="17.25" thickTop="1" thickBot="1" x14ac:dyDescent="0.3">
      <c r="B47" s="51" t="s">
        <v>64</v>
      </c>
      <c r="C47" s="47">
        <f>C39*3+C38*2-(C37*5+C34)</f>
        <v>-1408.66</v>
      </c>
      <c r="D47" t="s">
        <v>60</v>
      </c>
      <c r="K47" s="53" t="s">
        <v>65</v>
      </c>
      <c r="L47" s="6">
        <v>0.03</v>
      </c>
      <c r="M47" s="41">
        <v>52.49</v>
      </c>
    </row>
    <row r="48" spans="1:13" ht="17.25" thickTop="1" thickBot="1" x14ac:dyDescent="0.3">
      <c r="B48" s="51" t="s">
        <v>66</v>
      </c>
      <c r="C48" s="47">
        <f>C39*3+C38*2-(C37*3.5+C33)</f>
        <v>-1428.51</v>
      </c>
      <c r="D48" t="s">
        <v>60</v>
      </c>
      <c r="K48" s="53" t="s">
        <v>67</v>
      </c>
      <c r="L48" s="6">
        <v>0.05</v>
      </c>
      <c r="M48" s="41">
        <v>73.599999999999994</v>
      </c>
    </row>
    <row r="49" spans="1:27" ht="17.25" thickTop="1" thickBot="1" x14ac:dyDescent="0.3">
      <c r="B49" s="51" t="s">
        <v>68</v>
      </c>
      <c r="C49" s="47">
        <f>C39*2+C38-(C37*2+C32)</f>
        <v>-802.57</v>
      </c>
      <c r="D49" t="s">
        <v>60</v>
      </c>
      <c r="K49" s="53" t="s">
        <v>69</v>
      </c>
      <c r="L49" s="6">
        <v>0.06</v>
      </c>
      <c r="M49" s="41">
        <v>98.49</v>
      </c>
      <c r="N49" s="2" t="s">
        <v>70</v>
      </c>
    </row>
    <row r="50" spans="1:27" ht="17.25" thickTop="1" thickBot="1" x14ac:dyDescent="0.3">
      <c r="B50" s="24"/>
      <c r="C50" s="24"/>
      <c r="K50" s="53" t="s">
        <v>71</v>
      </c>
      <c r="L50" s="6">
        <v>0.01</v>
      </c>
      <c r="M50" s="41">
        <v>120.04</v>
      </c>
      <c r="N50" s="54">
        <f>(M46*L46+M47*L47+M48*L48+M49*L49+M50*L50+M51*(1-L46-L47-L48-L49-L50))</f>
        <v>42.248899999999999</v>
      </c>
    </row>
    <row r="51" spans="1:27" ht="16.5" thickTop="1" thickBot="1" x14ac:dyDescent="0.3">
      <c r="K51" s="53" t="s">
        <v>20</v>
      </c>
      <c r="L51" s="12" t="s">
        <v>21</v>
      </c>
      <c r="M51" s="41">
        <v>29.12</v>
      </c>
    </row>
    <row r="52" spans="1:27" ht="17.25" thickTop="1" thickBot="1" x14ac:dyDescent="0.3">
      <c r="A52" s="2" t="s">
        <v>72</v>
      </c>
      <c r="B52" s="3"/>
      <c r="E52" s="55" t="s">
        <v>73</v>
      </c>
      <c r="F52" s="3"/>
      <c r="G52" s="35">
        <f>E6*(1-I6)</f>
        <v>3025.0000000000005</v>
      </c>
    </row>
    <row r="53" spans="1:27" ht="22.5" customHeight="1" thickTop="1" x14ac:dyDescent="0.25">
      <c r="A53" s="56"/>
      <c r="B53" s="3"/>
      <c r="D53" s="106" t="s">
        <v>74</v>
      </c>
      <c r="E53" s="106"/>
      <c r="F53" s="106"/>
      <c r="G53" s="106"/>
      <c r="H53" s="106"/>
      <c r="I53" s="106"/>
    </row>
    <row r="54" spans="1:27" ht="16.5" thickBot="1" x14ac:dyDescent="0.3">
      <c r="I54">
        <v>22.4</v>
      </c>
      <c r="K54" s="57" t="s">
        <v>75</v>
      </c>
      <c r="L54" s="57" t="s">
        <v>76</v>
      </c>
      <c r="M54" s="57" t="s">
        <v>77</v>
      </c>
    </row>
    <row r="55" spans="1:27" ht="17.25" thickTop="1" thickBot="1" x14ac:dyDescent="0.3">
      <c r="A55" s="42" t="s">
        <v>28</v>
      </c>
      <c r="B55" s="42" t="s">
        <v>29</v>
      </c>
      <c r="C55" s="42" t="s">
        <v>30</v>
      </c>
      <c r="D55" s="42" t="s">
        <v>31</v>
      </c>
      <c r="E55" s="42" t="s">
        <v>32</v>
      </c>
      <c r="F55" s="42" t="s">
        <v>33</v>
      </c>
      <c r="G55" s="42" t="s">
        <v>34</v>
      </c>
      <c r="H55" s="42" t="s">
        <v>35</v>
      </c>
      <c r="I55" s="42" t="s">
        <v>36</v>
      </c>
      <c r="J55" s="42" t="s">
        <v>37</v>
      </c>
      <c r="K55" s="42" t="s">
        <v>78</v>
      </c>
      <c r="L55" s="42" t="s">
        <v>79</v>
      </c>
      <c r="M55" s="42" t="s">
        <v>80</v>
      </c>
    </row>
    <row r="56" spans="1:27" ht="17.25" thickTop="1" thickBot="1" x14ac:dyDescent="0.3">
      <c r="A56" s="18" t="s">
        <v>8</v>
      </c>
      <c r="B56" s="19">
        <v>16</v>
      </c>
      <c r="C56" s="20">
        <f t="shared" ref="C56:C66" si="7">D56/22.4*B56</f>
        <v>2345.6517857142862</v>
      </c>
      <c r="D56" s="20">
        <f>G18+G52*E7</f>
        <v>3283.9125000000004</v>
      </c>
      <c r="E56" s="23">
        <f t="shared" ref="E56:E66" si="8">D56/$D$67</f>
        <v>0.13011713429583222</v>
      </c>
      <c r="F56" s="20">
        <f>G56/$I$54*B56</f>
        <v>0</v>
      </c>
      <c r="G56" s="20">
        <f>D56+J56</f>
        <v>0</v>
      </c>
      <c r="H56" s="23">
        <f t="shared" ref="H56:H66" si="9">G56/$G$67</f>
        <v>0</v>
      </c>
      <c r="I56" s="20">
        <f>J56/$I$54*B56</f>
        <v>-2345.6517857142862</v>
      </c>
      <c r="J56" s="20">
        <f>SUM(K56:M56)</f>
        <v>-3283.9125000000004</v>
      </c>
      <c r="K56" s="20">
        <v>-2108.4250000000002</v>
      </c>
      <c r="L56" s="20">
        <f>-D56-K56</f>
        <v>-1175.4875000000002</v>
      </c>
      <c r="M56" s="20">
        <v>0</v>
      </c>
      <c r="Q56" s="24"/>
      <c r="R56" s="24"/>
      <c r="S56" s="24"/>
      <c r="T56" s="24"/>
      <c r="U56" s="26"/>
      <c r="V56" s="24"/>
      <c r="W56" s="24"/>
      <c r="X56" s="24"/>
      <c r="Y56" s="24"/>
      <c r="Z56" s="24"/>
      <c r="AA56" s="24"/>
    </row>
    <row r="57" spans="1:27" ht="17.25" thickTop="1" thickBot="1" x14ac:dyDescent="0.3">
      <c r="A57" s="18" t="s">
        <v>12</v>
      </c>
      <c r="B57" s="19">
        <v>30</v>
      </c>
      <c r="C57" s="20">
        <f t="shared" si="7"/>
        <v>121.5401785714286</v>
      </c>
      <c r="D57" s="20">
        <f>G$52*E8</f>
        <v>90.750000000000014</v>
      </c>
      <c r="E57" s="23">
        <f t="shared" si="8"/>
        <v>3.5957504767093439E-3</v>
      </c>
      <c r="F57" s="20">
        <f t="shared" ref="F57:F66" si="10">G57/$I$54*B57</f>
        <v>0</v>
      </c>
      <c r="G57" s="20">
        <f t="shared" ref="G57:G66" si="11">D57+J57</f>
        <v>0</v>
      </c>
      <c r="H57" s="23">
        <f t="shared" si="9"/>
        <v>0</v>
      </c>
      <c r="I57" s="20">
        <f t="shared" ref="I57:I66" si="12">J57/$I$54*B57</f>
        <v>-121.5401785714286</v>
      </c>
      <c r="J57" s="20">
        <f t="shared" ref="J57:J66" si="13">SUM(K57:M57)</f>
        <v>-90.750000000000014</v>
      </c>
      <c r="K57" s="20">
        <f>-D57</f>
        <v>-90.750000000000014</v>
      </c>
      <c r="L57" s="20">
        <v>0</v>
      </c>
      <c r="M57" s="20">
        <v>0</v>
      </c>
      <c r="Q57" s="24"/>
      <c r="R57" s="24"/>
      <c r="S57" s="24"/>
      <c r="T57" s="24"/>
      <c r="U57" s="58"/>
      <c r="V57" s="24"/>
      <c r="W57" s="24"/>
      <c r="X57" s="24"/>
      <c r="Y57" s="24"/>
      <c r="Z57" s="24"/>
      <c r="AA57" s="24"/>
    </row>
    <row r="58" spans="1:27" ht="17.25" thickTop="1" thickBot="1" x14ac:dyDescent="0.3">
      <c r="A58" s="18" t="s">
        <v>14</v>
      </c>
      <c r="B58" s="19">
        <v>44</v>
      </c>
      <c r="C58" s="20">
        <f t="shared" si="7"/>
        <v>297.09821428571433</v>
      </c>
      <c r="D58" s="20">
        <f>G$52*E9</f>
        <v>151.25000000000003</v>
      </c>
      <c r="E58" s="23">
        <f t="shared" si="8"/>
        <v>5.9929174611822403E-3</v>
      </c>
      <c r="F58" s="20">
        <f t="shared" si="10"/>
        <v>0</v>
      </c>
      <c r="G58" s="20">
        <f t="shared" si="11"/>
        <v>0</v>
      </c>
      <c r="H58" s="23">
        <f t="shared" si="9"/>
        <v>0</v>
      </c>
      <c r="I58" s="20">
        <f t="shared" si="12"/>
        <v>-297.09821428571433</v>
      </c>
      <c r="J58" s="20">
        <f t="shared" si="13"/>
        <v>-151.25000000000003</v>
      </c>
      <c r="K58" s="20">
        <f>-D58</f>
        <v>-151.25000000000003</v>
      </c>
      <c r="L58" s="20">
        <v>0</v>
      </c>
      <c r="M58" s="20">
        <v>0</v>
      </c>
      <c r="Q58" s="24"/>
      <c r="R58" s="24"/>
      <c r="S58" s="24"/>
      <c r="T58" s="24"/>
      <c r="U58" s="58"/>
      <c r="V58" s="24"/>
      <c r="W58" s="24"/>
      <c r="X58" s="24"/>
      <c r="Y58" s="24"/>
      <c r="Z58" s="24"/>
      <c r="AA58" s="24"/>
    </row>
    <row r="59" spans="1:27" ht="17.25" thickTop="1" thickBot="1" x14ac:dyDescent="0.3">
      <c r="A59" s="18" t="s">
        <v>16</v>
      </c>
      <c r="B59" s="19">
        <v>58</v>
      </c>
      <c r="C59" s="20">
        <f t="shared" si="7"/>
        <v>469.95535714285722</v>
      </c>
      <c r="D59" s="20">
        <f>G$52*E10</f>
        <v>181.50000000000003</v>
      </c>
      <c r="E59" s="23">
        <f t="shared" si="8"/>
        <v>7.1915009534186877E-3</v>
      </c>
      <c r="F59" s="20">
        <f t="shared" si="10"/>
        <v>0</v>
      </c>
      <c r="G59" s="20">
        <f t="shared" si="11"/>
        <v>0</v>
      </c>
      <c r="H59" s="23">
        <f t="shared" si="9"/>
        <v>0</v>
      </c>
      <c r="I59" s="20">
        <f t="shared" si="12"/>
        <v>-469.95535714285722</v>
      </c>
      <c r="J59" s="20">
        <f t="shared" si="13"/>
        <v>-181.50000000000003</v>
      </c>
      <c r="K59" s="20">
        <f>-D59</f>
        <v>-181.50000000000003</v>
      </c>
      <c r="L59" s="20">
        <v>0</v>
      </c>
      <c r="M59" s="20">
        <v>0</v>
      </c>
      <c r="Q59" s="24"/>
      <c r="R59" s="24"/>
      <c r="S59" s="24"/>
      <c r="T59" s="24"/>
      <c r="U59" s="58"/>
      <c r="V59" s="24"/>
      <c r="W59" s="24"/>
      <c r="X59" s="24"/>
      <c r="Y59" s="24"/>
      <c r="Z59" s="24"/>
      <c r="AA59" s="24"/>
    </row>
    <row r="60" spans="1:27" ht="17.25" thickTop="1" thickBot="1" x14ac:dyDescent="0.3">
      <c r="A60" s="18" t="s">
        <v>18</v>
      </c>
      <c r="B60" s="19">
        <v>72</v>
      </c>
      <c r="C60" s="20">
        <f t="shared" si="7"/>
        <v>97.232142857142875</v>
      </c>
      <c r="D60" s="20">
        <f>G$52*E11</f>
        <v>30.250000000000004</v>
      </c>
      <c r="E60" s="23">
        <f t="shared" si="8"/>
        <v>1.198583492236448E-3</v>
      </c>
      <c r="F60" s="20">
        <f t="shared" si="10"/>
        <v>0</v>
      </c>
      <c r="G60" s="20">
        <f t="shared" si="11"/>
        <v>0</v>
      </c>
      <c r="H60" s="23">
        <f t="shared" si="9"/>
        <v>0</v>
      </c>
      <c r="I60" s="20">
        <f t="shared" si="12"/>
        <v>-97.232142857142875</v>
      </c>
      <c r="J60" s="20">
        <f t="shared" si="13"/>
        <v>-30.250000000000004</v>
      </c>
      <c r="K60" s="20">
        <f>-D60</f>
        <v>-30.250000000000004</v>
      </c>
      <c r="L60" s="20">
        <v>0</v>
      </c>
      <c r="M60" s="20">
        <v>0</v>
      </c>
      <c r="Q60" s="24"/>
      <c r="R60" s="24"/>
      <c r="S60" s="24"/>
      <c r="T60" s="24"/>
      <c r="U60" s="58"/>
      <c r="V60" s="24"/>
      <c r="W60" s="24"/>
      <c r="X60" s="24"/>
      <c r="Y60" s="24"/>
      <c r="Z60" s="24"/>
      <c r="AA60" s="24"/>
    </row>
    <row r="61" spans="1:27" ht="17.25" thickTop="1" thickBot="1" x14ac:dyDescent="0.35">
      <c r="A61" s="19" t="s">
        <v>81</v>
      </c>
      <c r="B61" s="19">
        <v>16</v>
      </c>
      <c r="C61" s="20">
        <f t="shared" si="7"/>
        <v>0</v>
      </c>
      <c r="D61" s="20">
        <f>G23</f>
        <v>0</v>
      </c>
      <c r="E61" s="23">
        <f t="shared" si="8"/>
        <v>0</v>
      </c>
      <c r="F61" s="20">
        <f t="shared" si="10"/>
        <v>0</v>
      </c>
      <c r="G61" s="20">
        <f t="shared" si="11"/>
        <v>0</v>
      </c>
      <c r="H61" s="23">
        <f t="shared" si="9"/>
        <v>0</v>
      </c>
      <c r="I61" s="20">
        <f t="shared" si="12"/>
        <v>0</v>
      </c>
      <c r="J61" s="20">
        <f t="shared" si="13"/>
        <v>0</v>
      </c>
      <c r="K61" s="20">
        <v>0</v>
      </c>
      <c r="L61" s="20">
        <v>0</v>
      </c>
      <c r="M61" s="20">
        <v>0</v>
      </c>
      <c r="Q61" s="24"/>
      <c r="R61" s="58"/>
      <c r="S61" s="24"/>
      <c r="T61" s="24"/>
      <c r="U61" s="58"/>
      <c r="V61" s="24"/>
      <c r="W61" s="24"/>
      <c r="X61" s="24"/>
      <c r="Y61" s="24"/>
      <c r="Z61" s="24"/>
      <c r="AA61" s="24"/>
    </row>
    <row r="62" spans="1:27" ht="17.25" thickTop="1" thickBot="1" x14ac:dyDescent="0.35">
      <c r="A62" s="19" t="s">
        <v>41</v>
      </c>
      <c r="B62" s="19">
        <v>44</v>
      </c>
      <c r="C62" s="20">
        <f t="shared" si="7"/>
        <v>4407.0468750000009</v>
      </c>
      <c r="D62" s="20">
        <f>G24</f>
        <v>2243.5875000000001</v>
      </c>
      <c r="E62" s="23">
        <f t="shared" si="8"/>
        <v>8.8896758376464186E-2</v>
      </c>
      <c r="F62" s="20">
        <f t="shared" si="10"/>
        <v>2098.0535714285716</v>
      </c>
      <c r="G62" s="20">
        <f t="shared" si="11"/>
        <v>1068.0999999999999</v>
      </c>
      <c r="H62" s="23">
        <f t="shared" si="9"/>
        <v>3.0665256043834577E-2</v>
      </c>
      <c r="I62" s="20">
        <f t="shared" si="12"/>
        <v>-2308.9933035714294</v>
      </c>
      <c r="J62" s="20">
        <f t="shared" si="13"/>
        <v>-1175.4875000000002</v>
      </c>
      <c r="K62" s="20">
        <v>0</v>
      </c>
      <c r="L62" s="20">
        <f>L56</f>
        <v>-1175.4875000000002</v>
      </c>
      <c r="M62" s="20">
        <v>0</v>
      </c>
      <c r="Q62" s="24"/>
      <c r="R62" s="24"/>
      <c r="S62" s="24"/>
      <c r="T62" s="24"/>
      <c r="U62" s="58"/>
      <c r="V62" s="24"/>
      <c r="W62" s="24"/>
      <c r="X62" s="24"/>
      <c r="Y62" s="24"/>
      <c r="Z62" s="24"/>
      <c r="AA62" s="24"/>
    </row>
    <row r="63" spans="1:27" ht="17.25" thickTop="1" thickBot="1" x14ac:dyDescent="0.35">
      <c r="A63" s="19" t="s">
        <v>43</v>
      </c>
      <c r="B63" s="19">
        <v>18</v>
      </c>
      <c r="C63" s="20">
        <f t="shared" si="7"/>
        <v>2909.6718750000005</v>
      </c>
      <c r="D63" s="20">
        <f>G25</f>
        <v>3620.9250000000002</v>
      </c>
      <c r="E63" s="23">
        <f t="shared" si="8"/>
        <v>0.1434704440207028</v>
      </c>
      <c r="F63" s="20">
        <f t="shared" si="10"/>
        <v>0</v>
      </c>
      <c r="G63" s="20">
        <f t="shared" si="11"/>
        <v>0</v>
      </c>
      <c r="H63" s="23">
        <f t="shared" si="9"/>
        <v>0</v>
      </c>
      <c r="I63" s="20">
        <f t="shared" si="12"/>
        <v>-2909.6718750000005</v>
      </c>
      <c r="J63" s="20">
        <f t="shared" si="13"/>
        <v>-3620.9250000000002</v>
      </c>
      <c r="K63" s="20">
        <f>K60*5+K59*4+K58*3+K57*2+K56</f>
        <v>-3620.9250000000002</v>
      </c>
      <c r="L63" s="20">
        <v>0</v>
      </c>
      <c r="M63" s="20">
        <v>0</v>
      </c>
      <c r="Q63" s="24"/>
      <c r="R63" s="24"/>
      <c r="S63" s="24"/>
      <c r="T63" s="24"/>
      <c r="U63" s="58"/>
      <c r="V63" s="24"/>
      <c r="W63" s="24"/>
      <c r="X63" s="24"/>
      <c r="Y63" s="24"/>
      <c r="AA63" s="24"/>
    </row>
    <row r="64" spans="1:27" ht="16.5" thickTop="1" thickBot="1" x14ac:dyDescent="0.3">
      <c r="A64" s="19" t="s">
        <v>82</v>
      </c>
      <c r="B64" s="19">
        <v>28</v>
      </c>
      <c r="C64" s="20">
        <f t="shared" si="7"/>
        <v>0</v>
      </c>
      <c r="D64" s="20">
        <v>0</v>
      </c>
      <c r="E64" s="23">
        <f t="shared" si="8"/>
        <v>0</v>
      </c>
      <c r="F64" s="20">
        <f t="shared" si="10"/>
        <v>7464.8750000000009</v>
      </c>
      <c r="G64" s="20">
        <f t="shared" si="11"/>
        <v>5971.9000000000005</v>
      </c>
      <c r="H64" s="23">
        <f t="shared" si="9"/>
        <v>0.17145383631511632</v>
      </c>
      <c r="I64" s="20">
        <f t="shared" si="12"/>
        <v>7464.8750000000009</v>
      </c>
      <c r="J64" s="20">
        <f t="shared" si="13"/>
        <v>5971.9000000000005</v>
      </c>
      <c r="K64" s="20">
        <f>-K60*5-K59*4-K58*3-K57*2-K56</f>
        <v>3620.9250000000002</v>
      </c>
      <c r="L64" s="20">
        <f>-L56*2</f>
        <v>2350.9750000000004</v>
      </c>
      <c r="M64" s="20">
        <v>0</v>
      </c>
      <c r="Q64" s="24"/>
      <c r="R64" s="24"/>
      <c r="S64" s="24"/>
      <c r="T64" s="24"/>
      <c r="U64" s="58"/>
      <c r="V64" s="24"/>
      <c r="W64" s="24"/>
      <c r="X64" s="24"/>
      <c r="Y64" s="24"/>
      <c r="Z64" s="24"/>
      <c r="AA64" s="24"/>
    </row>
    <row r="65" spans="1:27" ht="17.25" thickTop="1" thickBot="1" x14ac:dyDescent="0.35">
      <c r="A65" s="19" t="s">
        <v>83</v>
      </c>
      <c r="B65" s="19">
        <v>2</v>
      </c>
      <c r="C65" s="20">
        <f t="shared" si="7"/>
        <v>0</v>
      </c>
      <c r="D65" s="20">
        <f>0</f>
        <v>0</v>
      </c>
      <c r="E65" s="23">
        <f t="shared" si="8"/>
        <v>0</v>
      </c>
      <c r="F65" s="20">
        <f t="shared" si="10"/>
        <v>1085.2678571428573</v>
      </c>
      <c r="G65" s="20">
        <f t="shared" si="11"/>
        <v>12155.000000000002</v>
      </c>
      <c r="H65" s="23">
        <f t="shared" si="9"/>
        <v>0.34897124540100122</v>
      </c>
      <c r="I65" s="20">
        <f t="shared" si="12"/>
        <v>1085.2678571428573</v>
      </c>
      <c r="J65" s="20">
        <f t="shared" si="13"/>
        <v>12155.000000000002</v>
      </c>
      <c r="K65" s="20">
        <f>-K60*11-K59*9-K58*7-K57*5-K56*3</f>
        <v>9804.0250000000015</v>
      </c>
      <c r="L65" s="20">
        <f>-L56*2</f>
        <v>2350.9750000000004</v>
      </c>
      <c r="M65" s="20">
        <v>0</v>
      </c>
      <c r="Q65" s="24"/>
      <c r="R65" s="24"/>
      <c r="S65" s="24"/>
      <c r="T65" s="24"/>
      <c r="U65" s="58"/>
      <c r="V65" s="24"/>
      <c r="W65" s="24"/>
      <c r="X65" s="24"/>
      <c r="Y65" s="24"/>
      <c r="Z65" s="24"/>
      <c r="AA65" s="24"/>
    </row>
    <row r="66" spans="1:27" ht="17.25" thickTop="1" thickBot="1" x14ac:dyDescent="0.35">
      <c r="A66" s="19" t="s">
        <v>45</v>
      </c>
      <c r="B66" s="19">
        <v>28</v>
      </c>
      <c r="C66" s="20">
        <f t="shared" si="7"/>
        <v>19544.937500000004</v>
      </c>
      <c r="D66" s="20">
        <f>G52*(1-E7-E8-E9-E10-E11)+D26</f>
        <v>15635.95</v>
      </c>
      <c r="E66" s="23">
        <f t="shared" si="8"/>
        <v>0.61953691092345409</v>
      </c>
      <c r="F66" s="20">
        <f t="shared" si="10"/>
        <v>19544.937500000004</v>
      </c>
      <c r="G66" s="20">
        <f t="shared" si="11"/>
        <v>15635.95</v>
      </c>
      <c r="H66" s="23">
        <f t="shared" si="9"/>
        <v>0.44890966224004808</v>
      </c>
      <c r="I66" s="20">
        <f t="shared" si="12"/>
        <v>0</v>
      </c>
      <c r="J66" s="20">
        <f t="shared" si="13"/>
        <v>0</v>
      </c>
      <c r="K66" s="20">
        <v>0</v>
      </c>
      <c r="L66" s="20">
        <v>0</v>
      </c>
      <c r="M66" s="20">
        <v>0</v>
      </c>
      <c r="Q66" s="24"/>
      <c r="R66" s="24"/>
      <c r="S66" s="24"/>
      <c r="T66" s="24"/>
      <c r="U66" s="58"/>
      <c r="V66" s="24"/>
      <c r="W66" s="24"/>
      <c r="X66" s="24"/>
      <c r="Y66" s="24"/>
      <c r="Z66" s="24"/>
      <c r="AA66" s="24"/>
    </row>
    <row r="67" spans="1:27" ht="16.5" thickTop="1" thickBot="1" x14ac:dyDescent="0.3">
      <c r="A67" s="27" t="s">
        <v>46</v>
      </c>
      <c r="B67" s="19"/>
      <c r="C67" s="20">
        <f t="shared" ref="C67:J67" si="14">SUM(C56:C66)</f>
        <v>30193.133928571435</v>
      </c>
      <c r="D67" s="20">
        <f t="shared" si="14"/>
        <v>25238.125</v>
      </c>
      <c r="E67" s="23">
        <f t="shared" si="14"/>
        <v>1</v>
      </c>
      <c r="F67" s="20">
        <f t="shared" si="14"/>
        <v>30193.133928571435</v>
      </c>
      <c r="G67" s="20">
        <f t="shared" si="14"/>
        <v>34830.949999999997</v>
      </c>
      <c r="H67" s="23">
        <f t="shared" si="14"/>
        <v>1.0000000000000002</v>
      </c>
      <c r="I67" s="20">
        <f t="shared" si="14"/>
        <v>-4.5474735088646412E-13</v>
      </c>
      <c r="J67" s="20">
        <f t="shared" si="14"/>
        <v>9592.8250000000007</v>
      </c>
      <c r="K67" s="20">
        <f>SUM(K56:K66)</f>
        <v>7241.8500000000013</v>
      </c>
      <c r="L67" s="20">
        <f>SUM(L56:L66)</f>
        <v>2350.9750000000004</v>
      </c>
      <c r="M67" s="20">
        <f>SUM(M56:M66)</f>
        <v>0</v>
      </c>
      <c r="Q67" s="26"/>
      <c r="R67" s="24"/>
      <c r="S67" s="24"/>
      <c r="T67" s="26"/>
      <c r="U67" s="58"/>
      <c r="V67" s="24"/>
      <c r="W67" s="24"/>
      <c r="X67" s="24"/>
      <c r="Y67" s="24"/>
      <c r="Z67" s="24"/>
      <c r="AA67" s="24"/>
    </row>
    <row r="68" spans="1:27" ht="16.5" thickTop="1" thickBot="1" x14ac:dyDescent="0.3">
      <c r="C68" s="24"/>
      <c r="D68" s="24"/>
    </row>
    <row r="69" spans="1:27" ht="19.5" thickTop="1" thickBot="1" x14ac:dyDescent="0.3">
      <c r="G69" s="59" t="s">
        <v>84</v>
      </c>
      <c r="H69" s="60"/>
      <c r="I69" s="61">
        <f>G65/G64</f>
        <v>2.0353656290292874</v>
      </c>
    </row>
    <row r="70" spans="1:27" ht="16.5" thickTop="1" thickBot="1" x14ac:dyDescent="0.3">
      <c r="B70" s="12" t="s">
        <v>85</v>
      </c>
      <c r="C70" s="62"/>
      <c r="D70" s="63">
        <v>5</v>
      </c>
      <c r="H70" s="55"/>
    </row>
    <row r="71" spans="1:27" ht="17.25" thickTop="1" thickBot="1" x14ac:dyDescent="0.3">
      <c r="A71" s="57" t="s">
        <v>75</v>
      </c>
      <c r="B71" s="12" t="s">
        <v>86</v>
      </c>
      <c r="C71" s="62"/>
      <c r="D71" s="63">
        <v>4</v>
      </c>
      <c r="K71" s="39"/>
    </row>
    <row r="72" spans="1:27" ht="17.25" thickTop="1" thickBot="1" x14ac:dyDescent="0.3">
      <c r="A72" s="57"/>
      <c r="B72" s="12" t="s">
        <v>87</v>
      </c>
      <c r="C72" s="62"/>
      <c r="D72" s="63">
        <v>3</v>
      </c>
      <c r="I72" s="39"/>
    </row>
    <row r="73" spans="1:27" ht="17.25" thickTop="1" thickBot="1" x14ac:dyDescent="0.3">
      <c r="A73" s="57"/>
      <c r="B73" s="12" t="s">
        <v>88</v>
      </c>
      <c r="C73" s="62"/>
      <c r="D73" s="63">
        <v>2</v>
      </c>
      <c r="S73" s="24"/>
    </row>
    <row r="74" spans="1:27" ht="17.25" thickTop="1" thickBot="1" x14ac:dyDescent="0.3">
      <c r="A74" s="57"/>
      <c r="B74" s="12" t="s">
        <v>89</v>
      </c>
      <c r="C74" s="62"/>
      <c r="D74" s="63">
        <v>1</v>
      </c>
    </row>
    <row r="75" spans="1:27" ht="17.25" thickTop="1" thickBot="1" x14ac:dyDescent="0.3">
      <c r="A75" s="57"/>
      <c r="B75" s="12"/>
      <c r="C75" s="62"/>
      <c r="D75" s="63"/>
      <c r="K75" s="39"/>
    </row>
    <row r="76" spans="1:27" ht="17.25" thickTop="1" thickBot="1" x14ac:dyDescent="0.3">
      <c r="A76" s="57"/>
      <c r="B76" s="12" t="s">
        <v>90</v>
      </c>
      <c r="C76" s="12"/>
      <c r="D76" s="63">
        <v>6</v>
      </c>
      <c r="H76" s="24"/>
      <c r="L76" s="39"/>
    </row>
    <row r="77" spans="1:27" ht="17.25" thickTop="1" thickBot="1" x14ac:dyDescent="0.3">
      <c r="A77" s="57" t="s">
        <v>76</v>
      </c>
      <c r="B77" s="64" t="s">
        <v>91</v>
      </c>
      <c r="C77" s="12"/>
      <c r="D77" s="65"/>
      <c r="K77" s="24"/>
      <c r="M77" s="24"/>
    </row>
    <row r="78" spans="1:27" ht="17.25" thickTop="1" thickBot="1" x14ac:dyDescent="0.3">
      <c r="A78" s="57"/>
      <c r="B78" s="64" t="s">
        <v>92</v>
      </c>
      <c r="C78" s="12"/>
      <c r="D78" s="65"/>
      <c r="L78" s="24"/>
      <c r="M78" s="24"/>
    </row>
    <row r="79" spans="1:27" ht="17.25" thickTop="1" thickBot="1" x14ac:dyDescent="0.3">
      <c r="A79" s="57"/>
      <c r="B79" s="64" t="s">
        <v>93</v>
      </c>
      <c r="C79" s="12"/>
      <c r="D79" s="65"/>
    </row>
    <row r="80" spans="1:27" ht="17.25" thickTop="1" thickBot="1" x14ac:dyDescent="0.3">
      <c r="A80" s="57"/>
      <c r="B80" s="64" t="s">
        <v>94</v>
      </c>
      <c r="C80" s="12"/>
      <c r="D80" s="66"/>
      <c r="K80" s="24"/>
      <c r="M80" s="24"/>
    </row>
    <row r="81" spans="1:24" ht="17.25" thickTop="1" thickBot="1" x14ac:dyDescent="0.3">
      <c r="A81" s="57"/>
      <c r="B81" s="64"/>
      <c r="C81" s="12"/>
      <c r="D81" s="67"/>
    </row>
    <row r="82" spans="1:24" ht="17.25" thickTop="1" thickBot="1" x14ac:dyDescent="0.3">
      <c r="A82" s="57"/>
      <c r="B82" s="64" t="s">
        <v>95</v>
      </c>
      <c r="C82" s="12"/>
      <c r="D82" s="67"/>
    </row>
    <row r="83" spans="1:24" ht="17.25" thickTop="1" thickBot="1" x14ac:dyDescent="0.3">
      <c r="A83" s="57" t="s">
        <v>77</v>
      </c>
      <c r="B83" s="64" t="s">
        <v>96</v>
      </c>
      <c r="C83" s="12"/>
      <c r="D83" s="67"/>
    </row>
    <row r="84" spans="1:24" ht="17.25" thickTop="1" thickBot="1" x14ac:dyDescent="0.3">
      <c r="A84" s="57"/>
      <c r="B84" s="64" t="s">
        <v>97</v>
      </c>
      <c r="C84" s="12"/>
      <c r="D84" s="6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6.5" thickTop="1" thickBot="1" x14ac:dyDescent="0.3">
      <c r="B85" s="64" t="s">
        <v>98</v>
      </c>
      <c r="C85" s="12"/>
      <c r="D85" s="6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6.5" thickTop="1" thickBot="1" x14ac:dyDescent="0.3">
      <c r="B86" s="64" t="s">
        <v>99</v>
      </c>
      <c r="C86" s="62"/>
      <c r="D86" s="6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thickTop="1" x14ac:dyDescent="0.25"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B88" s="69"/>
      <c r="C88" s="70"/>
      <c r="D88" s="70"/>
      <c r="F88" s="107" t="s">
        <v>100</v>
      </c>
      <c r="G88" s="107"/>
      <c r="H88" s="107"/>
      <c r="I88" s="107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thickBot="1" x14ac:dyDescent="0.3">
      <c r="B89" s="37" t="s">
        <v>101</v>
      </c>
      <c r="C89" s="38" t="s">
        <v>49</v>
      </c>
      <c r="D89" s="70"/>
      <c r="F89" s="71"/>
      <c r="I89" s="72"/>
      <c r="J89" s="72"/>
      <c r="K89" s="72"/>
      <c r="L89" s="72"/>
      <c r="M89" s="72"/>
      <c r="N89" s="69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0.25" thickTop="1" thickBot="1" x14ac:dyDescent="0.4">
      <c r="A90" s="73" t="s">
        <v>28</v>
      </c>
      <c r="B90" s="73" t="s">
        <v>50</v>
      </c>
      <c r="C90" s="73" t="s">
        <v>51</v>
      </c>
      <c r="D90">
        <v>11</v>
      </c>
      <c r="E90" s="74" t="s">
        <v>85</v>
      </c>
      <c r="F90" s="75"/>
      <c r="H90" s="76" t="s">
        <v>102</v>
      </c>
      <c r="I90" s="76" t="s">
        <v>103</v>
      </c>
      <c r="J90" s="76" t="s">
        <v>104</v>
      </c>
      <c r="K90" s="76" t="s">
        <v>105</v>
      </c>
      <c r="L90" s="76" t="s">
        <v>106</v>
      </c>
      <c r="M90" s="76" t="s">
        <v>107</v>
      </c>
    </row>
    <row r="91" spans="1:24" ht="17.25" thickTop="1" thickBot="1" x14ac:dyDescent="0.3">
      <c r="A91" s="18" t="s">
        <v>8</v>
      </c>
      <c r="B91" s="23">
        <v>35.700000000000003</v>
      </c>
      <c r="C91" s="23">
        <v>-74.599999999999994</v>
      </c>
      <c r="D91">
        <v>12</v>
      </c>
      <c r="E91" s="77" t="s">
        <v>86</v>
      </c>
      <c r="F91" s="78"/>
      <c r="H91" s="20">
        <f>H36</f>
        <v>23321596.76478795</v>
      </c>
      <c r="I91" s="20">
        <f>E6*(1-I6)/D13*N50*20*1000/3600</f>
        <v>31697.153397817463</v>
      </c>
      <c r="J91" s="20">
        <f>(K60/D13*C108+K59/D13*C107+K58/D13*C106+K57/D13*C105+K56/D13*C104)*1000/3600*1000</f>
        <v>-8473473.6483134944</v>
      </c>
      <c r="K91" s="20">
        <f>L56/D13*C109*1000/3600*1000</f>
        <v>-3601242.3967633937</v>
      </c>
      <c r="L91" s="20">
        <f>0</f>
        <v>0</v>
      </c>
      <c r="M91" s="20">
        <f>H91+I91+J91+K91+L91</f>
        <v>11278577.873108879</v>
      </c>
      <c r="N91" s="79"/>
    </row>
    <row r="92" spans="1:24" ht="17.25" thickTop="1" thickBot="1" x14ac:dyDescent="0.3">
      <c r="A92" s="18" t="s">
        <v>12</v>
      </c>
      <c r="B92" s="23">
        <v>52.49</v>
      </c>
      <c r="C92" s="23">
        <v>-84</v>
      </c>
      <c r="D92">
        <v>13</v>
      </c>
      <c r="E92" s="77" t="s">
        <v>87</v>
      </c>
      <c r="F92" s="78"/>
    </row>
    <row r="93" spans="1:24" ht="17.25" thickTop="1" thickBot="1" x14ac:dyDescent="0.3">
      <c r="A93" s="18" t="s">
        <v>14</v>
      </c>
      <c r="B93" s="23">
        <v>73.599999999999994</v>
      </c>
      <c r="C93" s="23">
        <v>-103.85</v>
      </c>
      <c r="D93">
        <v>14</v>
      </c>
      <c r="E93" s="77" t="s">
        <v>88</v>
      </c>
      <c r="F93" s="78"/>
    </row>
    <row r="94" spans="1:24" ht="19.5" thickTop="1" thickBot="1" x14ac:dyDescent="0.3">
      <c r="A94" s="18" t="s">
        <v>16</v>
      </c>
      <c r="B94" s="23">
        <v>98.49</v>
      </c>
      <c r="C94" s="23">
        <v>-125.77</v>
      </c>
      <c r="D94">
        <v>15</v>
      </c>
      <c r="E94" s="77" t="s">
        <v>89</v>
      </c>
      <c r="F94" s="78"/>
      <c r="H94" s="80" t="s">
        <v>108</v>
      </c>
      <c r="I94" s="81">
        <f>M91/(G67/D13*1000/3600*B103)</f>
        <v>892.05637513213242</v>
      </c>
      <c r="J94" s="82" t="s">
        <v>109</v>
      </c>
    </row>
    <row r="95" spans="1:24" ht="17.25" thickTop="1" thickBot="1" x14ac:dyDescent="0.3">
      <c r="A95" s="18" t="s">
        <v>18</v>
      </c>
      <c r="B95" s="23">
        <v>120.04</v>
      </c>
      <c r="C95" s="23">
        <v>-146.36000000000001</v>
      </c>
      <c r="E95" s="77"/>
      <c r="F95" s="78"/>
    </row>
    <row r="96" spans="1:24" ht="17.25" thickTop="1" thickBot="1" x14ac:dyDescent="0.35">
      <c r="A96" s="19" t="s">
        <v>81</v>
      </c>
      <c r="B96" s="23">
        <v>29.38</v>
      </c>
      <c r="C96" s="23">
        <v>0</v>
      </c>
      <c r="D96">
        <v>21</v>
      </c>
      <c r="E96" s="77" t="s">
        <v>90</v>
      </c>
      <c r="F96" s="78"/>
    </row>
    <row r="97" spans="1:8" ht="17.25" thickTop="1" thickBot="1" x14ac:dyDescent="0.35">
      <c r="A97" s="19" t="s">
        <v>41</v>
      </c>
      <c r="B97" s="23">
        <v>37.14</v>
      </c>
      <c r="C97" s="23">
        <v>-393.51</v>
      </c>
      <c r="D97">
        <v>22</v>
      </c>
      <c r="E97" s="83" t="s">
        <v>91</v>
      </c>
      <c r="F97" s="84"/>
    </row>
    <row r="98" spans="1:8" ht="17.25" thickTop="1" thickBot="1" x14ac:dyDescent="0.35">
      <c r="A98" s="19" t="s">
        <v>43</v>
      </c>
      <c r="B98" s="23">
        <v>33.6</v>
      </c>
      <c r="C98" s="23">
        <v>-241.83</v>
      </c>
      <c r="D98">
        <v>23</v>
      </c>
      <c r="E98" s="83" t="s">
        <v>92</v>
      </c>
      <c r="F98" s="84"/>
    </row>
    <row r="99" spans="1:8" ht="16.5" thickTop="1" thickBot="1" x14ac:dyDescent="0.3">
      <c r="A99" s="19" t="s">
        <v>82</v>
      </c>
      <c r="B99" s="23">
        <v>29.14</v>
      </c>
      <c r="C99" s="23">
        <v>-110.53</v>
      </c>
      <c r="D99">
        <v>24</v>
      </c>
      <c r="E99" s="83" t="s">
        <v>93</v>
      </c>
      <c r="F99" s="84"/>
      <c r="H99" s="85"/>
    </row>
    <row r="100" spans="1:8" ht="17.25" thickTop="1" thickBot="1" x14ac:dyDescent="0.35">
      <c r="A100" s="19" t="s">
        <v>83</v>
      </c>
      <c r="B100" s="23">
        <v>28.84</v>
      </c>
      <c r="C100" s="23">
        <v>0</v>
      </c>
      <c r="D100">
        <v>25</v>
      </c>
      <c r="E100" s="83" t="s">
        <v>94</v>
      </c>
      <c r="F100" s="84"/>
      <c r="H100" s="85"/>
    </row>
    <row r="101" spans="1:8" ht="17.25" thickTop="1" thickBot="1" x14ac:dyDescent="0.35">
      <c r="A101" s="86" t="s">
        <v>45</v>
      </c>
      <c r="B101" s="87">
        <v>29.12</v>
      </c>
      <c r="C101" s="23"/>
      <c r="E101" s="83"/>
      <c r="F101" s="84"/>
      <c r="H101" s="85"/>
    </row>
    <row r="102" spans="1:8" ht="20.25" thickTop="1" thickBot="1" x14ac:dyDescent="0.3">
      <c r="A102" s="88" t="s">
        <v>110</v>
      </c>
      <c r="B102" s="89">
        <f>B91*E56+B92*E57+B93*E58+B94*E59+B95*E60+B96*E61+B97*E62+B98*E63+B99*E64+B100*E65+B101*E66</f>
        <v>32.290317624625445</v>
      </c>
      <c r="C102" s="90"/>
      <c r="D102">
        <v>31</v>
      </c>
      <c r="E102" s="83" t="s">
        <v>95</v>
      </c>
      <c r="F102" s="84"/>
      <c r="H102" s="85"/>
    </row>
    <row r="103" spans="1:8" ht="20.25" thickTop="1" thickBot="1" x14ac:dyDescent="0.3">
      <c r="A103" s="88" t="s">
        <v>111</v>
      </c>
      <c r="B103" s="91">
        <f>B91*H56+B92*H57+B93*H58+B94*H59+B95*H60+B96*H61+B97*H62+B98*H63+B99*H64+B100*H65+B101*H66</f>
        <v>29.271652481485582</v>
      </c>
      <c r="C103" s="92"/>
      <c r="D103">
        <v>32</v>
      </c>
      <c r="E103" s="83" t="s">
        <v>96</v>
      </c>
      <c r="F103" s="84"/>
      <c r="H103" s="85"/>
    </row>
    <row r="104" spans="1:8" ht="17.25" thickTop="1" thickBot="1" x14ac:dyDescent="0.3">
      <c r="B104" s="93" t="s">
        <v>112</v>
      </c>
      <c r="C104" s="94">
        <f>C99-C91-C98</f>
        <v>205.9</v>
      </c>
      <c r="D104">
        <v>33</v>
      </c>
      <c r="E104" s="83" t="s">
        <v>97</v>
      </c>
      <c r="F104" s="84"/>
      <c r="H104" s="85"/>
    </row>
    <row r="105" spans="1:8" ht="17.25" thickTop="1" thickBot="1" x14ac:dyDescent="0.3">
      <c r="B105" s="95" t="s">
        <v>113</v>
      </c>
      <c r="C105" s="96">
        <f>2*C99-C92-2*C98</f>
        <v>346.6</v>
      </c>
      <c r="D105">
        <v>34</v>
      </c>
      <c r="E105" s="83" t="s">
        <v>98</v>
      </c>
      <c r="F105" s="84"/>
    </row>
    <row r="106" spans="1:8" ht="17.25" thickTop="1" thickBot="1" x14ac:dyDescent="0.3">
      <c r="B106" s="97" t="s">
        <v>114</v>
      </c>
      <c r="C106" s="47">
        <f>C99*3-C93-3*C98</f>
        <v>497.75</v>
      </c>
      <c r="D106">
        <v>35</v>
      </c>
      <c r="E106" s="98" t="s">
        <v>99</v>
      </c>
      <c r="F106" s="99"/>
    </row>
    <row r="107" spans="1:8" ht="17.25" thickTop="1" thickBot="1" x14ac:dyDescent="0.3">
      <c r="B107" s="97" t="s">
        <v>115</v>
      </c>
      <c r="C107" s="47">
        <f>C99*4-C94-C98*4</f>
        <v>650.97</v>
      </c>
    </row>
    <row r="108" spans="1:8" ht="17.25" thickTop="1" thickBot="1" x14ac:dyDescent="0.3">
      <c r="B108" s="97" t="s">
        <v>116</v>
      </c>
      <c r="C108" s="47">
        <f>C99*5-C95-C98*5</f>
        <v>802.86000000000013</v>
      </c>
    </row>
    <row r="109" spans="1:8" ht="17.25" thickTop="1" thickBot="1" x14ac:dyDescent="0.3">
      <c r="B109" s="97" t="s">
        <v>117</v>
      </c>
      <c r="C109" s="47">
        <f>2*C99-C91-C97</f>
        <v>247.04999999999998</v>
      </c>
      <c r="D109" t="s">
        <v>60</v>
      </c>
    </row>
    <row r="110" spans="1:8" ht="17.25" thickTop="1" thickBot="1" x14ac:dyDescent="0.3">
      <c r="B110" s="97" t="s">
        <v>118</v>
      </c>
      <c r="C110" s="47"/>
    </row>
    <row r="111" spans="1:8" ht="17.25" thickTop="1" thickBot="1" x14ac:dyDescent="0.3">
      <c r="B111" s="97" t="s">
        <v>119</v>
      </c>
      <c r="C111" s="47"/>
    </row>
    <row r="112" spans="1:8" ht="17.25" thickTop="1" thickBot="1" x14ac:dyDescent="0.3">
      <c r="B112" s="97" t="s">
        <v>120</v>
      </c>
      <c r="C112" s="47"/>
    </row>
    <row r="113" spans="2:3" ht="17.25" thickTop="1" thickBot="1" x14ac:dyDescent="0.3">
      <c r="B113" s="97" t="s">
        <v>121</v>
      </c>
      <c r="C113" s="47"/>
    </row>
    <row r="114" spans="2:3" ht="17.25" thickTop="1" thickBot="1" x14ac:dyDescent="0.3">
      <c r="B114" s="97" t="s">
        <v>122</v>
      </c>
      <c r="C114" s="47"/>
    </row>
    <row r="115" spans="2:3" ht="17.25" thickTop="1" thickBot="1" x14ac:dyDescent="0.3">
      <c r="B115" s="97" t="s">
        <v>123</v>
      </c>
      <c r="C115" s="47"/>
    </row>
    <row r="116" spans="2:3" ht="17.25" thickTop="1" thickBot="1" x14ac:dyDescent="0.3">
      <c r="B116" s="97" t="s">
        <v>124</v>
      </c>
      <c r="C116" s="47"/>
    </row>
    <row r="117" spans="2:3" ht="17.25" thickTop="1" thickBot="1" x14ac:dyDescent="0.3">
      <c r="B117" s="97" t="s">
        <v>125</v>
      </c>
      <c r="C117" s="47"/>
    </row>
    <row r="118" spans="2:3" ht="17.25" thickTop="1" thickBot="1" x14ac:dyDescent="0.3">
      <c r="B118" s="97" t="s">
        <v>126</v>
      </c>
      <c r="C118" s="47"/>
    </row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ACA9-5628-4EE3-B46B-FD81AD5093E4}">
  <dimension ref="A2:AA118"/>
  <sheetViews>
    <sheetView topLeftCell="A14" workbookViewId="0">
      <selection activeCell="C9" sqref="C9"/>
    </sheetView>
  </sheetViews>
  <sheetFormatPr defaultColWidth="11.5703125" defaultRowHeight="15" x14ac:dyDescent="0.25"/>
  <cols>
    <col min="1" max="1" width="13.140625" customWidth="1"/>
    <col min="4" max="4" width="15" customWidth="1"/>
    <col min="6" max="6" width="18.140625" customWidth="1"/>
    <col min="7" max="7" width="15.5703125" customWidth="1"/>
    <col min="8" max="8" width="18.5703125" customWidth="1"/>
    <col min="9" max="9" width="13.28515625" customWidth="1"/>
    <col min="13" max="13" width="16.42578125" customWidth="1"/>
    <col min="257" max="257" width="13.140625" customWidth="1"/>
    <col min="260" max="260" width="15" customWidth="1"/>
    <col min="262" max="262" width="18.140625" customWidth="1"/>
    <col min="263" max="263" width="15.5703125" customWidth="1"/>
    <col min="264" max="264" width="18.5703125" customWidth="1"/>
    <col min="265" max="265" width="13.28515625" customWidth="1"/>
    <col min="269" max="269" width="16.42578125" customWidth="1"/>
    <col min="513" max="513" width="13.140625" customWidth="1"/>
    <col min="516" max="516" width="15" customWidth="1"/>
    <col min="518" max="518" width="18.140625" customWidth="1"/>
    <col min="519" max="519" width="15.5703125" customWidth="1"/>
    <col min="520" max="520" width="18.5703125" customWidth="1"/>
    <col min="521" max="521" width="13.28515625" customWidth="1"/>
    <col min="525" max="525" width="16.42578125" customWidth="1"/>
    <col min="769" max="769" width="13.140625" customWidth="1"/>
    <col min="772" max="772" width="15" customWidth="1"/>
    <col min="774" max="774" width="18.140625" customWidth="1"/>
    <col min="775" max="775" width="15.5703125" customWidth="1"/>
    <col min="776" max="776" width="18.5703125" customWidth="1"/>
    <col min="777" max="777" width="13.28515625" customWidth="1"/>
    <col min="781" max="781" width="16.42578125" customWidth="1"/>
    <col min="1025" max="1025" width="13.140625" customWidth="1"/>
    <col min="1028" max="1028" width="15" customWidth="1"/>
    <col min="1030" max="1030" width="18.140625" customWidth="1"/>
    <col min="1031" max="1031" width="15.5703125" customWidth="1"/>
    <col min="1032" max="1032" width="18.5703125" customWidth="1"/>
    <col min="1033" max="1033" width="13.28515625" customWidth="1"/>
    <col min="1037" max="1037" width="16.42578125" customWidth="1"/>
    <col min="1281" max="1281" width="13.140625" customWidth="1"/>
    <col min="1284" max="1284" width="15" customWidth="1"/>
    <col min="1286" max="1286" width="18.140625" customWidth="1"/>
    <col min="1287" max="1287" width="15.5703125" customWidth="1"/>
    <col min="1288" max="1288" width="18.5703125" customWidth="1"/>
    <col min="1289" max="1289" width="13.28515625" customWidth="1"/>
    <col min="1293" max="1293" width="16.42578125" customWidth="1"/>
    <col min="1537" max="1537" width="13.140625" customWidth="1"/>
    <col min="1540" max="1540" width="15" customWidth="1"/>
    <col min="1542" max="1542" width="18.140625" customWidth="1"/>
    <col min="1543" max="1543" width="15.5703125" customWidth="1"/>
    <col min="1544" max="1544" width="18.5703125" customWidth="1"/>
    <col min="1545" max="1545" width="13.28515625" customWidth="1"/>
    <col min="1549" max="1549" width="16.42578125" customWidth="1"/>
    <col min="1793" max="1793" width="13.140625" customWidth="1"/>
    <col min="1796" max="1796" width="15" customWidth="1"/>
    <col min="1798" max="1798" width="18.140625" customWidth="1"/>
    <col min="1799" max="1799" width="15.5703125" customWidth="1"/>
    <col min="1800" max="1800" width="18.5703125" customWidth="1"/>
    <col min="1801" max="1801" width="13.28515625" customWidth="1"/>
    <col min="1805" max="1805" width="16.42578125" customWidth="1"/>
    <col min="2049" max="2049" width="13.140625" customWidth="1"/>
    <col min="2052" max="2052" width="15" customWidth="1"/>
    <col min="2054" max="2054" width="18.140625" customWidth="1"/>
    <col min="2055" max="2055" width="15.5703125" customWidth="1"/>
    <col min="2056" max="2056" width="18.5703125" customWidth="1"/>
    <col min="2057" max="2057" width="13.28515625" customWidth="1"/>
    <col min="2061" max="2061" width="16.42578125" customWidth="1"/>
    <col min="2305" max="2305" width="13.140625" customWidth="1"/>
    <col min="2308" max="2308" width="15" customWidth="1"/>
    <col min="2310" max="2310" width="18.140625" customWidth="1"/>
    <col min="2311" max="2311" width="15.5703125" customWidth="1"/>
    <col min="2312" max="2312" width="18.5703125" customWidth="1"/>
    <col min="2313" max="2313" width="13.28515625" customWidth="1"/>
    <col min="2317" max="2317" width="16.42578125" customWidth="1"/>
    <col min="2561" max="2561" width="13.140625" customWidth="1"/>
    <col min="2564" max="2564" width="15" customWidth="1"/>
    <col min="2566" max="2566" width="18.140625" customWidth="1"/>
    <col min="2567" max="2567" width="15.5703125" customWidth="1"/>
    <col min="2568" max="2568" width="18.5703125" customWidth="1"/>
    <col min="2569" max="2569" width="13.28515625" customWidth="1"/>
    <col min="2573" max="2573" width="16.42578125" customWidth="1"/>
    <col min="2817" max="2817" width="13.140625" customWidth="1"/>
    <col min="2820" max="2820" width="15" customWidth="1"/>
    <col min="2822" max="2822" width="18.140625" customWidth="1"/>
    <col min="2823" max="2823" width="15.5703125" customWidth="1"/>
    <col min="2824" max="2824" width="18.5703125" customWidth="1"/>
    <col min="2825" max="2825" width="13.28515625" customWidth="1"/>
    <col min="2829" max="2829" width="16.42578125" customWidth="1"/>
    <col min="3073" max="3073" width="13.140625" customWidth="1"/>
    <col min="3076" max="3076" width="15" customWidth="1"/>
    <col min="3078" max="3078" width="18.140625" customWidth="1"/>
    <col min="3079" max="3079" width="15.5703125" customWidth="1"/>
    <col min="3080" max="3080" width="18.5703125" customWidth="1"/>
    <col min="3081" max="3081" width="13.28515625" customWidth="1"/>
    <col min="3085" max="3085" width="16.42578125" customWidth="1"/>
    <col min="3329" max="3329" width="13.140625" customWidth="1"/>
    <col min="3332" max="3332" width="15" customWidth="1"/>
    <col min="3334" max="3334" width="18.140625" customWidth="1"/>
    <col min="3335" max="3335" width="15.5703125" customWidth="1"/>
    <col min="3336" max="3336" width="18.5703125" customWidth="1"/>
    <col min="3337" max="3337" width="13.28515625" customWidth="1"/>
    <col min="3341" max="3341" width="16.42578125" customWidth="1"/>
    <col min="3585" max="3585" width="13.140625" customWidth="1"/>
    <col min="3588" max="3588" width="15" customWidth="1"/>
    <col min="3590" max="3590" width="18.140625" customWidth="1"/>
    <col min="3591" max="3591" width="15.5703125" customWidth="1"/>
    <col min="3592" max="3592" width="18.5703125" customWidth="1"/>
    <col min="3593" max="3593" width="13.28515625" customWidth="1"/>
    <col min="3597" max="3597" width="16.42578125" customWidth="1"/>
    <col min="3841" max="3841" width="13.140625" customWidth="1"/>
    <col min="3844" max="3844" width="15" customWidth="1"/>
    <col min="3846" max="3846" width="18.140625" customWidth="1"/>
    <col min="3847" max="3847" width="15.5703125" customWidth="1"/>
    <col min="3848" max="3848" width="18.5703125" customWidth="1"/>
    <col min="3849" max="3849" width="13.28515625" customWidth="1"/>
    <col min="3853" max="3853" width="16.42578125" customWidth="1"/>
    <col min="4097" max="4097" width="13.140625" customWidth="1"/>
    <col min="4100" max="4100" width="15" customWidth="1"/>
    <col min="4102" max="4102" width="18.140625" customWidth="1"/>
    <col min="4103" max="4103" width="15.5703125" customWidth="1"/>
    <col min="4104" max="4104" width="18.5703125" customWidth="1"/>
    <col min="4105" max="4105" width="13.28515625" customWidth="1"/>
    <col min="4109" max="4109" width="16.42578125" customWidth="1"/>
    <col min="4353" max="4353" width="13.140625" customWidth="1"/>
    <col min="4356" max="4356" width="15" customWidth="1"/>
    <col min="4358" max="4358" width="18.140625" customWidth="1"/>
    <col min="4359" max="4359" width="15.5703125" customWidth="1"/>
    <col min="4360" max="4360" width="18.5703125" customWidth="1"/>
    <col min="4361" max="4361" width="13.28515625" customWidth="1"/>
    <col min="4365" max="4365" width="16.42578125" customWidth="1"/>
    <col min="4609" max="4609" width="13.140625" customWidth="1"/>
    <col min="4612" max="4612" width="15" customWidth="1"/>
    <col min="4614" max="4614" width="18.140625" customWidth="1"/>
    <col min="4615" max="4615" width="15.5703125" customWidth="1"/>
    <col min="4616" max="4616" width="18.5703125" customWidth="1"/>
    <col min="4617" max="4617" width="13.28515625" customWidth="1"/>
    <col min="4621" max="4621" width="16.42578125" customWidth="1"/>
    <col min="4865" max="4865" width="13.140625" customWidth="1"/>
    <col min="4868" max="4868" width="15" customWidth="1"/>
    <col min="4870" max="4870" width="18.140625" customWidth="1"/>
    <col min="4871" max="4871" width="15.5703125" customWidth="1"/>
    <col min="4872" max="4872" width="18.5703125" customWidth="1"/>
    <col min="4873" max="4873" width="13.28515625" customWidth="1"/>
    <col min="4877" max="4877" width="16.42578125" customWidth="1"/>
    <col min="5121" max="5121" width="13.140625" customWidth="1"/>
    <col min="5124" max="5124" width="15" customWidth="1"/>
    <col min="5126" max="5126" width="18.140625" customWidth="1"/>
    <col min="5127" max="5127" width="15.5703125" customWidth="1"/>
    <col min="5128" max="5128" width="18.5703125" customWidth="1"/>
    <col min="5129" max="5129" width="13.28515625" customWidth="1"/>
    <col min="5133" max="5133" width="16.42578125" customWidth="1"/>
    <col min="5377" max="5377" width="13.140625" customWidth="1"/>
    <col min="5380" max="5380" width="15" customWidth="1"/>
    <col min="5382" max="5382" width="18.140625" customWidth="1"/>
    <col min="5383" max="5383" width="15.5703125" customWidth="1"/>
    <col min="5384" max="5384" width="18.5703125" customWidth="1"/>
    <col min="5385" max="5385" width="13.28515625" customWidth="1"/>
    <col min="5389" max="5389" width="16.42578125" customWidth="1"/>
    <col min="5633" max="5633" width="13.140625" customWidth="1"/>
    <col min="5636" max="5636" width="15" customWidth="1"/>
    <col min="5638" max="5638" width="18.140625" customWidth="1"/>
    <col min="5639" max="5639" width="15.5703125" customWidth="1"/>
    <col min="5640" max="5640" width="18.5703125" customWidth="1"/>
    <col min="5641" max="5641" width="13.28515625" customWidth="1"/>
    <col min="5645" max="5645" width="16.42578125" customWidth="1"/>
    <col min="5889" max="5889" width="13.140625" customWidth="1"/>
    <col min="5892" max="5892" width="15" customWidth="1"/>
    <col min="5894" max="5894" width="18.140625" customWidth="1"/>
    <col min="5895" max="5895" width="15.5703125" customWidth="1"/>
    <col min="5896" max="5896" width="18.5703125" customWidth="1"/>
    <col min="5897" max="5897" width="13.28515625" customWidth="1"/>
    <col min="5901" max="5901" width="16.42578125" customWidth="1"/>
    <col min="6145" max="6145" width="13.140625" customWidth="1"/>
    <col min="6148" max="6148" width="15" customWidth="1"/>
    <col min="6150" max="6150" width="18.140625" customWidth="1"/>
    <col min="6151" max="6151" width="15.5703125" customWidth="1"/>
    <col min="6152" max="6152" width="18.5703125" customWidth="1"/>
    <col min="6153" max="6153" width="13.28515625" customWidth="1"/>
    <col min="6157" max="6157" width="16.42578125" customWidth="1"/>
    <col min="6401" max="6401" width="13.140625" customWidth="1"/>
    <col min="6404" max="6404" width="15" customWidth="1"/>
    <col min="6406" max="6406" width="18.140625" customWidth="1"/>
    <col min="6407" max="6407" width="15.5703125" customWidth="1"/>
    <col min="6408" max="6408" width="18.5703125" customWidth="1"/>
    <col min="6409" max="6409" width="13.28515625" customWidth="1"/>
    <col min="6413" max="6413" width="16.42578125" customWidth="1"/>
    <col min="6657" max="6657" width="13.140625" customWidth="1"/>
    <col min="6660" max="6660" width="15" customWidth="1"/>
    <col min="6662" max="6662" width="18.140625" customWidth="1"/>
    <col min="6663" max="6663" width="15.5703125" customWidth="1"/>
    <col min="6664" max="6664" width="18.5703125" customWidth="1"/>
    <col min="6665" max="6665" width="13.28515625" customWidth="1"/>
    <col min="6669" max="6669" width="16.42578125" customWidth="1"/>
    <col min="6913" max="6913" width="13.140625" customWidth="1"/>
    <col min="6916" max="6916" width="15" customWidth="1"/>
    <col min="6918" max="6918" width="18.140625" customWidth="1"/>
    <col min="6919" max="6919" width="15.5703125" customWidth="1"/>
    <col min="6920" max="6920" width="18.5703125" customWidth="1"/>
    <col min="6921" max="6921" width="13.28515625" customWidth="1"/>
    <col min="6925" max="6925" width="16.42578125" customWidth="1"/>
    <col min="7169" max="7169" width="13.140625" customWidth="1"/>
    <col min="7172" max="7172" width="15" customWidth="1"/>
    <col min="7174" max="7174" width="18.140625" customWidth="1"/>
    <col min="7175" max="7175" width="15.5703125" customWidth="1"/>
    <col min="7176" max="7176" width="18.5703125" customWidth="1"/>
    <col min="7177" max="7177" width="13.28515625" customWidth="1"/>
    <col min="7181" max="7181" width="16.42578125" customWidth="1"/>
    <col min="7425" max="7425" width="13.140625" customWidth="1"/>
    <col min="7428" max="7428" width="15" customWidth="1"/>
    <col min="7430" max="7430" width="18.140625" customWidth="1"/>
    <col min="7431" max="7431" width="15.5703125" customWidth="1"/>
    <col min="7432" max="7432" width="18.5703125" customWidth="1"/>
    <col min="7433" max="7433" width="13.28515625" customWidth="1"/>
    <col min="7437" max="7437" width="16.42578125" customWidth="1"/>
    <col min="7681" max="7681" width="13.140625" customWidth="1"/>
    <col min="7684" max="7684" width="15" customWidth="1"/>
    <col min="7686" max="7686" width="18.140625" customWidth="1"/>
    <col min="7687" max="7687" width="15.5703125" customWidth="1"/>
    <col min="7688" max="7688" width="18.5703125" customWidth="1"/>
    <col min="7689" max="7689" width="13.28515625" customWidth="1"/>
    <col min="7693" max="7693" width="16.42578125" customWidth="1"/>
    <col min="7937" max="7937" width="13.140625" customWidth="1"/>
    <col min="7940" max="7940" width="15" customWidth="1"/>
    <col min="7942" max="7942" width="18.140625" customWidth="1"/>
    <col min="7943" max="7943" width="15.5703125" customWidth="1"/>
    <col min="7944" max="7944" width="18.5703125" customWidth="1"/>
    <col min="7945" max="7945" width="13.28515625" customWidth="1"/>
    <col min="7949" max="7949" width="16.42578125" customWidth="1"/>
    <col min="8193" max="8193" width="13.140625" customWidth="1"/>
    <col min="8196" max="8196" width="15" customWidth="1"/>
    <col min="8198" max="8198" width="18.140625" customWidth="1"/>
    <col min="8199" max="8199" width="15.5703125" customWidth="1"/>
    <col min="8200" max="8200" width="18.5703125" customWidth="1"/>
    <col min="8201" max="8201" width="13.28515625" customWidth="1"/>
    <col min="8205" max="8205" width="16.42578125" customWidth="1"/>
    <col min="8449" max="8449" width="13.140625" customWidth="1"/>
    <col min="8452" max="8452" width="15" customWidth="1"/>
    <col min="8454" max="8454" width="18.140625" customWidth="1"/>
    <col min="8455" max="8455" width="15.5703125" customWidth="1"/>
    <col min="8456" max="8456" width="18.5703125" customWidth="1"/>
    <col min="8457" max="8457" width="13.28515625" customWidth="1"/>
    <col min="8461" max="8461" width="16.42578125" customWidth="1"/>
    <col min="8705" max="8705" width="13.140625" customWidth="1"/>
    <col min="8708" max="8708" width="15" customWidth="1"/>
    <col min="8710" max="8710" width="18.140625" customWidth="1"/>
    <col min="8711" max="8711" width="15.5703125" customWidth="1"/>
    <col min="8712" max="8712" width="18.5703125" customWidth="1"/>
    <col min="8713" max="8713" width="13.28515625" customWidth="1"/>
    <col min="8717" max="8717" width="16.42578125" customWidth="1"/>
    <col min="8961" max="8961" width="13.140625" customWidth="1"/>
    <col min="8964" max="8964" width="15" customWidth="1"/>
    <col min="8966" max="8966" width="18.140625" customWidth="1"/>
    <col min="8967" max="8967" width="15.5703125" customWidth="1"/>
    <col min="8968" max="8968" width="18.5703125" customWidth="1"/>
    <col min="8969" max="8969" width="13.28515625" customWidth="1"/>
    <col min="8973" max="8973" width="16.42578125" customWidth="1"/>
    <col min="9217" max="9217" width="13.140625" customWidth="1"/>
    <col min="9220" max="9220" width="15" customWidth="1"/>
    <col min="9222" max="9222" width="18.140625" customWidth="1"/>
    <col min="9223" max="9223" width="15.5703125" customWidth="1"/>
    <col min="9224" max="9224" width="18.5703125" customWidth="1"/>
    <col min="9225" max="9225" width="13.28515625" customWidth="1"/>
    <col min="9229" max="9229" width="16.42578125" customWidth="1"/>
    <col min="9473" max="9473" width="13.140625" customWidth="1"/>
    <col min="9476" max="9476" width="15" customWidth="1"/>
    <col min="9478" max="9478" width="18.140625" customWidth="1"/>
    <col min="9479" max="9479" width="15.5703125" customWidth="1"/>
    <col min="9480" max="9480" width="18.5703125" customWidth="1"/>
    <col min="9481" max="9481" width="13.28515625" customWidth="1"/>
    <col min="9485" max="9485" width="16.42578125" customWidth="1"/>
    <col min="9729" max="9729" width="13.140625" customWidth="1"/>
    <col min="9732" max="9732" width="15" customWidth="1"/>
    <col min="9734" max="9734" width="18.140625" customWidth="1"/>
    <col min="9735" max="9735" width="15.5703125" customWidth="1"/>
    <col min="9736" max="9736" width="18.5703125" customWidth="1"/>
    <col min="9737" max="9737" width="13.28515625" customWidth="1"/>
    <col min="9741" max="9741" width="16.42578125" customWidth="1"/>
    <col min="9985" max="9985" width="13.140625" customWidth="1"/>
    <col min="9988" max="9988" width="15" customWidth="1"/>
    <col min="9990" max="9990" width="18.140625" customWidth="1"/>
    <col min="9991" max="9991" width="15.5703125" customWidth="1"/>
    <col min="9992" max="9992" width="18.5703125" customWidth="1"/>
    <col min="9993" max="9993" width="13.28515625" customWidth="1"/>
    <col min="9997" max="9997" width="16.42578125" customWidth="1"/>
    <col min="10241" max="10241" width="13.140625" customWidth="1"/>
    <col min="10244" max="10244" width="15" customWidth="1"/>
    <col min="10246" max="10246" width="18.140625" customWidth="1"/>
    <col min="10247" max="10247" width="15.5703125" customWidth="1"/>
    <col min="10248" max="10248" width="18.5703125" customWidth="1"/>
    <col min="10249" max="10249" width="13.28515625" customWidth="1"/>
    <col min="10253" max="10253" width="16.42578125" customWidth="1"/>
    <col min="10497" max="10497" width="13.140625" customWidth="1"/>
    <col min="10500" max="10500" width="15" customWidth="1"/>
    <col min="10502" max="10502" width="18.140625" customWidth="1"/>
    <col min="10503" max="10503" width="15.5703125" customWidth="1"/>
    <col min="10504" max="10504" width="18.5703125" customWidth="1"/>
    <col min="10505" max="10505" width="13.28515625" customWidth="1"/>
    <col min="10509" max="10509" width="16.42578125" customWidth="1"/>
    <col min="10753" max="10753" width="13.140625" customWidth="1"/>
    <col min="10756" max="10756" width="15" customWidth="1"/>
    <col min="10758" max="10758" width="18.140625" customWidth="1"/>
    <col min="10759" max="10759" width="15.5703125" customWidth="1"/>
    <col min="10760" max="10760" width="18.5703125" customWidth="1"/>
    <col min="10761" max="10761" width="13.28515625" customWidth="1"/>
    <col min="10765" max="10765" width="16.42578125" customWidth="1"/>
    <col min="11009" max="11009" width="13.140625" customWidth="1"/>
    <col min="11012" max="11012" width="15" customWidth="1"/>
    <col min="11014" max="11014" width="18.140625" customWidth="1"/>
    <col min="11015" max="11015" width="15.5703125" customWidth="1"/>
    <col min="11016" max="11016" width="18.5703125" customWidth="1"/>
    <col min="11017" max="11017" width="13.28515625" customWidth="1"/>
    <col min="11021" max="11021" width="16.42578125" customWidth="1"/>
    <col min="11265" max="11265" width="13.140625" customWidth="1"/>
    <col min="11268" max="11268" width="15" customWidth="1"/>
    <col min="11270" max="11270" width="18.140625" customWidth="1"/>
    <col min="11271" max="11271" width="15.5703125" customWidth="1"/>
    <col min="11272" max="11272" width="18.5703125" customWidth="1"/>
    <col min="11273" max="11273" width="13.28515625" customWidth="1"/>
    <col min="11277" max="11277" width="16.42578125" customWidth="1"/>
    <col min="11521" max="11521" width="13.140625" customWidth="1"/>
    <col min="11524" max="11524" width="15" customWidth="1"/>
    <col min="11526" max="11526" width="18.140625" customWidth="1"/>
    <col min="11527" max="11527" width="15.5703125" customWidth="1"/>
    <col min="11528" max="11528" width="18.5703125" customWidth="1"/>
    <col min="11529" max="11529" width="13.28515625" customWidth="1"/>
    <col min="11533" max="11533" width="16.42578125" customWidth="1"/>
    <col min="11777" max="11777" width="13.140625" customWidth="1"/>
    <col min="11780" max="11780" width="15" customWidth="1"/>
    <col min="11782" max="11782" width="18.140625" customWidth="1"/>
    <col min="11783" max="11783" width="15.5703125" customWidth="1"/>
    <col min="11784" max="11784" width="18.5703125" customWidth="1"/>
    <col min="11785" max="11785" width="13.28515625" customWidth="1"/>
    <col min="11789" max="11789" width="16.42578125" customWidth="1"/>
    <col min="12033" max="12033" width="13.140625" customWidth="1"/>
    <col min="12036" max="12036" width="15" customWidth="1"/>
    <col min="12038" max="12038" width="18.140625" customWidth="1"/>
    <col min="12039" max="12039" width="15.5703125" customWidth="1"/>
    <col min="12040" max="12040" width="18.5703125" customWidth="1"/>
    <col min="12041" max="12041" width="13.28515625" customWidth="1"/>
    <col min="12045" max="12045" width="16.42578125" customWidth="1"/>
    <col min="12289" max="12289" width="13.140625" customWidth="1"/>
    <col min="12292" max="12292" width="15" customWidth="1"/>
    <col min="12294" max="12294" width="18.140625" customWidth="1"/>
    <col min="12295" max="12295" width="15.5703125" customWidth="1"/>
    <col min="12296" max="12296" width="18.5703125" customWidth="1"/>
    <col min="12297" max="12297" width="13.28515625" customWidth="1"/>
    <col min="12301" max="12301" width="16.42578125" customWidth="1"/>
    <col min="12545" max="12545" width="13.140625" customWidth="1"/>
    <col min="12548" max="12548" width="15" customWidth="1"/>
    <col min="12550" max="12550" width="18.140625" customWidth="1"/>
    <col min="12551" max="12551" width="15.5703125" customWidth="1"/>
    <col min="12552" max="12552" width="18.5703125" customWidth="1"/>
    <col min="12553" max="12553" width="13.28515625" customWidth="1"/>
    <col min="12557" max="12557" width="16.42578125" customWidth="1"/>
    <col min="12801" max="12801" width="13.140625" customWidth="1"/>
    <col min="12804" max="12804" width="15" customWidth="1"/>
    <col min="12806" max="12806" width="18.140625" customWidth="1"/>
    <col min="12807" max="12807" width="15.5703125" customWidth="1"/>
    <col min="12808" max="12808" width="18.5703125" customWidth="1"/>
    <col min="12809" max="12809" width="13.28515625" customWidth="1"/>
    <col min="12813" max="12813" width="16.42578125" customWidth="1"/>
    <col min="13057" max="13057" width="13.140625" customWidth="1"/>
    <col min="13060" max="13060" width="15" customWidth="1"/>
    <col min="13062" max="13062" width="18.140625" customWidth="1"/>
    <col min="13063" max="13063" width="15.5703125" customWidth="1"/>
    <col min="13064" max="13064" width="18.5703125" customWidth="1"/>
    <col min="13065" max="13065" width="13.28515625" customWidth="1"/>
    <col min="13069" max="13069" width="16.42578125" customWidth="1"/>
    <col min="13313" max="13313" width="13.140625" customWidth="1"/>
    <col min="13316" max="13316" width="15" customWidth="1"/>
    <col min="13318" max="13318" width="18.140625" customWidth="1"/>
    <col min="13319" max="13319" width="15.5703125" customWidth="1"/>
    <col min="13320" max="13320" width="18.5703125" customWidth="1"/>
    <col min="13321" max="13321" width="13.28515625" customWidth="1"/>
    <col min="13325" max="13325" width="16.42578125" customWidth="1"/>
    <col min="13569" max="13569" width="13.140625" customWidth="1"/>
    <col min="13572" max="13572" width="15" customWidth="1"/>
    <col min="13574" max="13574" width="18.140625" customWidth="1"/>
    <col min="13575" max="13575" width="15.5703125" customWidth="1"/>
    <col min="13576" max="13576" width="18.5703125" customWidth="1"/>
    <col min="13577" max="13577" width="13.28515625" customWidth="1"/>
    <col min="13581" max="13581" width="16.42578125" customWidth="1"/>
    <col min="13825" max="13825" width="13.140625" customWidth="1"/>
    <col min="13828" max="13828" width="15" customWidth="1"/>
    <col min="13830" max="13830" width="18.140625" customWidth="1"/>
    <col min="13831" max="13831" width="15.5703125" customWidth="1"/>
    <col min="13832" max="13832" width="18.5703125" customWidth="1"/>
    <col min="13833" max="13833" width="13.28515625" customWidth="1"/>
    <col min="13837" max="13837" width="16.42578125" customWidth="1"/>
    <col min="14081" max="14081" width="13.140625" customWidth="1"/>
    <col min="14084" max="14084" width="15" customWidth="1"/>
    <col min="14086" max="14086" width="18.140625" customWidth="1"/>
    <col min="14087" max="14087" width="15.5703125" customWidth="1"/>
    <col min="14088" max="14088" width="18.5703125" customWidth="1"/>
    <col min="14089" max="14089" width="13.28515625" customWidth="1"/>
    <col min="14093" max="14093" width="16.42578125" customWidth="1"/>
    <col min="14337" max="14337" width="13.140625" customWidth="1"/>
    <col min="14340" max="14340" width="15" customWidth="1"/>
    <col min="14342" max="14342" width="18.140625" customWidth="1"/>
    <col min="14343" max="14343" width="15.5703125" customWidth="1"/>
    <col min="14344" max="14344" width="18.5703125" customWidth="1"/>
    <col min="14345" max="14345" width="13.28515625" customWidth="1"/>
    <col min="14349" max="14349" width="16.42578125" customWidth="1"/>
    <col min="14593" max="14593" width="13.140625" customWidth="1"/>
    <col min="14596" max="14596" width="15" customWidth="1"/>
    <col min="14598" max="14598" width="18.140625" customWidth="1"/>
    <col min="14599" max="14599" width="15.5703125" customWidth="1"/>
    <col min="14600" max="14600" width="18.5703125" customWidth="1"/>
    <col min="14601" max="14601" width="13.28515625" customWidth="1"/>
    <col min="14605" max="14605" width="16.42578125" customWidth="1"/>
    <col min="14849" max="14849" width="13.140625" customWidth="1"/>
    <col min="14852" max="14852" width="15" customWidth="1"/>
    <col min="14854" max="14854" width="18.140625" customWidth="1"/>
    <col min="14855" max="14855" width="15.5703125" customWidth="1"/>
    <col min="14856" max="14856" width="18.5703125" customWidth="1"/>
    <col min="14857" max="14857" width="13.28515625" customWidth="1"/>
    <col min="14861" max="14861" width="16.42578125" customWidth="1"/>
    <col min="15105" max="15105" width="13.140625" customWidth="1"/>
    <col min="15108" max="15108" width="15" customWidth="1"/>
    <col min="15110" max="15110" width="18.140625" customWidth="1"/>
    <col min="15111" max="15111" width="15.5703125" customWidth="1"/>
    <col min="15112" max="15112" width="18.5703125" customWidth="1"/>
    <col min="15113" max="15113" width="13.28515625" customWidth="1"/>
    <col min="15117" max="15117" width="16.42578125" customWidth="1"/>
    <col min="15361" max="15361" width="13.140625" customWidth="1"/>
    <col min="15364" max="15364" width="15" customWidth="1"/>
    <col min="15366" max="15366" width="18.140625" customWidth="1"/>
    <col min="15367" max="15367" width="15.5703125" customWidth="1"/>
    <col min="15368" max="15368" width="18.5703125" customWidth="1"/>
    <col min="15369" max="15369" width="13.28515625" customWidth="1"/>
    <col min="15373" max="15373" width="16.42578125" customWidth="1"/>
    <col min="15617" max="15617" width="13.140625" customWidth="1"/>
    <col min="15620" max="15620" width="15" customWidth="1"/>
    <col min="15622" max="15622" width="18.140625" customWidth="1"/>
    <col min="15623" max="15623" width="15.5703125" customWidth="1"/>
    <col min="15624" max="15624" width="18.5703125" customWidth="1"/>
    <col min="15625" max="15625" width="13.28515625" customWidth="1"/>
    <col min="15629" max="15629" width="16.42578125" customWidth="1"/>
    <col min="15873" max="15873" width="13.140625" customWidth="1"/>
    <col min="15876" max="15876" width="15" customWidth="1"/>
    <col min="15878" max="15878" width="18.140625" customWidth="1"/>
    <col min="15879" max="15879" width="15.5703125" customWidth="1"/>
    <col min="15880" max="15880" width="18.5703125" customWidth="1"/>
    <col min="15881" max="15881" width="13.28515625" customWidth="1"/>
    <col min="15885" max="15885" width="16.42578125" customWidth="1"/>
    <col min="16129" max="16129" width="13.140625" customWidth="1"/>
    <col min="16132" max="16132" width="15" customWidth="1"/>
    <col min="16134" max="16134" width="18.140625" customWidth="1"/>
    <col min="16135" max="16135" width="15.5703125" customWidth="1"/>
    <col min="16136" max="16136" width="18.5703125" customWidth="1"/>
    <col min="16137" max="16137" width="13.28515625" customWidth="1"/>
    <col min="16141" max="16141" width="16.42578125" customWidth="1"/>
  </cols>
  <sheetData>
    <row r="2" spans="1:15" ht="18" x14ac:dyDescent="0.25">
      <c r="A2" s="1" t="s">
        <v>0</v>
      </c>
    </row>
    <row r="3" spans="1:15" ht="18" x14ac:dyDescent="0.25">
      <c r="A3" s="1"/>
    </row>
    <row r="4" spans="1:15" ht="15.75" x14ac:dyDescent="0.25">
      <c r="A4" s="2" t="s">
        <v>1</v>
      </c>
      <c r="B4" s="3"/>
    </row>
    <row r="5" spans="1:15" ht="16.5" thickBot="1" x14ac:dyDescent="0.3">
      <c r="D5" s="2" t="s">
        <v>2</v>
      </c>
    </row>
    <row r="6" spans="1:15" ht="17.25" thickTop="1" thickBot="1" x14ac:dyDescent="0.3">
      <c r="C6" s="4" t="s">
        <v>3</v>
      </c>
      <c r="D6" s="5"/>
      <c r="E6" s="6">
        <v>5500</v>
      </c>
      <c r="F6" t="s">
        <v>4</v>
      </c>
      <c r="G6" s="4" t="s">
        <v>5</v>
      </c>
      <c r="H6" s="5"/>
      <c r="I6" s="6">
        <v>0.45</v>
      </c>
      <c r="K6" t="s">
        <v>6</v>
      </c>
    </row>
    <row r="7" spans="1:15" ht="17.25" thickTop="1" thickBot="1" x14ac:dyDescent="0.3">
      <c r="C7" s="4" t="s">
        <v>7</v>
      </c>
      <c r="D7" s="7" t="s">
        <v>8</v>
      </c>
      <c r="E7" s="6">
        <v>0.78</v>
      </c>
      <c r="G7" s="4" t="s">
        <v>9</v>
      </c>
      <c r="H7" s="5"/>
      <c r="I7" s="6">
        <v>1.1000000000000001</v>
      </c>
      <c r="K7" t="s">
        <v>10</v>
      </c>
      <c r="M7" s="108"/>
      <c r="N7" s="108"/>
      <c r="O7" s="108"/>
    </row>
    <row r="8" spans="1:15" ht="17.25" thickTop="1" thickBot="1" x14ac:dyDescent="0.3">
      <c r="C8" t="s">
        <v>11</v>
      </c>
      <c r="D8" s="9" t="s">
        <v>12</v>
      </c>
      <c r="E8" s="6">
        <v>0.03</v>
      </c>
      <c r="G8" s="10" t="s">
        <v>13</v>
      </c>
      <c r="H8" s="3"/>
      <c r="I8" s="3"/>
      <c r="J8" s="3"/>
      <c r="M8" s="8"/>
      <c r="N8" s="8"/>
      <c r="O8" s="11"/>
    </row>
    <row r="9" spans="1:15" ht="17.25" thickTop="1" thickBot="1" x14ac:dyDescent="0.3">
      <c r="C9">
        <v>475</v>
      </c>
      <c r="D9" s="9" t="s">
        <v>14</v>
      </c>
      <c r="E9" s="6">
        <v>0.05</v>
      </c>
      <c r="G9" s="12" t="s">
        <v>15</v>
      </c>
      <c r="H9" s="12"/>
      <c r="I9" s="13">
        <v>5</v>
      </c>
      <c r="M9" s="108"/>
      <c r="N9" s="108"/>
      <c r="O9" s="108"/>
    </row>
    <row r="10" spans="1:15" ht="17.25" thickTop="1" thickBot="1" x14ac:dyDescent="0.3">
      <c r="D10" s="9" t="s">
        <v>16</v>
      </c>
      <c r="E10" s="6">
        <v>0.06</v>
      </c>
      <c r="G10" s="12" t="s">
        <v>17</v>
      </c>
      <c r="H10" s="12"/>
      <c r="I10" s="13">
        <v>4</v>
      </c>
      <c r="M10" s="8"/>
      <c r="N10" s="8"/>
      <c r="O10" s="11"/>
    </row>
    <row r="11" spans="1:15" ht="17.25" thickTop="1" thickBot="1" x14ac:dyDescent="0.3">
      <c r="D11" s="9" t="s">
        <v>18</v>
      </c>
      <c r="E11" s="6">
        <v>0.01</v>
      </c>
      <c r="G11" s="12" t="s">
        <v>19</v>
      </c>
      <c r="H11" s="12"/>
      <c r="I11" s="13">
        <v>3</v>
      </c>
      <c r="M11" s="108"/>
      <c r="N11" s="108"/>
      <c r="O11" s="108"/>
    </row>
    <row r="12" spans="1:15" ht="17.25" thickTop="1" thickBot="1" x14ac:dyDescent="0.3">
      <c r="D12" s="14" t="s">
        <v>20</v>
      </c>
      <c r="E12" s="15" t="s">
        <v>21</v>
      </c>
      <c r="G12" s="12" t="s">
        <v>22</v>
      </c>
      <c r="H12" s="12"/>
      <c r="I12" s="13">
        <v>2</v>
      </c>
      <c r="M12" s="11"/>
      <c r="N12" s="11"/>
      <c r="O12" s="11"/>
    </row>
    <row r="13" spans="1:15" ht="17.25" thickTop="1" thickBot="1" x14ac:dyDescent="0.3">
      <c r="D13">
        <v>22.4</v>
      </c>
      <c r="G13" s="12" t="s">
        <v>23</v>
      </c>
      <c r="H13" s="12"/>
      <c r="I13" s="13">
        <v>1</v>
      </c>
      <c r="M13" s="108"/>
      <c r="N13" s="108"/>
      <c r="O13" s="108"/>
    </row>
    <row r="14" spans="1:15" ht="15.75" thickTop="1" x14ac:dyDescent="0.25">
      <c r="M14" s="11"/>
      <c r="N14" s="11"/>
      <c r="O14" s="11"/>
    </row>
    <row r="15" spans="1:15" ht="16.5" thickBot="1" x14ac:dyDescent="0.3">
      <c r="E15" s="2" t="s">
        <v>24</v>
      </c>
      <c r="F15" s="3"/>
      <c r="M15" s="108"/>
      <c r="N15" s="108"/>
      <c r="O15" s="108"/>
    </row>
    <row r="16" spans="1:15" ht="17.25" thickTop="1" thickBot="1" x14ac:dyDescent="0.3">
      <c r="A16" s="12"/>
      <c r="B16" s="12"/>
      <c r="C16" s="109" t="s">
        <v>25</v>
      </c>
      <c r="D16" s="109"/>
      <c r="E16" s="109"/>
      <c r="F16" s="109" t="s">
        <v>26</v>
      </c>
      <c r="G16" s="109"/>
      <c r="H16" s="109"/>
      <c r="I16" s="4" t="s">
        <v>27</v>
      </c>
      <c r="J16" s="12"/>
    </row>
    <row r="17" spans="1:21" ht="16.5" thickTop="1" thickBot="1" x14ac:dyDescent="0.3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</row>
    <row r="18" spans="1:21" ht="17.25" thickTop="1" thickBot="1" x14ac:dyDescent="0.3">
      <c r="A18" s="18" t="s">
        <v>8</v>
      </c>
      <c r="B18" s="19">
        <v>16</v>
      </c>
      <c r="C18" s="20">
        <f t="shared" ref="C18:C26" si="0">D18/D$13*B18</f>
        <v>1378.9285714285716</v>
      </c>
      <c r="D18" s="20">
        <f>F$29*E7</f>
        <v>1930.5</v>
      </c>
      <c r="E18" s="21">
        <f t="shared" ref="E18:E26" si="1">D18/D$27</f>
        <v>8.504672897196261E-2</v>
      </c>
      <c r="F18" s="20">
        <f t="shared" ref="F18:F26" si="2">G18/D$13*B18</f>
        <v>591.34821428571433</v>
      </c>
      <c r="G18" s="20">
        <f>1655.775/2</f>
        <v>827.88750000000005</v>
      </c>
      <c r="H18" s="23">
        <f t="shared" ref="H18:H26" si="3">G18/G$27</f>
        <v>3.578907145586549E-2</v>
      </c>
      <c r="I18" s="20">
        <f t="shared" ref="I18:I26" si="4">J18/D$13*B18</f>
        <v>-787.58035714285711</v>
      </c>
      <c r="J18" s="20">
        <f>G18-D18</f>
        <v>-1102.6125</v>
      </c>
      <c r="N18" s="24"/>
      <c r="O18" s="24"/>
      <c r="P18" s="24"/>
      <c r="Q18" s="24"/>
      <c r="R18" s="24"/>
      <c r="S18" s="24"/>
      <c r="T18" s="24"/>
      <c r="U18" s="24"/>
    </row>
    <row r="19" spans="1:21" ht="17.25" thickTop="1" thickBot="1" x14ac:dyDescent="0.3">
      <c r="A19" s="18" t="s">
        <v>12</v>
      </c>
      <c r="B19" s="19">
        <v>30</v>
      </c>
      <c r="C19" s="20">
        <f t="shared" si="0"/>
        <v>99.441964285714292</v>
      </c>
      <c r="D19" s="20">
        <f>F$29*E8</f>
        <v>74.25</v>
      </c>
      <c r="E19" s="21">
        <f t="shared" si="1"/>
        <v>3.2710280373831773E-3</v>
      </c>
      <c r="F19" s="20">
        <f t="shared" si="2"/>
        <v>0</v>
      </c>
      <c r="G19" s="20">
        <f t="shared" ref="G19:G26" si="5">D19+J19</f>
        <v>0</v>
      </c>
      <c r="H19" s="23">
        <f t="shared" si="3"/>
        <v>0</v>
      </c>
      <c r="I19" s="20">
        <f t="shared" si="4"/>
        <v>-99.441964285714292</v>
      </c>
      <c r="J19" s="20">
        <f>-D19</f>
        <v>-74.25</v>
      </c>
      <c r="N19" s="24"/>
      <c r="O19" s="24"/>
      <c r="P19" s="24"/>
      <c r="Q19" s="24"/>
      <c r="R19" s="24"/>
      <c r="S19" s="24"/>
      <c r="T19" s="24"/>
      <c r="U19" s="24"/>
    </row>
    <row r="20" spans="1:21" ht="17.25" thickTop="1" thickBot="1" x14ac:dyDescent="0.3">
      <c r="A20" s="18" t="s">
        <v>14</v>
      </c>
      <c r="B20" s="19">
        <v>44</v>
      </c>
      <c r="C20" s="20">
        <f t="shared" si="0"/>
        <v>243.08035714285717</v>
      </c>
      <c r="D20" s="20">
        <f>F$29*E9</f>
        <v>123.75</v>
      </c>
      <c r="E20" s="21">
        <f t="shared" si="1"/>
        <v>5.4517133956386282E-3</v>
      </c>
      <c r="F20" s="20">
        <f t="shared" si="2"/>
        <v>0</v>
      </c>
      <c r="G20" s="20">
        <f t="shared" si="5"/>
        <v>0</v>
      </c>
      <c r="H20" s="23">
        <f t="shared" si="3"/>
        <v>0</v>
      </c>
      <c r="I20" s="20">
        <f t="shared" si="4"/>
        <v>-243.08035714285717</v>
      </c>
      <c r="J20" s="20">
        <f>-D20</f>
        <v>-123.75</v>
      </c>
      <c r="N20" s="24"/>
      <c r="O20" s="24"/>
      <c r="P20" s="24"/>
      <c r="Q20" s="24"/>
      <c r="R20" s="24"/>
      <c r="S20" s="24"/>
      <c r="T20" s="24"/>
      <c r="U20" s="24"/>
    </row>
    <row r="21" spans="1:21" ht="17.25" thickTop="1" thickBot="1" x14ac:dyDescent="0.3">
      <c r="A21" s="18" t="s">
        <v>16</v>
      </c>
      <c r="B21" s="19">
        <v>58</v>
      </c>
      <c r="C21" s="20">
        <f t="shared" si="0"/>
        <v>384.50892857142861</v>
      </c>
      <c r="D21" s="20">
        <f>F$29*E10</f>
        <v>148.5</v>
      </c>
      <c r="E21" s="21">
        <f t="shared" si="1"/>
        <v>6.5420560747663547E-3</v>
      </c>
      <c r="F21" s="20">
        <f t="shared" si="2"/>
        <v>0</v>
      </c>
      <c r="G21" s="20">
        <f t="shared" si="5"/>
        <v>0</v>
      </c>
      <c r="H21" s="23">
        <f t="shared" si="3"/>
        <v>0</v>
      </c>
      <c r="I21" s="20">
        <f t="shared" si="4"/>
        <v>-384.50892857142861</v>
      </c>
      <c r="J21" s="20">
        <f>-D21</f>
        <v>-148.5</v>
      </c>
      <c r="N21" s="24"/>
      <c r="O21" s="24"/>
      <c r="P21" s="24"/>
      <c r="Q21" s="24"/>
      <c r="R21" s="24"/>
      <c r="S21" s="24"/>
      <c r="T21" s="24"/>
      <c r="U21" s="24"/>
    </row>
    <row r="22" spans="1:21" ht="17.25" thickTop="1" thickBot="1" x14ac:dyDescent="0.3">
      <c r="A22" s="18" t="s">
        <v>18</v>
      </c>
      <c r="B22" s="19">
        <v>72</v>
      </c>
      <c r="C22" s="20">
        <f t="shared" si="0"/>
        <v>79.553571428571445</v>
      </c>
      <c r="D22" s="20">
        <f>F$29*E11</f>
        <v>24.75</v>
      </c>
      <c r="E22" s="21">
        <f t="shared" si="1"/>
        <v>1.0903426791277256E-3</v>
      </c>
      <c r="F22" s="20">
        <f t="shared" si="2"/>
        <v>0</v>
      </c>
      <c r="G22" s="20">
        <f t="shared" si="5"/>
        <v>0</v>
      </c>
      <c r="H22" s="23">
        <f t="shared" si="3"/>
        <v>0</v>
      </c>
      <c r="I22" s="20">
        <f t="shared" si="4"/>
        <v>-79.553571428571445</v>
      </c>
      <c r="J22" s="20">
        <f>-D22</f>
        <v>-24.75</v>
      </c>
      <c r="L22" s="25" t="s">
        <v>38</v>
      </c>
      <c r="N22" s="24"/>
      <c r="O22" s="24"/>
      <c r="P22" s="24"/>
      <c r="Q22" s="24"/>
      <c r="R22" s="24"/>
      <c r="S22" s="24"/>
      <c r="T22" s="24"/>
      <c r="U22" s="24"/>
    </row>
    <row r="23" spans="1:21" ht="17.25" thickTop="1" thickBot="1" x14ac:dyDescent="0.3">
      <c r="A23" s="18" t="s">
        <v>39</v>
      </c>
      <c r="B23" s="19">
        <v>32</v>
      </c>
      <c r="C23" s="20">
        <f t="shared" si="0"/>
        <v>6067.2857142857156</v>
      </c>
      <c r="D23" s="20">
        <f>E7*F29*2*I7</f>
        <v>4247.1000000000004</v>
      </c>
      <c r="E23" s="21">
        <f t="shared" si="1"/>
        <v>0.18710280373831775</v>
      </c>
      <c r="F23" s="20">
        <f t="shared" si="2"/>
        <v>0</v>
      </c>
      <c r="G23" s="20">
        <f t="shared" si="5"/>
        <v>0</v>
      </c>
      <c r="H23" s="23">
        <f t="shared" si="3"/>
        <v>0</v>
      </c>
      <c r="I23" s="20">
        <f t="shared" si="4"/>
        <v>-6067.2857142857156</v>
      </c>
      <c r="J23" s="20">
        <f>J22*8+J21*6.5+J20*5+J19*3.5+J18*2</f>
        <v>-4247.1000000000004</v>
      </c>
      <c r="L23" s="25" t="s">
        <v>40</v>
      </c>
      <c r="N23" s="24"/>
      <c r="O23" s="24"/>
      <c r="P23" s="24"/>
      <c r="Q23" s="24"/>
      <c r="R23" s="26"/>
      <c r="S23" s="24"/>
      <c r="T23" s="24"/>
      <c r="U23" s="24"/>
    </row>
    <row r="24" spans="1:21" ht="17.25" thickTop="1" thickBot="1" x14ac:dyDescent="0.3">
      <c r="A24" s="18" t="s">
        <v>41</v>
      </c>
      <c r="B24" s="19">
        <v>44</v>
      </c>
      <c r="C24" s="20">
        <f t="shared" si="0"/>
        <v>0</v>
      </c>
      <c r="D24" s="20">
        <v>0</v>
      </c>
      <c r="E24" s="21">
        <f t="shared" si="1"/>
        <v>0</v>
      </c>
      <c r="F24" s="20">
        <f t="shared" si="2"/>
        <v>4596.6495535714294</v>
      </c>
      <c r="G24" s="20">
        <f t="shared" si="5"/>
        <v>2340.1125000000002</v>
      </c>
      <c r="H24" s="23">
        <f t="shared" si="3"/>
        <v>0.10116163546045089</v>
      </c>
      <c r="I24" s="20">
        <f t="shared" si="4"/>
        <v>4596.6495535714294</v>
      </c>
      <c r="J24" s="20">
        <f>-J22*5-J21*4-J20*3-J19*2-J18*1</f>
        <v>2340.1125000000002</v>
      </c>
      <c r="L24" s="25" t="s">
        <v>42</v>
      </c>
      <c r="N24" s="24"/>
      <c r="O24" s="24"/>
      <c r="P24" s="24"/>
      <c r="Q24" s="24"/>
      <c r="R24" s="24"/>
      <c r="S24" s="24"/>
      <c r="T24" s="24"/>
      <c r="U24" s="24"/>
    </row>
    <row r="25" spans="1:21" ht="17.25" thickTop="1" thickBot="1" x14ac:dyDescent="0.3">
      <c r="A25" s="18" t="s">
        <v>43</v>
      </c>
      <c r="B25" s="19">
        <v>18</v>
      </c>
      <c r="C25" s="20">
        <f t="shared" si="0"/>
        <v>0</v>
      </c>
      <c r="D25" s="20">
        <v>0</v>
      </c>
      <c r="E25" s="21">
        <f t="shared" si="1"/>
        <v>0</v>
      </c>
      <c r="F25" s="20">
        <f t="shared" si="2"/>
        <v>3064.8013392857147</v>
      </c>
      <c r="G25" s="20">
        <f t="shared" si="5"/>
        <v>3813.9749999999999</v>
      </c>
      <c r="H25" s="23">
        <f t="shared" si="3"/>
        <v>0.16487581199847151</v>
      </c>
      <c r="I25" s="20">
        <f t="shared" si="4"/>
        <v>3064.8013392857147</v>
      </c>
      <c r="J25" s="20">
        <f>-J22*6-J21*5-J20*4-J19*3-J18*2</f>
        <v>3813.9749999999999</v>
      </c>
      <c r="L25" s="25" t="s">
        <v>44</v>
      </c>
      <c r="N25" s="24"/>
      <c r="O25" s="24"/>
      <c r="P25" s="24"/>
      <c r="Q25" s="24"/>
      <c r="R25" s="24"/>
      <c r="S25" s="24"/>
      <c r="T25" s="24"/>
      <c r="U25" s="24"/>
    </row>
    <row r="26" spans="1:21" ht="17.25" thickTop="1" thickBot="1" x14ac:dyDescent="0.3">
      <c r="A26" s="18" t="s">
        <v>45</v>
      </c>
      <c r="B26" s="19">
        <v>28</v>
      </c>
      <c r="C26" s="20">
        <f t="shared" si="0"/>
        <v>20188.044642857145</v>
      </c>
      <c r="D26" s="20">
        <f>D23*79/21+F29*(1-SUM(E7:E11))</f>
        <v>16150.435714285715</v>
      </c>
      <c r="E26" s="21">
        <f t="shared" si="1"/>
        <v>0.71149532710280372</v>
      </c>
      <c r="F26" s="20">
        <f t="shared" si="2"/>
        <v>20188.044642857145</v>
      </c>
      <c r="G26" s="20">
        <f t="shared" si="5"/>
        <v>16150.435714285715</v>
      </c>
      <c r="H26" s="23">
        <f t="shared" si="3"/>
        <v>0.69817348108521204</v>
      </c>
      <c r="I26" s="20">
        <f t="shared" si="4"/>
        <v>0</v>
      </c>
      <c r="J26" s="20">
        <v>0</v>
      </c>
      <c r="N26" s="24"/>
      <c r="O26" s="24"/>
      <c r="P26" s="24"/>
      <c r="Q26" s="24"/>
      <c r="R26" s="24"/>
      <c r="S26" s="24"/>
      <c r="T26" s="24"/>
      <c r="U26" s="24"/>
    </row>
    <row r="27" spans="1:21" ht="17.25" thickTop="1" thickBot="1" x14ac:dyDescent="0.3">
      <c r="A27" s="27" t="s">
        <v>46</v>
      </c>
      <c r="B27" s="14"/>
      <c r="C27" s="28">
        <f t="shared" ref="C27:J27" si="6">SUM(C18:C26)</f>
        <v>28440.843750000004</v>
      </c>
      <c r="D27" s="29">
        <f t="shared" si="6"/>
        <v>22699.285714285717</v>
      </c>
      <c r="E27" s="30">
        <f t="shared" si="6"/>
        <v>1</v>
      </c>
      <c r="F27" s="28">
        <f t="shared" si="6"/>
        <v>28440.843750000004</v>
      </c>
      <c r="G27" s="29">
        <f t="shared" si="6"/>
        <v>23132.410714285717</v>
      </c>
      <c r="H27" s="30">
        <f t="shared" si="6"/>
        <v>1</v>
      </c>
      <c r="I27" s="31">
        <f t="shared" si="6"/>
        <v>-9.0949470177292824E-13</v>
      </c>
      <c r="J27" s="32">
        <f t="shared" si="6"/>
        <v>433.12499999999955</v>
      </c>
      <c r="N27" s="24"/>
      <c r="O27" s="24"/>
      <c r="P27" s="24"/>
      <c r="Q27" s="24"/>
      <c r="R27" s="24"/>
      <c r="S27" s="24"/>
      <c r="T27" s="24"/>
      <c r="U27" s="24"/>
    </row>
    <row r="28" spans="1:21" ht="16.5" thickTop="1" thickBot="1" x14ac:dyDescent="0.3"/>
    <row r="29" spans="1:21" ht="27" customHeight="1" thickTop="1" thickBot="1" x14ac:dyDescent="0.3">
      <c r="C29" s="33" t="s">
        <v>47</v>
      </c>
      <c r="D29" s="34"/>
      <c r="E29" s="34"/>
      <c r="F29" s="35">
        <f>E6*I6</f>
        <v>2475</v>
      </c>
    </row>
    <row r="30" spans="1:21" ht="26.25" customHeight="1" thickTop="1" thickBot="1" x14ac:dyDescent="0.3">
      <c r="A30" s="36"/>
      <c r="B30" s="37" t="s">
        <v>48</v>
      </c>
      <c r="C30" s="38" t="s">
        <v>49</v>
      </c>
    </row>
    <row r="31" spans="1:21" ht="20.25" thickTop="1" thickBot="1" x14ac:dyDescent="0.4">
      <c r="A31" s="40" t="s">
        <v>28</v>
      </c>
      <c r="B31" s="40" t="s">
        <v>50</v>
      </c>
      <c r="C31" s="40" t="s">
        <v>51</v>
      </c>
    </row>
    <row r="32" spans="1:21" ht="17.25" thickTop="1" thickBot="1" x14ac:dyDescent="0.3">
      <c r="A32" s="18" t="s">
        <v>8</v>
      </c>
      <c r="B32" s="41">
        <v>35.700000000000003</v>
      </c>
      <c r="C32" s="41">
        <v>-74.599999999999994</v>
      </c>
      <c r="G32" s="3"/>
    </row>
    <row r="33" spans="1:13" ht="17.25" thickTop="1" thickBot="1" x14ac:dyDescent="0.3">
      <c r="A33" s="18" t="s">
        <v>12</v>
      </c>
      <c r="B33" s="41">
        <v>52.49</v>
      </c>
      <c r="C33" s="41">
        <v>-84</v>
      </c>
      <c r="F33" s="2" t="s">
        <v>52</v>
      </c>
    </row>
    <row r="34" spans="1:13" ht="17.25" thickTop="1" thickBot="1" x14ac:dyDescent="0.3">
      <c r="A34" s="18" t="s">
        <v>14</v>
      </c>
      <c r="B34" s="41">
        <v>73.599999999999994</v>
      </c>
      <c r="C34" s="41">
        <v>-103.85</v>
      </c>
    </row>
    <row r="35" spans="1:13" ht="17.25" thickTop="1" thickBot="1" x14ac:dyDescent="0.3">
      <c r="A35" s="18" t="s">
        <v>16</v>
      </c>
      <c r="B35" s="41">
        <v>98.49</v>
      </c>
      <c r="C35" s="41">
        <v>-125.77</v>
      </c>
      <c r="F35" s="42" t="s">
        <v>53</v>
      </c>
      <c r="G35" s="42" t="s">
        <v>54</v>
      </c>
      <c r="H35" s="43" t="s">
        <v>55</v>
      </c>
    </row>
    <row r="36" spans="1:13" ht="17.25" thickTop="1" thickBot="1" x14ac:dyDescent="0.3">
      <c r="A36" s="18" t="s">
        <v>18</v>
      </c>
      <c r="B36" s="41">
        <v>120.04</v>
      </c>
      <c r="C36" s="41">
        <v>-146.36000000000001</v>
      </c>
      <c r="D36" t="s">
        <v>56</v>
      </c>
      <c r="F36" s="41">
        <f>D27/D13*B42*C9*1000/3600</f>
        <v>4091464.5326450905</v>
      </c>
      <c r="G36" s="44">
        <f>(J22/D13*C45+J21/D13*C46+J20/D13*C47+J19/D13*C48+J18/D13*C49)*1000/3600*1000</f>
        <v>20348776.46484375</v>
      </c>
      <c r="H36" s="45">
        <f>F36+G36</f>
        <v>24440240.997488841</v>
      </c>
    </row>
    <row r="37" spans="1:13" ht="17.25" thickTop="1" thickBot="1" x14ac:dyDescent="0.3">
      <c r="A37" s="18" t="s">
        <v>39</v>
      </c>
      <c r="B37" s="41">
        <v>29.38</v>
      </c>
      <c r="C37" s="41">
        <v>0</v>
      </c>
    </row>
    <row r="38" spans="1:13" ht="17.25" thickTop="1" thickBot="1" x14ac:dyDescent="0.3">
      <c r="A38" s="18" t="s">
        <v>41</v>
      </c>
      <c r="B38" s="41">
        <v>37.14</v>
      </c>
      <c r="C38" s="41">
        <v>-393.51</v>
      </c>
    </row>
    <row r="39" spans="1:13" ht="17.25" thickTop="1" thickBot="1" x14ac:dyDescent="0.3">
      <c r="A39" s="18" t="s">
        <v>43</v>
      </c>
      <c r="B39" s="41">
        <v>33.6</v>
      </c>
      <c r="C39" s="41">
        <v>-241.83</v>
      </c>
    </row>
    <row r="40" spans="1:13" ht="18" customHeight="1" thickTop="1" thickBot="1" x14ac:dyDescent="0.3">
      <c r="A40" s="18" t="s">
        <v>45</v>
      </c>
      <c r="B40" s="41">
        <v>29.12</v>
      </c>
      <c r="C40" s="41"/>
    </row>
    <row r="41" spans="1:13" ht="9" customHeight="1" thickTop="1" thickBot="1" x14ac:dyDescent="0.3">
      <c r="A41" s="8"/>
      <c r="B41" s="24"/>
      <c r="C41" s="24"/>
    </row>
    <row r="42" spans="1:13" ht="21" thickTop="1" thickBot="1" x14ac:dyDescent="0.3">
      <c r="A42" s="46" t="s">
        <v>57</v>
      </c>
      <c r="B42" s="47">
        <f>B32*E18+B33*E19+B34*E20+B35*E21+B36*E22+B37*E23+B38*E24+B39*E25+B40*E26</f>
        <v>30.600146728971964</v>
      </c>
      <c r="C42" s="48"/>
    </row>
    <row r="43" spans="1:13" ht="21" thickTop="1" thickBot="1" x14ac:dyDescent="0.3">
      <c r="A43" s="46" t="s">
        <v>58</v>
      </c>
      <c r="B43" s="47">
        <f>B32*H18+B38*H24+B39*H25+B40*H26</f>
        <v>30.905452044325564</v>
      </c>
      <c r="C43" s="49"/>
    </row>
    <row r="44" spans="1:13" ht="9.75" customHeight="1" thickTop="1" thickBot="1" x14ac:dyDescent="0.3">
      <c r="A44" s="50"/>
      <c r="B44" s="24"/>
      <c r="C44" s="24"/>
    </row>
    <row r="45" spans="1:13" ht="17.25" thickTop="1" thickBot="1" x14ac:dyDescent="0.3">
      <c r="B45" s="51" t="s">
        <v>59</v>
      </c>
      <c r="C45" s="47">
        <f>6*C39+5*C38-(8*C37+C36)</f>
        <v>-3272.1699999999996</v>
      </c>
      <c r="D45" t="s">
        <v>60</v>
      </c>
      <c r="L45" s="52" t="s">
        <v>7</v>
      </c>
      <c r="M45" s="52" t="s">
        <v>61</v>
      </c>
    </row>
    <row r="46" spans="1:13" ht="17.25" thickTop="1" thickBot="1" x14ac:dyDescent="0.3">
      <c r="B46" s="51" t="s">
        <v>62</v>
      </c>
      <c r="C46" s="47">
        <f>C39*5+C38*4-(C37*6.5+C35)</f>
        <v>-2657.42</v>
      </c>
      <c r="D46" t="s">
        <v>60</v>
      </c>
      <c r="K46" s="53" t="s">
        <v>63</v>
      </c>
      <c r="L46" s="6">
        <v>0.78</v>
      </c>
      <c r="M46" s="41">
        <f>35.7</f>
        <v>35.700000000000003</v>
      </c>
    </row>
    <row r="47" spans="1:13" ht="17.25" thickTop="1" thickBot="1" x14ac:dyDescent="0.3">
      <c r="B47" s="51" t="s">
        <v>64</v>
      </c>
      <c r="C47" s="47">
        <f>C39*3+C38*2-(C37*5+C34)</f>
        <v>-1408.66</v>
      </c>
      <c r="D47" t="s">
        <v>60</v>
      </c>
      <c r="K47" s="53" t="s">
        <v>65</v>
      </c>
      <c r="L47" s="6">
        <v>0.03</v>
      </c>
      <c r="M47" s="41">
        <v>52.49</v>
      </c>
    </row>
    <row r="48" spans="1:13" ht="17.25" thickTop="1" thickBot="1" x14ac:dyDescent="0.3">
      <c r="B48" s="51" t="s">
        <v>66</v>
      </c>
      <c r="C48" s="47">
        <f>C39*3+C38*2-(C37*3.5+C33)</f>
        <v>-1428.51</v>
      </c>
      <c r="D48" t="s">
        <v>60</v>
      </c>
      <c r="K48" s="53" t="s">
        <v>67</v>
      </c>
      <c r="L48" s="6">
        <v>0.05</v>
      </c>
      <c r="M48" s="41">
        <v>73.599999999999994</v>
      </c>
    </row>
    <row r="49" spans="1:27" ht="17.25" thickTop="1" thickBot="1" x14ac:dyDescent="0.3">
      <c r="B49" s="51" t="s">
        <v>68</v>
      </c>
      <c r="C49" s="47">
        <f>C39*2+C38-(C37*2+C32)</f>
        <v>-802.57</v>
      </c>
      <c r="D49" t="s">
        <v>60</v>
      </c>
      <c r="K49" s="53" t="s">
        <v>69</v>
      </c>
      <c r="L49" s="6">
        <v>0.06</v>
      </c>
      <c r="M49" s="41">
        <v>98.49</v>
      </c>
      <c r="N49" s="2" t="s">
        <v>70</v>
      </c>
    </row>
    <row r="50" spans="1:27" ht="17.25" thickTop="1" thickBot="1" x14ac:dyDescent="0.3">
      <c r="B50" s="24"/>
      <c r="C50" s="24"/>
      <c r="K50" s="53" t="s">
        <v>71</v>
      </c>
      <c r="L50" s="6">
        <v>0.01</v>
      </c>
      <c r="M50" s="41">
        <v>120.04</v>
      </c>
      <c r="N50" s="54">
        <f>(M46*L46+M47*L47+M48*L48+M49*L49+M50*L50+M51*(1-L46-L47-L48-L49-L50))</f>
        <v>42.248899999999999</v>
      </c>
    </row>
    <row r="51" spans="1:27" ht="16.5" thickTop="1" thickBot="1" x14ac:dyDescent="0.3">
      <c r="K51" s="53" t="s">
        <v>20</v>
      </c>
      <c r="L51" s="12" t="s">
        <v>21</v>
      </c>
      <c r="M51" s="41">
        <v>29.12</v>
      </c>
    </row>
    <row r="52" spans="1:27" ht="17.25" thickTop="1" thickBot="1" x14ac:dyDescent="0.3">
      <c r="A52" s="2" t="s">
        <v>72</v>
      </c>
      <c r="B52" s="3"/>
      <c r="E52" s="55" t="s">
        <v>73</v>
      </c>
      <c r="F52" s="3"/>
      <c r="G52" s="35">
        <f>E6*(1-I6)</f>
        <v>3025.0000000000005</v>
      </c>
    </row>
    <row r="53" spans="1:27" ht="22.5" customHeight="1" thickTop="1" x14ac:dyDescent="0.25">
      <c r="A53" s="56"/>
      <c r="B53" s="3"/>
      <c r="D53" s="106" t="s">
        <v>74</v>
      </c>
      <c r="E53" s="106"/>
      <c r="F53" s="106"/>
      <c r="G53" s="106"/>
      <c r="H53" s="106"/>
      <c r="I53" s="106"/>
    </row>
    <row r="54" spans="1:27" ht="16.5" thickBot="1" x14ac:dyDescent="0.3">
      <c r="I54">
        <v>22.4</v>
      </c>
      <c r="K54" s="57" t="s">
        <v>75</v>
      </c>
      <c r="L54" s="57" t="s">
        <v>76</v>
      </c>
      <c r="M54" s="57" t="s">
        <v>77</v>
      </c>
    </row>
    <row r="55" spans="1:27" ht="17.25" thickTop="1" thickBot="1" x14ac:dyDescent="0.3">
      <c r="A55" s="42" t="s">
        <v>28</v>
      </c>
      <c r="B55" s="42" t="s">
        <v>29</v>
      </c>
      <c r="C55" s="42" t="s">
        <v>30</v>
      </c>
      <c r="D55" s="42" t="s">
        <v>31</v>
      </c>
      <c r="E55" s="42" t="s">
        <v>32</v>
      </c>
      <c r="F55" s="42" t="s">
        <v>33</v>
      </c>
      <c r="G55" s="42" t="s">
        <v>34</v>
      </c>
      <c r="H55" s="42" t="s">
        <v>35</v>
      </c>
      <c r="I55" s="42" t="s">
        <v>36</v>
      </c>
      <c r="J55" s="42" t="s">
        <v>37</v>
      </c>
      <c r="K55" s="42" t="s">
        <v>78</v>
      </c>
      <c r="L55" s="42" t="s">
        <v>79</v>
      </c>
      <c r="M55" s="42" t="s">
        <v>80</v>
      </c>
    </row>
    <row r="56" spans="1:27" ht="17.25" thickTop="1" thickBot="1" x14ac:dyDescent="0.3">
      <c r="A56" s="18" t="s">
        <v>8</v>
      </c>
      <c r="B56" s="19">
        <v>16</v>
      </c>
      <c r="C56" s="20">
        <f t="shared" ref="C56:C66" si="7">D56/22.4*B56</f>
        <v>2276.7053571428578</v>
      </c>
      <c r="D56" s="20">
        <f>G18+G52*E7</f>
        <v>3187.3875000000007</v>
      </c>
      <c r="E56" s="23">
        <f t="shared" ref="E56:E66" si="8">D56/$D$67</f>
        <v>0.12185409078962191</v>
      </c>
      <c r="F56" s="20">
        <f>G56/$I$54*B56</f>
        <v>0</v>
      </c>
      <c r="G56" s="20">
        <f>D56+J56</f>
        <v>0</v>
      </c>
      <c r="H56" s="23">
        <f t="shared" ref="H56:H66" si="9">G56/$G$67</f>
        <v>0</v>
      </c>
      <c r="I56" s="20">
        <f>J56/$I$54*B56</f>
        <v>-2276.7053571428578</v>
      </c>
      <c r="J56" s="20">
        <f>SUM(K56:M56)</f>
        <v>-3187.3875000000007</v>
      </c>
      <c r="K56" s="20">
        <v>-2301.4749999999999</v>
      </c>
      <c r="L56" s="20">
        <f>-D56-K56</f>
        <v>-885.91250000000082</v>
      </c>
      <c r="M56" s="20">
        <v>0</v>
      </c>
      <c r="Q56" s="24"/>
      <c r="R56" s="24"/>
      <c r="S56" s="24"/>
      <c r="T56" s="24"/>
      <c r="U56" s="26"/>
      <c r="V56" s="24"/>
      <c r="W56" s="24"/>
      <c r="X56" s="24"/>
      <c r="Y56" s="24"/>
      <c r="Z56" s="24"/>
      <c r="AA56" s="24"/>
    </row>
    <row r="57" spans="1:27" ht="17.25" thickTop="1" thickBot="1" x14ac:dyDescent="0.3">
      <c r="A57" s="18" t="s">
        <v>12</v>
      </c>
      <c r="B57" s="19">
        <v>30</v>
      </c>
      <c r="C57" s="20">
        <f t="shared" si="7"/>
        <v>121.5401785714286</v>
      </c>
      <c r="D57" s="20">
        <f>G$52*E8</f>
        <v>90.750000000000014</v>
      </c>
      <c r="E57" s="23">
        <f t="shared" si="8"/>
        <v>3.4693800923666128E-3</v>
      </c>
      <c r="F57" s="20">
        <f t="shared" ref="F57:F66" si="10">G57/$I$54*B57</f>
        <v>0</v>
      </c>
      <c r="G57" s="20">
        <f t="shared" ref="G57:G66" si="11">D57+J57</f>
        <v>0</v>
      </c>
      <c r="H57" s="23">
        <f t="shared" si="9"/>
        <v>0</v>
      </c>
      <c r="I57" s="20">
        <f t="shared" ref="I57:I66" si="12">J57/$I$54*B57</f>
        <v>-121.5401785714286</v>
      </c>
      <c r="J57" s="20">
        <f t="shared" ref="J57:J66" si="13">SUM(K57:M57)</f>
        <v>-90.750000000000014</v>
      </c>
      <c r="K57" s="20">
        <f>-D57</f>
        <v>-90.750000000000014</v>
      </c>
      <c r="L57" s="20">
        <v>0</v>
      </c>
      <c r="M57" s="20">
        <v>0</v>
      </c>
      <c r="Q57" s="24"/>
      <c r="R57" s="24"/>
      <c r="S57" s="24"/>
      <c r="T57" s="24"/>
      <c r="U57" s="58"/>
      <c r="V57" s="24"/>
      <c r="W57" s="24"/>
      <c r="X57" s="24"/>
      <c r="Y57" s="24"/>
      <c r="Z57" s="24"/>
      <c r="AA57" s="24"/>
    </row>
    <row r="58" spans="1:27" ht="17.25" thickTop="1" thickBot="1" x14ac:dyDescent="0.3">
      <c r="A58" s="18" t="s">
        <v>14</v>
      </c>
      <c r="B58" s="19">
        <v>44</v>
      </c>
      <c r="C58" s="20">
        <f t="shared" si="7"/>
        <v>297.09821428571433</v>
      </c>
      <c r="D58" s="20">
        <f>G$52*E9</f>
        <v>151.25000000000003</v>
      </c>
      <c r="E58" s="23">
        <f t="shared" si="8"/>
        <v>5.7823001539443553E-3</v>
      </c>
      <c r="F58" s="20">
        <f t="shared" si="10"/>
        <v>0</v>
      </c>
      <c r="G58" s="20">
        <f t="shared" si="11"/>
        <v>0</v>
      </c>
      <c r="H58" s="23">
        <f t="shared" si="9"/>
        <v>0</v>
      </c>
      <c r="I58" s="20">
        <f t="shared" si="12"/>
        <v>-297.09821428571433</v>
      </c>
      <c r="J58" s="20">
        <f t="shared" si="13"/>
        <v>-151.25000000000003</v>
      </c>
      <c r="K58" s="20">
        <f>-D58</f>
        <v>-151.25000000000003</v>
      </c>
      <c r="L58" s="20">
        <v>0</v>
      </c>
      <c r="M58" s="20">
        <v>0</v>
      </c>
      <c r="Q58" s="24"/>
      <c r="R58" s="24"/>
      <c r="S58" s="24"/>
      <c r="T58" s="24"/>
      <c r="U58" s="58"/>
      <c r="V58" s="24"/>
      <c r="W58" s="24"/>
      <c r="X58" s="24"/>
      <c r="Y58" s="24"/>
      <c r="Z58" s="24"/>
      <c r="AA58" s="24"/>
    </row>
    <row r="59" spans="1:27" ht="17.25" thickTop="1" thickBot="1" x14ac:dyDescent="0.3">
      <c r="A59" s="18" t="s">
        <v>16</v>
      </c>
      <c r="B59" s="19">
        <v>58</v>
      </c>
      <c r="C59" s="20">
        <f t="shared" si="7"/>
        <v>469.95535714285722</v>
      </c>
      <c r="D59" s="20">
        <f>G$52*E10</f>
        <v>181.50000000000003</v>
      </c>
      <c r="E59" s="23">
        <f t="shared" si="8"/>
        <v>6.9387601847332257E-3</v>
      </c>
      <c r="F59" s="20">
        <f t="shared" si="10"/>
        <v>0</v>
      </c>
      <c r="G59" s="20">
        <f t="shared" si="11"/>
        <v>0</v>
      </c>
      <c r="H59" s="23">
        <f t="shared" si="9"/>
        <v>0</v>
      </c>
      <c r="I59" s="20">
        <f t="shared" si="12"/>
        <v>-469.95535714285722</v>
      </c>
      <c r="J59" s="20">
        <f t="shared" si="13"/>
        <v>-181.50000000000003</v>
      </c>
      <c r="K59" s="20">
        <f>-D59</f>
        <v>-181.50000000000003</v>
      </c>
      <c r="L59" s="20">
        <v>0</v>
      </c>
      <c r="M59" s="20">
        <v>0</v>
      </c>
      <c r="Q59" s="24"/>
      <c r="R59" s="24"/>
      <c r="S59" s="24"/>
      <c r="T59" s="24"/>
      <c r="U59" s="58"/>
      <c r="V59" s="24"/>
      <c r="W59" s="24"/>
      <c r="X59" s="24"/>
      <c r="Y59" s="24"/>
      <c r="Z59" s="24"/>
      <c r="AA59" s="24"/>
    </row>
    <row r="60" spans="1:27" ht="17.25" thickTop="1" thickBot="1" x14ac:dyDescent="0.3">
      <c r="A60" s="18" t="s">
        <v>18</v>
      </c>
      <c r="B60" s="19">
        <v>72</v>
      </c>
      <c r="C60" s="20">
        <f t="shared" si="7"/>
        <v>97.232142857142875</v>
      </c>
      <c r="D60" s="20">
        <f>G$52*E11</f>
        <v>30.250000000000004</v>
      </c>
      <c r="E60" s="23">
        <f t="shared" si="8"/>
        <v>1.156460030788871E-3</v>
      </c>
      <c r="F60" s="20">
        <f t="shared" si="10"/>
        <v>0</v>
      </c>
      <c r="G60" s="20">
        <f t="shared" si="11"/>
        <v>0</v>
      </c>
      <c r="H60" s="23">
        <f t="shared" si="9"/>
        <v>0</v>
      </c>
      <c r="I60" s="20">
        <f t="shared" si="12"/>
        <v>-97.232142857142875</v>
      </c>
      <c r="J60" s="20">
        <f t="shared" si="13"/>
        <v>-30.250000000000004</v>
      </c>
      <c r="K60" s="20">
        <f>-D60</f>
        <v>-30.250000000000004</v>
      </c>
      <c r="L60" s="20">
        <v>0</v>
      </c>
      <c r="M60" s="20">
        <v>0</v>
      </c>
      <c r="P60" s="39"/>
      <c r="Q60" s="24"/>
      <c r="R60" s="24"/>
      <c r="S60" s="24"/>
      <c r="T60" s="24"/>
      <c r="U60" s="58"/>
      <c r="V60" s="24"/>
      <c r="W60" s="24"/>
      <c r="X60" s="24"/>
      <c r="Y60" s="24"/>
      <c r="Z60" s="24"/>
      <c r="AA60" s="24"/>
    </row>
    <row r="61" spans="1:27" ht="17.25" thickTop="1" thickBot="1" x14ac:dyDescent="0.35">
      <c r="A61" s="19" t="s">
        <v>81</v>
      </c>
      <c r="B61" s="19">
        <v>16</v>
      </c>
      <c r="C61" s="20">
        <f t="shared" si="7"/>
        <v>0</v>
      </c>
      <c r="D61" s="20">
        <f>G23</f>
        <v>0</v>
      </c>
      <c r="E61" s="23">
        <f t="shared" si="8"/>
        <v>0</v>
      </c>
      <c r="F61" s="20">
        <f t="shared" si="10"/>
        <v>0</v>
      </c>
      <c r="G61" s="20">
        <f t="shared" si="11"/>
        <v>0</v>
      </c>
      <c r="H61" s="23">
        <f t="shared" si="9"/>
        <v>0</v>
      </c>
      <c r="I61" s="20">
        <f t="shared" si="12"/>
        <v>0</v>
      </c>
      <c r="J61" s="20">
        <f t="shared" si="13"/>
        <v>0</v>
      </c>
      <c r="K61" s="20">
        <v>0</v>
      </c>
      <c r="L61" s="20">
        <v>0</v>
      </c>
      <c r="M61" s="20">
        <v>0</v>
      </c>
      <c r="Q61" s="24"/>
      <c r="R61" s="58"/>
      <c r="S61" s="24"/>
      <c r="T61" s="24"/>
      <c r="U61" s="58"/>
      <c r="V61" s="24"/>
      <c r="W61" s="24"/>
      <c r="X61" s="24"/>
      <c r="Y61" s="24"/>
      <c r="Z61" s="24"/>
      <c r="AA61" s="24"/>
    </row>
    <row r="62" spans="1:27" ht="17.25" thickTop="1" thickBot="1" x14ac:dyDescent="0.35">
      <c r="A62" s="19" t="s">
        <v>41</v>
      </c>
      <c r="B62" s="19">
        <v>44</v>
      </c>
      <c r="C62" s="20">
        <f t="shared" si="7"/>
        <v>4596.6495535714294</v>
      </c>
      <c r="D62" s="20">
        <f>G24</f>
        <v>2340.1125000000002</v>
      </c>
      <c r="E62" s="23">
        <f t="shared" si="8"/>
        <v>8.946269665452633E-2</v>
      </c>
      <c r="F62" s="20">
        <f t="shared" si="10"/>
        <v>2856.4642857142844</v>
      </c>
      <c r="G62" s="20">
        <f t="shared" si="11"/>
        <v>1454.1999999999994</v>
      </c>
      <c r="H62" s="23">
        <f t="shared" si="9"/>
        <v>4.0897499922659772E-2</v>
      </c>
      <c r="I62" s="20">
        <f t="shared" si="12"/>
        <v>-1740.1852678571445</v>
      </c>
      <c r="J62" s="20">
        <f t="shared" si="13"/>
        <v>-885.91250000000082</v>
      </c>
      <c r="K62" s="20">
        <v>0</v>
      </c>
      <c r="L62" s="20">
        <f>L56</f>
        <v>-885.91250000000082</v>
      </c>
      <c r="M62" s="20">
        <v>0</v>
      </c>
      <c r="Q62" s="24"/>
      <c r="R62" s="24"/>
      <c r="S62" s="24"/>
      <c r="T62" s="24"/>
      <c r="U62" s="58"/>
      <c r="V62" s="24"/>
      <c r="W62" s="24"/>
      <c r="X62" s="24"/>
      <c r="Y62" s="24"/>
      <c r="Z62" s="24"/>
      <c r="AA62" s="24"/>
    </row>
    <row r="63" spans="1:27" ht="17.25" thickTop="1" thickBot="1" x14ac:dyDescent="0.35">
      <c r="A63" s="19" t="s">
        <v>43</v>
      </c>
      <c r="B63" s="19">
        <v>18</v>
      </c>
      <c r="C63" s="20">
        <f t="shared" si="7"/>
        <v>3064.8013392857147</v>
      </c>
      <c r="D63" s="20">
        <f>G25</f>
        <v>3813.9749999999999</v>
      </c>
      <c r="E63" s="23">
        <f t="shared" si="8"/>
        <v>0.14580858333646227</v>
      </c>
      <c r="F63" s="20">
        <f t="shared" si="10"/>
        <v>0</v>
      </c>
      <c r="G63" s="20">
        <f t="shared" si="11"/>
        <v>0</v>
      </c>
      <c r="H63" s="23">
        <f t="shared" si="9"/>
        <v>0</v>
      </c>
      <c r="I63" s="20">
        <f t="shared" si="12"/>
        <v>-3064.8013392857151</v>
      </c>
      <c r="J63" s="20">
        <f t="shared" si="13"/>
        <v>-3813.9750000000004</v>
      </c>
      <c r="K63" s="20">
        <f>K60*5+K59*4+K58*3+K57*2+K56</f>
        <v>-3813.9750000000004</v>
      </c>
      <c r="L63" s="20">
        <v>0</v>
      </c>
      <c r="M63" s="20">
        <v>0</v>
      </c>
      <c r="Q63" s="24"/>
      <c r="R63" s="24"/>
      <c r="S63" s="24"/>
      <c r="T63" s="24"/>
      <c r="U63" s="58"/>
      <c r="V63" s="24"/>
      <c r="W63" s="24"/>
      <c r="X63" s="24"/>
      <c r="Y63" s="24"/>
      <c r="AA63" s="24"/>
    </row>
    <row r="64" spans="1:27" ht="16.5" thickTop="1" thickBot="1" x14ac:dyDescent="0.3">
      <c r="A64" s="19" t="s">
        <v>82</v>
      </c>
      <c r="B64" s="19">
        <v>28</v>
      </c>
      <c r="C64" s="20">
        <f t="shared" si="7"/>
        <v>0</v>
      </c>
      <c r="D64" s="20">
        <v>0</v>
      </c>
      <c r="E64" s="23">
        <f t="shared" si="8"/>
        <v>0</v>
      </c>
      <c r="F64" s="20">
        <f t="shared" si="10"/>
        <v>6982.2500000000027</v>
      </c>
      <c r="G64" s="20">
        <f t="shared" si="11"/>
        <v>5585.800000000002</v>
      </c>
      <c r="H64" s="23">
        <f t="shared" si="9"/>
        <v>0.15709342254710021</v>
      </c>
      <c r="I64" s="20">
        <f t="shared" si="12"/>
        <v>6982.2500000000027</v>
      </c>
      <c r="J64" s="20">
        <f t="shared" si="13"/>
        <v>5585.800000000002</v>
      </c>
      <c r="K64" s="20">
        <f>-K60*5-K59*4-K58*3-K57*2-K56</f>
        <v>3813.9750000000004</v>
      </c>
      <c r="L64" s="20">
        <f>-L56*2</f>
        <v>1771.8250000000016</v>
      </c>
      <c r="M64" s="20">
        <v>0</v>
      </c>
      <c r="Q64" s="24"/>
      <c r="R64" s="24"/>
      <c r="S64" s="24"/>
      <c r="T64" s="24"/>
      <c r="U64" s="58"/>
      <c r="V64" s="24"/>
      <c r="W64" s="24"/>
      <c r="X64" s="24"/>
      <c r="Y64" s="24"/>
      <c r="Z64" s="24"/>
      <c r="AA64" s="24"/>
    </row>
    <row r="65" spans="1:27" ht="17.25" thickTop="1" thickBot="1" x14ac:dyDescent="0.35">
      <c r="A65" s="19" t="s">
        <v>83</v>
      </c>
      <c r="B65" s="19">
        <v>2</v>
      </c>
      <c r="C65" s="20">
        <f t="shared" si="7"/>
        <v>0</v>
      </c>
      <c r="D65" s="20">
        <f>0</f>
        <v>0</v>
      </c>
      <c r="E65" s="23">
        <f t="shared" si="8"/>
        <v>0</v>
      </c>
      <c r="F65" s="20">
        <f t="shared" si="10"/>
        <v>1085.2678571428571</v>
      </c>
      <c r="G65" s="20">
        <f t="shared" si="11"/>
        <v>12155</v>
      </c>
      <c r="H65" s="23">
        <f t="shared" si="9"/>
        <v>0.3418437020766949</v>
      </c>
      <c r="I65" s="20">
        <f t="shared" si="12"/>
        <v>1085.2678571428571</v>
      </c>
      <c r="J65" s="20">
        <f t="shared" si="13"/>
        <v>12155</v>
      </c>
      <c r="K65" s="20">
        <f>-K60*11-K59*9-K58*7-K57*5-K56*3</f>
        <v>10383.174999999999</v>
      </c>
      <c r="L65" s="20">
        <f>-L56*2</f>
        <v>1771.8250000000016</v>
      </c>
      <c r="M65" s="20">
        <v>0</v>
      </c>
      <c r="Q65" s="24"/>
      <c r="R65" s="24"/>
      <c r="S65" s="24"/>
      <c r="T65" s="24"/>
      <c r="U65" s="58"/>
      <c r="V65" s="24"/>
      <c r="W65" s="24"/>
      <c r="X65" s="24"/>
      <c r="Y65" s="24"/>
      <c r="Z65" s="24"/>
      <c r="AA65" s="24"/>
    </row>
    <row r="66" spans="1:27" ht="17.25" thickTop="1" thickBot="1" x14ac:dyDescent="0.35">
      <c r="A66" s="19" t="s">
        <v>45</v>
      </c>
      <c r="B66" s="19">
        <v>28</v>
      </c>
      <c r="C66" s="20">
        <f t="shared" si="7"/>
        <v>20452.732142857145</v>
      </c>
      <c r="D66" s="20">
        <f>G52*(1-E7-E8-E9-E10-E11)+D26</f>
        <v>16362.185714285715</v>
      </c>
      <c r="E66" s="23">
        <f t="shared" si="8"/>
        <v>0.62552772875755636</v>
      </c>
      <c r="F66" s="20">
        <f t="shared" si="10"/>
        <v>20452.732142857145</v>
      </c>
      <c r="G66" s="20">
        <f t="shared" si="11"/>
        <v>16362.185714285715</v>
      </c>
      <c r="H66" s="23">
        <f t="shared" si="9"/>
        <v>0.46016537545354502</v>
      </c>
      <c r="I66" s="20">
        <f t="shared" si="12"/>
        <v>0</v>
      </c>
      <c r="J66" s="20">
        <f t="shared" si="13"/>
        <v>0</v>
      </c>
      <c r="K66" s="20">
        <v>0</v>
      </c>
      <c r="L66" s="20">
        <v>0</v>
      </c>
      <c r="M66" s="20">
        <v>0</v>
      </c>
      <c r="Q66" s="24"/>
      <c r="R66" s="24"/>
      <c r="S66" s="24"/>
      <c r="T66" s="24"/>
      <c r="U66" s="58"/>
      <c r="V66" s="24"/>
      <c r="W66" s="24"/>
      <c r="X66" s="24"/>
      <c r="Y66" s="24"/>
      <c r="Z66" s="24"/>
      <c r="AA66" s="24"/>
    </row>
    <row r="67" spans="1:27" ht="16.5" thickTop="1" thickBot="1" x14ac:dyDescent="0.3">
      <c r="A67" s="27" t="s">
        <v>46</v>
      </c>
      <c r="B67" s="19"/>
      <c r="C67" s="20">
        <f t="shared" ref="C67:M67" si="14">SUM(C56:C66)</f>
        <v>31376.71428571429</v>
      </c>
      <c r="D67" s="20">
        <f t="shared" si="14"/>
        <v>26157.410714285717</v>
      </c>
      <c r="E67" s="23">
        <f t="shared" si="14"/>
        <v>0.99999999999999989</v>
      </c>
      <c r="F67" s="20">
        <f t="shared" si="14"/>
        <v>31376.71428571429</v>
      </c>
      <c r="G67" s="20">
        <f t="shared" si="14"/>
        <v>35557.185714285719</v>
      </c>
      <c r="H67" s="23">
        <f t="shared" si="14"/>
        <v>1</v>
      </c>
      <c r="I67" s="20">
        <f t="shared" si="14"/>
        <v>-6.8212102632969618E-13</v>
      </c>
      <c r="J67" s="20">
        <f t="shared" si="14"/>
        <v>9399.7750000000015</v>
      </c>
      <c r="K67" s="20">
        <f t="shared" si="14"/>
        <v>7627.9499999999989</v>
      </c>
      <c r="L67" s="20">
        <f t="shared" si="14"/>
        <v>1771.8250000000016</v>
      </c>
      <c r="M67" s="20">
        <f t="shared" si="14"/>
        <v>0</v>
      </c>
      <c r="Q67" s="26"/>
      <c r="R67" s="24"/>
      <c r="S67" s="24"/>
      <c r="T67" s="26"/>
      <c r="U67" s="58"/>
      <c r="V67" s="24"/>
      <c r="W67" s="24"/>
      <c r="X67" s="24"/>
      <c r="Y67" s="24"/>
      <c r="Z67" s="24"/>
      <c r="AA67" s="24"/>
    </row>
    <row r="68" spans="1:27" ht="16.5" thickTop="1" thickBot="1" x14ac:dyDescent="0.3">
      <c r="C68" s="24"/>
      <c r="D68" s="24"/>
    </row>
    <row r="69" spans="1:27" ht="19.5" thickTop="1" thickBot="1" x14ac:dyDescent="0.3">
      <c r="G69" s="59" t="s">
        <v>84</v>
      </c>
      <c r="H69" s="60"/>
      <c r="I69" s="61">
        <f>G65/G64</f>
        <v>2.1760535643954304</v>
      </c>
    </row>
    <row r="70" spans="1:27" ht="16.5" thickTop="1" thickBot="1" x14ac:dyDescent="0.3">
      <c r="B70" s="12" t="s">
        <v>85</v>
      </c>
      <c r="C70" s="62"/>
      <c r="D70" s="63">
        <v>5</v>
      </c>
      <c r="H70" s="55"/>
    </row>
    <row r="71" spans="1:27" ht="17.25" thickTop="1" thickBot="1" x14ac:dyDescent="0.3">
      <c r="A71" s="57" t="s">
        <v>75</v>
      </c>
      <c r="B71" s="12" t="s">
        <v>86</v>
      </c>
      <c r="C71" s="62"/>
      <c r="D71" s="63">
        <v>4</v>
      </c>
    </row>
    <row r="72" spans="1:27" ht="17.25" thickTop="1" thickBot="1" x14ac:dyDescent="0.3">
      <c r="A72" s="57"/>
      <c r="B72" s="12" t="s">
        <v>87</v>
      </c>
      <c r="C72" s="62"/>
      <c r="D72" s="63">
        <v>3</v>
      </c>
    </row>
    <row r="73" spans="1:27" ht="17.25" thickTop="1" thickBot="1" x14ac:dyDescent="0.3">
      <c r="A73" s="57"/>
      <c r="B73" s="12" t="s">
        <v>88</v>
      </c>
      <c r="C73" s="62"/>
      <c r="D73" s="63">
        <v>2</v>
      </c>
      <c r="S73" s="24"/>
    </row>
    <row r="74" spans="1:27" ht="17.25" thickTop="1" thickBot="1" x14ac:dyDescent="0.3">
      <c r="A74" s="57"/>
      <c r="B74" s="12" t="s">
        <v>89</v>
      </c>
      <c r="C74" s="62"/>
      <c r="D74" s="63">
        <v>1</v>
      </c>
    </row>
    <row r="75" spans="1:27" ht="17.25" thickTop="1" thickBot="1" x14ac:dyDescent="0.3">
      <c r="A75" s="57"/>
      <c r="B75" s="12"/>
      <c r="C75" s="62"/>
      <c r="D75" s="63"/>
    </row>
    <row r="76" spans="1:27" ht="17.25" thickTop="1" thickBot="1" x14ac:dyDescent="0.3">
      <c r="A76" s="57"/>
      <c r="B76" s="12" t="s">
        <v>90</v>
      </c>
      <c r="C76" s="12"/>
      <c r="D76" s="63">
        <v>6</v>
      </c>
      <c r="H76" s="24"/>
    </row>
    <row r="77" spans="1:27" ht="17.25" thickTop="1" thickBot="1" x14ac:dyDescent="0.3">
      <c r="A77" s="57" t="s">
        <v>76</v>
      </c>
      <c r="B77" s="64" t="s">
        <v>91</v>
      </c>
      <c r="C77" s="12"/>
      <c r="D77" s="65"/>
      <c r="K77" s="24"/>
      <c r="M77" s="24"/>
    </row>
    <row r="78" spans="1:27" ht="17.25" thickTop="1" thickBot="1" x14ac:dyDescent="0.3">
      <c r="A78" s="57"/>
      <c r="B78" s="64" t="s">
        <v>92</v>
      </c>
      <c r="C78" s="12"/>
      <c r="D78" s="65"/>
      <c r="L78" s="24"/>
      <c r="M78" s="24"/>
    </row>
    <row r="79" spans="1:27" ht="17.25" thickTop="1" thickBot="1" x14ac:dyDescent="0.3">
      <c r="A79" s="57"/>
      <c r="B79" s="64" t="s">
        <v>93</v>
      </c>
      <c r="C79" s="12"/>
      <c r="D79" s="65"/>
    </row>
    <row r="80" spans="1:27" ht="17.25" thickTop="1" thickBot="1" x14ac:dyDescent="0.3">
      <c r="A80" s="57"/>
      <c r="B80" s="64" t="s">
        <v>94</v>
      </c>
      <c r="C80" s="12"/>
      <c r="D80" s="66"/>
      <c r="K80" s="24"/>
      <c r="M80" s="24"/>
    </row>
    <row r="81" spans="1:24" ht="17.25" thickTop="1" thickBot="1" x14ac:dyDescent="0.3">
      <c r="A81" s="57"/>
      <c r="B81" s="64"/>
      <c r="C81" s="12"/>
      <c r="D81" s="67"/>
    </row>
    <row r="82" spans="1:24" ht="17.25" thickTop="1" thickBot="1" x14ac:dyDescent="0.3">
      <c r="A82" s="57"/>
      <c r="B82" s="64" t="s">
        <v>95</v>
      </c>
      <c r="C82" s="12"/>
      <c r="D82" s="67"/>
    </row>
    <row r="83" spans="1:24" ht="17.25" thickTop="1" thickBot="1" x14ac:dyDescent="0.3">
      <c r="A83" s="57" t="s">
        <v>77</v>
      </c>
      <c r="B83" s="64" t="s">
        <v>96</v>
      </c>
      <c r="C83" s="12"/>
      <c r="D83" s="67"/>
    </row>
    <row r="84" spans="1:24" ht="17.25" thickTop="1" thickBot="1" x14ac:dyDescent="0.3">
      <c r="A84" s="57"/>
      <c r="B84" s="64" t="s">
        <v>97</v>
      </c>
      <c r="C84" s="12"/>
      <c r="D84" s="6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6.5" thickTop="1" thickBot="1" x14ac:dyDescent="0.3">
      <c r="B85" s="64" t="s">
        <v>98</v>
      </c>
      <c r="C85" s="12"/>
      <c r="D85" s="6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6.5" thickTop="1" thickBot="1" x14ac:dyDescent="0.3">
      <c r="B86" s="64" t="s">
        <v>99</v>
      </c>
      <c r="C86" s="62"/>
      <c r="D86" s="6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thickTop="1" x14ac:dyDescent="0.25"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B88" s="69"/>
      <c r="C88" s="70"/>
      <c r="D88" s="70"/>
      <c r="F88" s="107" t="s">
        <v>100</v>
      </c>
      <c r="G88" s="107"/>
      <c r="H88" s="107"/>
      <c r="I88" s="107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thickBot="1" x14ac:dyDescent="0.3">
      <c r="B89" s="37" t="s">
        <v>101</v>
      </c>
      <c r="C89" s="38" t="s">
        <v>49</v>
      </c>
      <c r="D89" s="70"/>
      <c r="F89" s="71"/>
      <c r="I89" s="72"/>
      <c r="J89" s="72"/>
      <c r="K89" s="72"/>
      <c r="L89" s="72"/>
      <c r="M89" s="72"/>
      <c r="N89" s="69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0.25" thickTop="1" thickBot="1" x14ac:dyDescent="0.4">
      <c r="A90" s="73" t="s">
        <v>28</v>
      </c>
      <c r="B90" s="73" t="s">
        <v>50</v>
      </c>
      <c r="C90" s="73" t="s">
        <v>51</v>
      </c>
      <c r="D90">
        <v>11</v>
      </c>
      <c r="E90" s="100" t="s">
        <v>85</v>
      </c>
      <c r="F90" s="101"/>
      <c r="H90" s="76" t="s">
        <v>102</v>
      </c>
      <c r="I90" s="76" t="s">
        <v>103</v>
      </c>
      <c r="J90" s="76" t="s">
        <v>104</v>
      </c>
      <c r="K90" s="76" t="s">
        <v>105</v>
      </c>
      <c r="L90" s="76" t="s">
        <v>106</v>
      </c>
      <c r="M90" s="76" t="s">
        <v>107</v>
      </c>
    </row>
    <row r="91" spans="1:24" ht="17.25" thickTop="1" thickBot="1" x14ac:dyDescent="0.3">
      <c r="A91" s="18" t="s">
        <v>8</v>
      </c>
      <c r="B91" s="23">
        <v>35.700000000000003</v>
      </c>
      <c r="C91" s="23">
        <v>-74.599999999999994</v>
      </c>
      <c r="D91">
        <v>12</v>
      </c>
      <c r="E91" s="102" t="s">
        <v>86</v>
      </c>
      <c r="F91" s="103"/>
      <c r="H91" s="20">
        <f>H36</f>
        <v>24440240.997488841</v>
      </c>
      <c r="I91" s="20">
        <f>E6*(1-I6)/D13*N50*20*1000/3600</f>
        <v>31697.153397817463</v>
      </c>
      <c r="J91" s="20">
        <f>(K60/D13*C108+K59/D13*C107+K58/D13*C106+K57/D13*C105+K56/D13*C104)*1000/3600*1000</f>
        <v>-8966392.7331349216</v>
      </c>
      <c r="K91" s="20">
        <f>L56/D13*C109*1000/3600*1000</f>
        <v>-2714095.7728794669</v>
      </c>
      <c r="L91" s="20">
        <f>0</f>
        <v>0</v>
      </c>
      <c r="M91" s="20">
        <f>H91+I91+J91+K91+L91</f>
        <v>12791449.644872271</v>
      </c>
      <c r="N91" s="79"/>
    </row>
    <row r="92" spans="1:24" ht="17.25" thickTop="1" thickBot="1" x14ac:dyDescent="0.3">
      <c r="A92" s="18" t="s">
        <v>12</v>
      </c>
      <c r="B92" s="23">
        <v>52.49</v>
      </c>
      <c r="C92" s="23">
        <v>-84</v>
      </c>
      <c r="D92">
        <v>13</v>
      </c>
      <c r="E92" s="102" t="s">
        <v>87</v>
      </c>
      <c r="F92" s="103"/>
    </row>
    <row r="93" spans="1:24" ht="17.25" thickTop="1" thickBot="1" x14ac:dyDescent="0.3">
      <c r="A93" s="18" t="s">
        <v>14</v>
      </c>
      <c r="B93" s="23">
        <v>73.599999999999994</v>
      </c>
      <c r="C93" s="23">
        <v>-103.85</v>
      </c>
      <c r="D93">
        <v>14</v>
      </c>
      <c r="E93" s="102" t="s">
        <v>88</v>
      </c>
      <c r="F93" s="103"/>
    </row>
    <row r="94" spans="1:24" ht="19.5" thickTop="1" thickBot="1" x14ac:dyDescent="0.3">
      <c r="A94" s="18" t="s">
        <v>16</v>
      </c>
      <c r="B94" s="23">
        <v>98.49</v>
      </c>
      <c r="C94" s="23">
        <v>-125.77</v>
      </c>
      <c r="D94">
        <v>15</v>
      </c>
      <c r="E94" s="102" t="s">
        <v>89</v>
      </c>
      <c r="F94" s="103"/>
      <c r="H94" s="80" t="s">
        <v>108</v>
      </c>
      <c r="I94" s="81">
        <f>M91/(G67/D13*1000/3600*B103)</f>
        <v>988.22208006490143</v>
      </c>
      <c r="J94" s="82" t="s">
        <v>109</v>
      </c>
    </row>
    <row r="95" spans="1:24" ht="17.25" thickTop="1" thickBot="1" x14ac:dyDescent="0.3">
      <c r="A95" s="18" t="s">
        <v>18</v>
      </c>
      <c r="B95" s="23">
        <v>120.04</v>
      </c>
      <c r="C95" s="23">
        <v>-146.36000000000001</v>
      </c>
      <c r="E95" s="77"/>
      <c r="F95" s="78"/>
    </row>
    <row r="96" spans="1:24" ht="17.25" thickTop="1" thickBot="1" x14ac:dyDescent="0.35">
      <c r="A96" s="19" t="s">
        <v>81</v>
      </c>
      <c r="B96" s="23">
        <v>29.38</v>
      </c>
      <c r="C96" s="23">
        <v>0</v>
      </c>
      <c r="D96">
        <v>21</v>
      </c>
      <c r="E96" s="102" t="s">
        <v>90</v>
      </c>
      <c r="F96" s="78"/>
    </row>
    <row r="97" spans="1:8" ht="17.25" thickTop="1" thickBot="1" x14ac:dyDescent="0.35">
      <c r="A97" s="19" t="s">
        <v>41</v>
      </c>
      <c r="B97" s="23">
        <v>37.14</v>
      </c>
      <c r="C97" s="23">
        <v>-393.51</v>
      </c>
      <c r="D97">
        <v>22</v>
      </c>
      <c r="E97" s="77" t="s">
        <v>91</v>
      </c>
      <c r="F97" s="78"/>
    </row>
    <row r="98" spans="1:8" ht="17.25" thickTop="1" thickBot="1" x14ac:dyDescent="0.35">
      <c r="A98" s="19" t="s">
        <v>43</v>
      </c>
      <c r="B98" s="23">
        <v>33.6</v>
      </c>
      <c r="C98" s="23">
        <v>-241.83</v>
      </c>
      <c r="D98">
        <v>23</v>
      </c>
      <c r="E98" s="77" t="s">
        <v>92</v>
      </c>
      <c r="F98" s="78"/>
    </row>
    <row r="99" spans="1:8" ht="16.5" thickTop="1" thickBot="1" x14ac:dyDescent="0.3">
      <c r="A99" s="19" t="s">
        <v>82</v>
      </c>
      <c r="B99" s="23">
        <v>29.14</v>
      </c>
      <c r="C99" s="23">
        <v>-110.53</v>
      </c>
      <c r="D99">
        <v>24</v>
      </c>
      <c r="E99" s="77" t="s">
        <v>93</v>
      </c>
      <c r="F99" s="78"/>
      <c r="H99" s="85"/>
    </row>
    <row r="100" spans="1:8" ht="17.25" thickTop="1" thickBot="1" x14ac:dyDescent="0.35">
      <c r="A100" s="19" t="s">
        <v>83</v>
      </c>
      <c r="B100" s="23">
        <v>28.84</v>
      </c>
      <c r="C100" s="23">
        <v>0</v>
      </c>
      <c r="D100">
        <v>25</v>
      </c>
      <c r="E100" s="77" t="s">
        <v>94</v>
      </c>
      <c r="F100" s="78"/>
      <c r="H100" s="85"/>
    </row>
    <row r="101" spans="1:8" ht="17.25" thickTop="1" thickBot="1" x14ac:dyDescent="0.35">
      <c r="A101" s="86" t="s">
        <v>45</v>
      </c>
      <c r="B101" s="87">
        <v>29.12</v>
      </c>
      <c r="C101" s="23"/>
      <c r="E101" s="77"/>
      <c r="F101" s="78"/>
      <c r="H101" s="85"/>
    </row>
    <row r="102" spans="1:8" ht="20.25" thickTop="1" thickBot="1" x14ac:dyDescent="0.3">
      <c r="A102" s="88" t="s">
        <v>110</v>
      </c>
      <c r="B102" s="89">
        <f>B91*E56+B92*E57+B93*E58+B94*E59+B95*E60+B96*E61+B97*E62+B98*E63+B99*E64+B100*E65+B101*E66</f>
        <v>32.217276461532684</v>
      </c>
      <c r="C102" s="90"/>
      <c r="D102">
        <v>31</v>
      </c>
      <c r="E102" s="77" t="s">
        <v>95</v>
      </c>
      <c r="F102" s="78"/>
      <c r="H102" s="85"/>
    </row>
    <row r="103" spans="1:8" ht="20.25" thickTop="1" thickBot="1" x14ac:dyDescent="0.3">
      <c r="A103" s="88" t="s">
        <v>111</v>
      </c>
      <c r="B103" s="91">
        <f>B91*H56+B92*H57+B93*H58+B94*H59+B95*H60+B96*H61+B97*H62+B98*H63+B99*H64+B100*H65+B101*H66</f>
        <v>29.355423581249198</v>
      </c>
      <c r="C103" s="92"/>
      <c r="D103">
        <v>32</v>
      </c>
      <c r="E103" s="77" t="s">
        <v>96</v>
      </c>
      <c r="F103" s="78"/>
      <c r="H103" s="85"/>
    </row>
    <row r="104" spans="1:8" ht="17.25" thickTop="1" thickBot="1" x14ac:dyDescent="0.3">
      <c r="B104" s="93" t="s">
        <v>112</v>
      </c>
      <c r="C104" s="94">
        <f>C99-C91-C98</f>
        <v>205.9</v>
      </c>
      <c r="D104">
        <v>33</v>
      </c>
      <c r="E104" s="77" t="s">
        <v>97</v>
      </c>
      <c r="F104" s="78"/>
      <c r="H104" s="85"/>
    </row>
    <row r="105" spans="1:8" ht="17.25" thickTop="1" thickBot="1" x14ac:dyDescent="0.3">
      <c r="B105" s="95" t="s">
        <v>113</v>
      </c>
      <c r="C105" s="96">
        <f>2*C99-C92-2*C98</f>
        <v>346.6</v>
      </c>
      <c r="D105">
        <v>34</v>
      </c>
      <c r="E105" s="77" t="s">
        <v>98</v>
      </c>
      <c r="F105" s="78"/>
    </row>
    <row r="106" spans="1:8" ht="17.25" thickTop="1" thickBot="1" x14ac:dyDescent="0.3">
      <c r="B106" s="97" t="s">
        <v>114</v>
      </c>
      <c r="C106" s="47">
        <f>C99*3-C93-3*C98</f>
        <v>497.75</v>
      </c>
      <c r="D106">
        <v>35</v>
      </c>
      <c r="E106" s="104" t="s">
        <v>99</v>
      </c>
      <c r="F106" s="105"/>
    </row>
    <row r="107" spans="1:8" ht="17.25" thickTop="1" thickBot="1" x14ac:dyDescent="0.3">
      <c r="B107" s="97" t="s">
        <v>115</v>
      </c>
      <c r="C107" s="47">
        <f>C99*4-C94-C98*4</f>
        <v>650.97</v>
      </c>
    </row>
    <row r="108" spans="1:8" ht="17.25" thickTop="1" thickBot="1" x14ac:dyDescent="0.3">
      <c r="B108" s="97" t="s">
        <v>116</v>
      </c>
      <c r="C108" s="47">
        <f>C99*5-C95-C98*5</f>
        <v>802.86000000000013</v>
      </c>
    </row>
    <row r="109" spans="1:8" ht="17.25" thickTop="1" thickBot="1" x14ac:dyDescent="0.3">
      <c r="B109" s="97" t="s">
        <v>117</v>
      </c>
      <c r="C109" s="47">
        <f>2*C99-C91-C97</f>
        <v>247.04999999999998</v>
      </c>
      <c r="D109" t="s">
        <v>60</v>
      </c>
    </row>
    <row r="110" spans="1:8" ht="17.25" thickTop="1" thickBot="1" x14ac:dyDescent="0.3">
      <c r="B110" s="97" t="s">
        <v>118</v>
      </c>
      <c r="C110" s="47"/>
    </row>
    <row r="111" spans="1:8" ht="17.25" thickTop="1" thickBot="1" x14ac:dyDescent="0.3">
      <c r="B111" s="97" t="s">
        <v>119</v>
      </c>
      <c r="C111" s="47"/>
    </row>
    <row r="112" spans="1:8" ht="17.25" thickTop="1" thickBot="1" x14ac:dyDescent="0.3">
      <c r="B112" s="97" t="s">
        <v>120</v>
      </c>
      <c r="C112" s="47"/>
    </row>
    <row r="113" spans="2:3" ht="17.25" thickTop="1" thickBot="1" x14ac:dyDescent="0.3">
      <c r="B113" s="97" t="s">
        <v>121</v>
      </c>
      <c r="C113" s="47"/>
    </row>
    <row r="114" spans="2:3" ht="17.25" thickTop="1" thickBot="1" x14ac:dyDescent="0.3">
      <c r="B114" s="97" t="s">
        <v>122</v>
      </c>
      <c r="C114" s="47"/>
    </row>
    <row r="115" spans="2:3" ht="17.25" thickTop="1" thickBot="1" x14ac:dyDescent="0.3">
      <c r="B115" s="97" t="s">
        <v>123</v>
      </c>
      <c r="C115" s="47"/>
    </row>
    <row r="116" spans="2:3" ht="17.25" thickTop="1" thickBot="1" x14ac:dyDescent="0.3">
      <c r="B116" s="97" t="s">
        <v>124</v>
      </c>
      <c r="C116" s="47"/>
    </row>
    <row r="117" spans="2:3" ht="17.25" thickTop="1" thickBot="1" x14ac:dyDescent="0.3">
      <c r="B117" s="97" t="s">
        <v>125</v>
      </c>
      <c r="C117" s="47"/>
    </row>
    <row r="118" spans="2:3" ht="17.25" thickTop="1" thickBot="1" x14ac:dyDescent="0.3">
      <c r="B118" s="97" t="s">
        <v>126</v>
      </c>
      <c r="C118" s="47"/>
    </row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02E2-5877-4B40-BCE4-7B065A307164}">
  <dimension ref="A2:AA118"/>
  <sheetViews>
    <sheetView topLeftCell="A88" workbookViewId="0">
      <selection activeCell="F75" sqref="F75"/>
    </sheetView>
  </sheetViews>
  <sheetFormatPr defaultColWidth="11.5703125" defaultRowHeight="15" x14ac:dyDescent="0.25"/>
  <cols>
    <col min="1" max="1" width="13.140625" customWidth="1"/>
    <col min="4" max="4" width="15" customWidth="1"/>
    <col min="6" max="6" width="18.140625" customWidth="1"/>
    <col min="7" max="7" width="15.5703125" customWidth="1"/>
    <col min="8" max="8" width="18.5703125" customWidth="1"/>
    <col min="9" max="9" width="13.28515625" customWidth="1"/>
    <col min="13" max="13" width="16.42578125" customWidth="1"/>
    <col min="257" max="257" width="13.140625" customWidth="1"/>
    <col min="260" max="260" width="15" customWidth="1"/>
    <col min="262" max="262" width="18.140625" customWidth="1"/>
    <col min="263" max="263" width="15.5703125" customWidth="1"/>
    <col min="264" max="264" width="18.5703125" customWidth="1"/>
    <col min="265" max="265" width="13.28515625" customWidth="1"/>
    <col min="269" max="269" width="16.42578125" customWidth="1"/>
    <col min="513" max="513" width="13.140625" customWidth="1"/>
    <col min="516" max="516" width="15" customWidth="1"/>
    <col min="518" max="518" width="18.140625" customWidth="1"/>
    <col min="519" max="519" width="15.5703125" customWidth="1"/>
    <col min="520" max="520" width="18.5703125" customWidth="1"/>
    <col min="521" max="521" width="13.28515625" customWidth="1"/>
    <col min="525" max="525" width="16.42578125" customWidth="1"/>
    <col min="769" max="769" width="13.140625" customWidth="1"/>
    <col min="772" max="772" width="15" customWidth="1"/>
    <col min="774" max="774" width="18.140625" customWidth="1"/>
    <col min="775" max="775" width="15.5703125" customWidth="1"/>
    <col min="776" max="776" width="18.5703125" customWidth="1"/>
    <col min="777" max="777" width="13.28515625" customWidth="1"/>
    <col min="781" max="781" width="16.42578125" customWidth="1"/>
    <col min="1025" max="1025" width="13.140625" customWidth="1"/>
    <col min="1028" max="1028" width="15" customWidth="1"/>
    <col min="1030" max="1030" width="18.140625" customWidth="1"/>
    <col min="1031" max="1031" width="15.5703125" customWidth="1"/>
    <col min="1032" max="1032" width="18.5703125" customWidth="1"/>
    <col min="1033" max="1033" width="13.28515625" customWidth="1"/>
    <col min="1037" max="1037" width="16.42578125" customWidth="1"/>
    <col min="1281" max="1281" width="13.140625" customWidth="1"/>
    <col min="1284" max="1284" width="15" customWidth="1"/>
    <col min="1286" max="1286" width="18.140625" customWidth="1"/>
    <col min="1287" max="1287" width="15.5703125" customWidth="1"/>
    <col min="1288" max="1288" width="18.5703125" customWidth="1"/>
    <col min="1289" max="1289" width="13.28515625" customWidth="1"/>
    <col min="1293" max="1293" width="16.42578125" customWidth="1"/>
    <col min="1537" max="1537" width="13.140625" customWidth="1"/>
    <col min="1540" max="1540" width="15" customWidth="1"/>
    <col min="1542" max="1542" width="18.140625" customWidth="1"/>
    <col min="1543" max="1543" width="15.5703125" customWidth="1"/>
    <col min="1544" max="1544" width="18.5703125" customWidth="1"/>
    <col min="1545" max="1545" width="13.28515625" customWidth="1"/>
    <col min="1549" max="1549" width="16.42578125" customWidth="1"/>
    <col min="1793" max="1793" width="13.140625" customWidth="1"/>
    <col min="1796" max="1796" width="15" customWidth="1"/>
    <col min="1798" max="1798" width="18.140625" customWidth="1"/>
    <col min="1799" max="1799" width="15.5703125" customWidth="1"/>
    <col min="1800" max="1800" width="18.5703125" customWidth="1"/>
    <col min="1801" max="1801" width="13.28515625" customWidth="1"/>
    <col min="1805" max="1805" width="16.42578125" customWidth="1"/>
    <col min="2049" max="2049" width="13.140625" customWidth="1"/>
    <col min="2052" max="2052" width="15" customWidth="1"/>
    <col min="2054" max="2054" width="18.140625" customWidth="1"/>
    <col min="2055" max="2055" width="15.5703125" customWidth="1"/>
    <col min="2056" max="2056" width="18.5703125" customWidth="1"/>
    <col min="2057" max="2057" width="13.28515625" customWidth="1"/>
    <col min="2061" max="2061" width="16.42578125" customWidth="1"/>
    <col min="2305" max="2305" width="13.140625" customWidth="1"/>
    <col min="2308" max="2308" width="15" customWidth="1"/>
    <col min="2310" max="2310" width="18.140625" customWidth="1"/>
    <col min="2311" max="2311" width="15.5703125" customWidth="1"/>
    <col min="2312" max="2312" width="18.5703125" customWidth="1"/>
    <col min="2313" max="2313" width="13.28515625" customWidth="1"/>
    <col min="2317" max="2317" width="16.42578125" customWidth="1"/>
    <col min="2561" max="2561" width="13.140625" customWidth="1"/>
    <col min="2564" max="2564" width="15" customWidth="1"/>
    <col min="2566" max="2566" width="18.140625" customWidth="1"/>
    <col min="2567" max="2567" width="15.5703125" customWidth="1"/>
    <col min="2568" max="2568" width="18.5703125" customWidth="1"/>
    <col min="2569" max="2569" width="13.28515625" customWidth="1"/>
    <col min="2573" max="2573" width="16.42578125" customWidth="1"/>
    <col min="2817" max="2817" width="13.140625" customWidth="1"/>
    <col min="2820" max="2820" width="15" customWidth="1"/>
    <col min="2822" max="2822" width="18.140625" customWidth="1"/>
    <col min="2823" max="2823" width="15.5703125" customWidth="1"/>
    <col min="2824" max="2824" width="18.5703125" customWidth="1"/>
    <col min="2825" max="2825" width="13.28515625" customWidth="1"/>
    <col min="2829" max="2829" width="16.42578125" customWidth="1"/>
    <col min="3073" max="3073" width="13.140625" customWidth="1"/>
    <col min="3076" max="3076" width="15" customWidth="1"/>
    <col min="3078" max="3078" width="18.140625" customWidth="1"/>
    <col min="3079" max="3079" width="15.5703125" customWidth="1"/>
    <col min="3080" max="3080" width="18.5703125" customWidth="1"/>
    <col min="3081" max="3081" width="13.28515625" customWidth="1"/>
    <col min="3085" max="3085" width="16.42578125" customWidth="1"/>
    <col min="3329" max="3329" width="13.140625" customWidth="1"/>
    <col min="3332" max="3332" width="15" customWidth="1"/>
    <col min="3334" max="3334" width="18.140625" customWidth="1"/>
    <col min="3335" max="3335" width="15.5703125" customWidth="1"/>
    <col min="3336" max="3336" width="18.5703125" customWidth="1"/>
    <col min="3337" max="3337" width="13.28515625" customWidth="1"/>
    <col min="3341" max="3341" width="16.42578125" customWidth="1"/>
    <col min="3585" max="3585" width="13.140625" customWidth="1"/>
    <col min="3588" max="3588" width="15" customWidth="1"/>
    <col min="3590" max="3590" width="18.140625" customWidth="1"/>
    <col min="3591" max="3591" width="15.5703125" customWidth="1"/>
    <col min="3592" max="3592" width="18.5703125" customWidth="1"/>
    <col min="3593" max="3593" width="13.28515625" customWidth="1"/>
    <col min="3597" max="3597" width="16.42578125" customWidth="1"/>
    <col min="3841" max="3841" width="13.140625" customWidth="1"/>
    <col min="3844" max="3844" width="15" customWidth="1"/>
    <col min="3846" max="3846" width="18.140625" customWidth="1"/>
    <col min="3847" max="3847" width="15.5703125" customWidth="1"/>
    <col min="3848" max="3848" width="18.5703125" customWidth="1"/>
    <col min="3849" max="3849" width="13.28515625" customWidth="1"/>
    <col min="3853" max="3853" width="16.42578125" customWidth="1"/>
    <col min="4097" max="4097" width="13.140625" customWidth="1"/>
    <col min="4100" max="4100" width="15" customWidth="1"/>
    <col min="4102" max="4102" width="18.140625" customWidth="1"/>
    <col min="4103" max="4103" width="15.5703125" customWidth="1"/>
    <col min="4104" max="4104" width="18.5703125" customWidth="1"/>
    <col min="4105" max="4105" width="13.28515625" customWidth="1"/>
    <col min="4109" max="4109" width="16.42578125" customWidth="1"/>
    <col min="4353" max="4353" width="13.140625" customWidth="1"/>
    <col min="4356" max="4356" width="15" customWidth="1"/>
    <col min="4358" max="4358" width="18.140625" customWidth="1"/>
    <col min="4359" max="4359" width="15.5703125" customWidth="1"/>
    <col min="4360" max="4360" width="18.5703125" customWidth="1"/>
    <col min="4361" max="4361" width="13.28515625" customWidth="1"/>
    <col min="4365" max="4365" width="16.42578125" customWidth="1"/>
    <col min="4609" max="4609" width="13.140625" customWidth="1"/>
    <col min="4612" max="4612" width="15" customWidth="1"/>
    <col min="4614" max="4614" width="18.140625" customWidth="1"/>
    <col min="4615" max="4615" width="15.5703125" customWidth="1"/>
    <col min="4616" max="4616" width="18.5703125" customWidth="1"/>
    <col min="4617" max="4617" width="13.28515625" customWidth="1"/>
    <col min="4621" max="4621" width="16.42578125" customWidth="1"/>
    <col min="4865" max="4865" width="13.140625" customWidth="1"/>
    <col min="4868" max="4868" width="15" customWidth="1"/>
    <col min="4870" max="4870" width="18.140625" customWidth="1"/>
    <col min="4871" max="4871" width="15.5703125" customWidth="1"/>
    <col min="4872" max="4872" width="18.5703125" customWidth="1"/>
    <col min="4873" max="4873" width="13.28515625" customWidth="1"/>
    <col min="4877" max="4877" width="16.42578125" customWidth="1"/>
    <col min="5121" max="5121" width="13.140625" customWidth="1"/>
    <col min="5124" max="5124" width="15" customWidth="1"/>
    <col min="5126" max="5126" width="18.140625" customWidth="1"/>
    <col min="5127" max="5127" width="15.5703125" customWidth="1"/>
    <col min="5128" max="5128" width="18.5703125" customWidth="1"/>
    <col min="5129" max="5129" width="13.28515625" customWidth="1"/>
    <col min="5133" max="5133" width="16.42578125" customWidth="1"/>
    <col min="5377" max="5377" width="13.140625" customWidth="1"/>
    <col min="5380" max="5380" width="15" customWidth="1"/>
    <col min="5382" max="5382" width="18.140625" customWidth="1"/>
    <col min="5383" max="5383" width="15.5703125" customWidth="1"/>
    <col min="5384" max="5384" width="18.5703125" customWidth="1"/>
    <col min="5385" max="5385" width="13.28515625" customWidth="1"/>
    <col min="5389" max="5389" width="16.42578125" customWidth="1"/>
    <col min="5633" max="5633" width="13.140625" customWidth="1"/>
    <col min="5636" max="5636" width="15" customWidth="1"/>
    <col min="5638" max="5638" width="18.140625" customWidth="1"/>
    <col min="5639" max="5639" width="15.5703125" customWidth="1"/>
    <col min="5640" max="5640" width="18.5703125" customWidth="1"/>
    <col min="5641" max="5641" width="13.28515625" customWidth="1"/>
    <col min="5645" max="5645" width="16.42578125" customWidth="1"/>
    <col min="5889" max="5889" width="13.140625" customWidth="1"/>
    <col min="5892" max="5892" width="15" customWidth="1"/>
    <col min="5894" max="5894" width="18.140625" customWidth="1"/>
    <col min="5895" max="5895" width="15.5703125" customWidth="1"/>
    <col min="5896" max="5896" width="18.5703125" customWidth="1"/>
    <col min="5897" max="5897" width="13.28515625" customWidth="1"/>
    <col min="5901" max="5901" width="16.42578125" customWidth="1"/>
    <col min="6145" max="6145" width="13.140625" customWidth="1"/>
    <col min="6148" max="6148" width="15" customWidth="1"/>
    <col min="6150" max="6150" width="18.140625" customWidth="1"/>
    <col min="6151" max="6151" width="15.5703125" customWidth="1"/>
    <col min="6152" max="6152" width="18.5703125" customWidth="1"/>
    <col min="6153" max="6153" width="13.28515625" customWidth="1"/>
    <col min="6157" max="6157" width="16.42578125" customWidth="1"/>
    <col min="6401" max="6401" width="13.140625" customWidth="1"/>
    <col min="6404" max="6404" width="15" customWidth="1"/>
    <col min="6406" max="6406" width="18.140625" customWidth="1"/>
    <col min="6407" max="6407" width="15.5703125" customWidth="1"/>
    <col min="6408" max="6408" width="18.5703125" customWidth="1"/>
    <col min="6409" max="6409" width="13.28515625" customWidth="1"/>
    <col min="6413" max="6413" width="16.42578125" customWidth="1"/>
    <col min="6657" max="6657" width="13.140625" customWidth="1"/>
    <col min="6660" max="6660" width="15" customWidth="1"/>
    <col min="6662" max="6662" width="18.140625" customWidth="1"/>
    <col min="6663" max="6663" width="15.5703125" customWidth="1"/>
    <col min="6664" max="6664" width="18.5703125" customWidth="1"/>
    <col min="6665" max="6665" width="13.28515625" customWidth="1"/>
    <col min="6669" max="6669" width="16.42578125" customWidth="1"/>
    <col min="6913" max="6913" width="13.140625" customWidth="1"/>
    <col min="6916" max="6916" width="15" customWidth="1"/>
    <col min="6918" max="6918" width="18.140625" customWidth="1"/>
    <col min="6919" max="6919" width="15.5703125" customWidth="1"/>
    <col min="6920" max="6920" width="18.5703125" customWidth="1"/>
    <col min="6921" max="6921" width="13.28515625" customWidth="1"/>
    <col min="6925" max="6925" width="16.42578125" customWidth="1"/>
    <col min="7169" max="7169" width="13.140625" customWidth="1"/>
    <col min="7172" max="7172" width="15" customWidth="1"/>
    <col min="7174" max="7174" width="18.140625" customWidth="1"/>
    <col min="7175" max="7175" width="15.5703125" customWidth="1"/>
    <col min="7176" max="7176" width="18.5703125" customWidth="1"/>
    <col min="7177" max="7177" width="13.28515625" customWidth="1"/>
    <col min="7181" max="7181" width="16.42578125" customWidth="1"/>
    <col min="7425" max="7425" width="13.140625" customWidth="1"/>
    <col min="7428" max="7428" width="15" customWidth="1"/>
    <col min="7430" max="7430" width="18.140625" customWidth="1"/>
    <col min="7431" max="7431" width="15.5703125" customWidth="1"/>
    <col min="7432" max="7432" width="18.5703125" customWidth="1"/>
    <col min="7433" max="7433" width="13.28515625" customWidth="1"/>
    <col min="7437" max="7437" width="16.42578125" customWidth="1"/>
    <col min="7681" max="7681" width="13.140625" customWidth="1"/>
    <col min="7684" max="7684" width="15" customWidth="1"/>
    <col min="7686" max="7686" width="18.140625" customWidth="1"/>
    <col min="7687" max="7687" width="15.5703125" customWidth="1"/>
    <col min="7688" max="7688" width="18.5703125" customWidth="1"/>
    <col min="7689" max="7689" width="13.28515625" customWidth="1"/>
    <col min="7693" max="7693" width="16.42578125" customWidth="1"/>
    <col min="7937" max="7937" width="13.140625" customWidth="1"/>
    <col min="7940" max="7940" width="15" customWidth="1"/>
    <col min="7942" max="7942" width="18.140625" customWidth="1"/>
    <col min="7943" max="7943" width="15.5703125" customWidth="1"/>
    <col min="7944" max="7944" width="18.5703125" customWidth="1"/>
    <col min="7945" max="7945" width="13.28515625" customWidth="1"/>
    <col min="7949" max="7949" width="16.42578125" customWidth="1"/>
    <col min="8193" max="8193" width="13.140625" customWidth="1"/>
    <col min="8196" max="8196" width="15" customWidth="1"/>
    <col min="8198" max="8198" width="18.140625" customWidth="1"/>
    <col min="8199" max="8199" width="15.5703125" customWidth="1"/>
    <col min="8200" max="8200" width="18.5703125" customWidth="1"/>
    <col min="8201" max="8201" width="13.28515625" customWidth="1"/>
    <col min="8205" max="8205" width="16.42578125" customWidth="1"/>
    <col min="8449" max="8449" width="13.140625" customWidth="1"/>
    <col min="8452" max="8452" width="15" customWidth="1"/>
    <col min="8454" max="8454" width="18.140625" customWidth="1"/>
    <col min="8455" max="8455" width="15.5703125" customWidth="1"/>
    <col min="8456" max="8456" width="18.5703125" customWidth="1"/>
    <col min="8457" max="8457" width="13.28515625" customWidth="1"/>
    <col min="8461" max="8461" width="16.42578125" customWidth="1"/>
    <col min="8705" max="8705" width="13.140625" customWidth="1"/>
    <col min="8708" max="8708" width="15" customWidth="1"/>
    <col min="8710" max="8710" width="18.140625" customWidth="1"/>
    <col min="8711" max="8711" width="15.5703125" customWidth="1"/>
    <col min="8712" max="8712" width="18.5703125" customWidth="1"/>
    <col min="8713" max="8713" width="13.28515625" customWidth="1"/>
    <col min="8717" max="8717" width="16.42578125" customWidth="1"/>
    <col min="8961" max="8961" width="13.140625" customWidth="1"/>
    <col min="8964" max="8964" width="15" customWidth="1"/>
    <col min="8966" max="8966" width="18.140625" customWidth="1"/>
    <col min="8967" max="8967" width="15.5703125" customWidth="1"/>
    <col min="8968" max="8968" width="18.5703125" customWidth="1"/>
    <col min="8969" max="8969" width="13.28515625" customWidth="1"/>
    <col min="8973" max="8973" width="16.42578125" customWidth="1"/>
    <col min="9217" max="9217" width="13.140625" customWidth="1"/>
    <col min="9220" max="9220" width="15" customWidth="1"/>
    <col min="9222" max="9222" width="18.140625" customWidth="1"/>
    <col min="9223" max="9223" width="15.5703125" customWidth="1"/>
    <col min="9224" max="9224" width="18.5703125" customWidth="1"/>
    <col min="9225" max="9225" width="13.28515625" customWidth="1"/>
    <col min="9229" max="9229" width="16.42578125" customWidth="1"/>
    <col min="9473" max="9473" width="13.140625" customWidth="1"/>
    <col min="9476" max="9476" width="15" customWidth="1"/>
    <col min="9478" max="9478" width="18.140625" customWidth="1"/>
    <col min="9479" max="9479" width="15.5703125" customWidth="1"/>
    <col min="9480" max="9480" width="18.5703125" customWidth="1"/>
    <col min="9481" max="9481" width="13.28515625" customWidth="1"/>
    <col min="9485" max="9485" width="16.42578125" customWidth="1"/>
    <col min="9729" max="9729" width="13.140625" customWidth="1"/>
    <col min="9732" max="9732" width="15" customWidth="1"/>
    <col min="9734" max="9734" width="18.140625" customWidth="1"/>
    <col min="9735" max="9735" width="15.5703125" customWidth="1"/>
    <col min="9736" max="9736" width="18.5703125" customWidth="1"/>
    <col min="9737" max="9737" width="13.28515625" customWidth="1"/>
    <col min="9741" max="9741" width="16.42578125" customWidth="1"/>
    <col min="9985" max="9985" width="13.140625" customWidth="1"/>
    <col min="9988" max="9988" width="15" customWidth="1"/>
    <col min="9990" max="9990" width="18.140625" customWidth="1"/>
    <col min="9991" max="9991" width="15.5703125" customWidth="1"/>
    <col min="9992" max="9992" width="18.5703125" customWidth="1"/>
    <col min="9993" max="9993" width="13.28515625" customWidth="1"/>
    <col min="9997" max="9997" width="16.42578125" customWidth="1"/>
    <col min="10241" max="10241" width="13.140625" customWidth="1"/>
    <col min="10244" max="10244" width="15" customWidth="1"/>
    <col min="10246" max="10246" width="18.140625" customWidth="1"/>
    <col min="10247" max="10247" width="15.5703125" customWidth="1"/>
    <col min="10248" max="10248" width="18.5703125" customWidth="1"/>
    <col min="10249" max="10249" width="13.28515625" customWidth="1"/>
    <col min="10253" max="10253" width="16.42578125" customWidth="1"/>
    <col min="10497" max="10497" width="13.140625" customWidth="1"/>
    <col min="10500" max="10500" width="15" customWidth="1"/>
    <col min="10502" max="10502" width="18.140625" customWidth="1"/>
    <col min="10503" max="10503" width="15.5703125" customWidth="1"/>
    <col min="10504" max="10504" width="18.5703125" customWidth="1"/>
    <col min="10505" max="10505" width="13.28515625" customWidth="1"/>
    <col min="10509" max="10509" width="16.42578125" customWidth="1"/>
    <col min="10753" max="10753" width="13.140625" customWidth="1"/>
    <col min="10756" max="10756" width="15" customWidth="1"/>
    <col min="10758" max="10758" width="18.140625" customWidth="1"/>
    <col min="10759" max="10759" width="15.5703125" customWidth="1"/>
    <col min="10760" max="10760" width="18.5703125" customWidth="1"/>
    <col min="10761" max="10761" width="13.28515625" customWidth="1"/>
    <col min="10765" max="10765" width="16.42578125" customWidth="1"/>
    <col min="11009" max="11009" width="13.140625" customWidth="1"/>
    <col min="11012" max="11012" width="15" customWidth="1"/>
    <col min="11014" max="11014" width="18.140625" customWidth="1"/>
    <col min="11015" max="11015" width="15.5703125" customWidth="1"/>
    <col min="11016" max="11016" width="18.5703125" customWidth="1"/>
    <col min="11017" max="11017" width="13.28515625" customWidth="1"/>
    <col min="11021" max="11021" width="16.42578125" customWidth="1"/>
    <col min="11265" max="11265" width="13.140625" customWidth="1"/>
    <col min="11268" max="11268" width="15" customWidth="1"/>
    <col min="11270" max="11270" width="18.140625" customWidth="1"/>
    <col min="11271" max="11271" width="15.5703125" customWidth="1"/>
    <col min="11272" max="11272" width="18.5703125" customWidth="1"/>
    <col min="11273" max="11273" width="13.28515625" customWidth="1"/>
    <col min="11277" max="11277" width="16.42578125" customWidth="1"/>
    <col min="11521" max="11521" width="13.140625" customWidth="1"/>
    <col min="11524" max="11524" width="15" customWidth="1"/>
    <col min="11526" max="11526" width="18.140625" customWidth="1"/>
    <col min="11527" max="11527" width="15.5703125" customWidth="1"/>
    <col min="11528" max="11528" width="18.5703125" customWidth="1"/>
    <col min="11529" max="11529" width="13.28515625" customWidth="1"/>
    <col min="11533" max="11533" width="16.42578125" customWidth="1"/>
    <col min="11777" max="11777" width="13.140625" customWidth="1"/>
    <col min="11780" max="11780" width="15" customWidth="1"/>
    <col min="11782" max="11782" width="18.140625" customWidth="1"/>
    <col min="11783" max="11783" width="15.5703125" customWidth="1"/>
    <col min="11784" max="11784" width="18.5703125" customWidth="1"/>
    <col min="11785" max="11785" width="13.28515625" customWidth="1"/>
    <col min="11789" max="11789" width="16.42578125" customWidth="1"/>
    <col min="12033" max="12033" width="13.140625" customWidth="1"/>
    <col min="12036" max="12036" width="15" customWidth="1"/>
    <col min="12038" max="12038" width="18.140625" customWidth="1"/>
    <col min="12039" max="12039" width="15.5703125" customWidth="1"/>
    <col min="12040" max="12040" width="18.5703125" customWidth="1"/>
    <col min="12041" max="12041" width="13.28515625" customWidth="1"/>
    <col min="12045" max="12045" width="16.42578125" customWidth="1"/>
    <col min="12289" max="12289" width="13.140625" customWidth="1"/>
    <col min="12292" max="12292" width="15" customWidth="1"/>
    <col min="12294" max="12294" width="18.140625" customWidth="1"/>
    <col min="12295" max="12295" width="15.5703125" customWidth="1"/>
    <col min="12296" max="12296" width="18.5703125" customWidth="1"/>
    <col min="12297" max="12297" width="13.28515625" customWidth="1"/>
    <col min="12301" max="12301" width="16.42578125" customWidth="1"/>
    <col min="12545" max="12545" width="13.140625" customWidth="1"/>
    <col min="12548" max="12548" width="15" customWidth="1"/>
    <col min="12550" max="12550" width="18.140625" customWidth="1"/>
    <col min="12551" max="12551" width="15.5703125" customWidth="1"/>
    <col min="12552" max="12552" width="18.5703125" customWidth="1"/>
    <col min="12553" max="12553" width="13.28515625" customWidth="1"/>
    <col min="12557" max="12557" width="16.42578125" customWidth="1"/>
    <col min="12801" max="12801" width="13.140625" customWidth="1"/>
    <col min="12804" max="12804" width="15" customWidth="1"/>
    <col min="12806" max="12806" width="18.140625" customWidth="1"/>
    <col min="12807" max="12807" width="15.5703125" customWidth="1"/>
    <col min="12808" max="12808" width="18.5703125" customWidth="1"/>
    <col min="12809" max="12809" width="13.28515625" customWidth="1"/>
    <col min="12813" max="12813" width="16.42578125" customWidth="1"/>
    <col min="13057" max="13057" width="13.140625" customWidth="1"/>
    <col min="13060" max="13060" width="15" customWidth="1"/>
    <col min="13062" max="13062" width="18.140625" customWidth="1"/>
    <col min="13063" max="13063" width="15.5703125" customWidth="1"/>
    <col min="13064" max="13064" width="18.5703125" customWidth="1"/>
    <col min="13065" max="13065" width="13.28515625" customWidth="1"/>
    <col min="13069" max="13069" width="16.42578125" customWidth="1"/>
    <col min="13313" max="13313" width="13.140625" customWidth="1"/>
    <col min="13316" max="13316" width="15" customWidth="1"/>
    <col min="13318" max="13318" width="18.140625" customWidth="1"/>
    <col min="13319" max="13319" width="15.5703125" customWidth="1"/>
    <col min="13320" max="13320" width="18.5703125" customWidth="1"/>
    <col min="13321" max="13321" width="13.28515625" customWidth="1"/>
    <col min="13325" max="13325" width="16.42578125" customWidth="1"/>
    <col min="13569" max="13569" width="13.140625" customWidth="1"/>
    <col min="13572" max="13572" width="15" customWidth="1"/>
    <col min="13574" max="13574" width="18.140625" customWidth="1"/>
    <col min="13575" max="13575" width="15.5703125" customWidth="1"/>
    <col min="13576" max="13576" width="18.5703125" customWidth="1"/>
    <col min="13577" max="13577" width="13.28515625" customWidth="1"/>
    <col min="13581" max="13581" width="16.42578125" customWidth="1"/>
    <col min="13825" max="13825" width="13.140625" customWidth="1"/>
    <col min="13828" max="13828" width="15" customWidth="1"/>
    <col min="13830" max="13830" width="18.140625" customWidth="1"/>
    <col min="13831" max="13831" width="15.5703125" customWidth="1"/>
    <col min="13832" max="13832" width="18.5703125" customWidth="1"/>
    <col min="13833" max="13833" width="13.28515625" customWidth="1"/>
    <col min="13837" max="13837" width="16.42578125" customWidth="1"/>
    <col min="14081" max="14081" width="13.140625" customWidth="1"/>
    <col min="14084" max="14084" width="15" customWidth="1"/>
    <col min="14086" max="14086" width="18.140625" customWidth="1"/>
    <col min="14087" max="14087" width="15.5703125" customWidth="1"/>
    <col min="14088" max="14088" width="18.5703125" customWidth="1"/>
    <col min="14089" max="14089" width="13.28515625" customWidth="1"/>
    <col min="14093" max="14093" width="16.42578125" customWidth="1"/>
    <col min="14337" max="14337" width="13.140625" customWidth="1"/>
    <col min="14340" max="14340" width="15" customWidth="1"/>
    <col min="14342" max="14342" width="18.140625" customWidth="1"/>
    <col min="14343" max="14343" width="15.5703125" customWidth="1"/>
    <col min="14344" max="14344" width="18.5703125" customWidth="1"/>
    <col min="14345" max="14345" width="13.28515625" customWidth="1"/>
    <col min="14349" max="14349" width="16.42578125" customWidth="1"/>
    <col min="14593" max="14593" width="13.140625" customWidth="1"/>
    <col min="14596" max="14596" width="15" customWidth="1"/>
    <col min="14598" max="14598" width="18.140625" customWidth="1"/>
    <col min="14599" max="14599" width="15.5703125" customWidth="1"/>
    <col min="14600" max="14600" width="18.5703125" customWidth="1"/>
    <col min="14601" max="14601" width="13.28515625" customWidth="1"/>
    <col min="14605" max="14605" width="16.42578125" customWidth="1"/>
    <col min="14849" max="14849" width="13.140625" customWidth="1"/>
    <col min="14852" max="14852" width="15" customWidth="1"/>
    <col min="14854" max="14854" width="18.140625" customWidth="1"/>
    <col min="14855" max="14855" width="15.5703125" customWidth="1"/>
    <col min="14856" max="14856" width="18.5703125" customWidth="1"/>
    <col min="14857" max="14857" width="13.28515625" customWidth="1"/>
    <col min="14861" max="14861" width="16.42578125" customWidth="1"/>
    <col min="15105" max="15105" width="13.140625" customWidth="1"/>
    <col min="15108" max="15108" width="15" customWidth="1"/>
    <col min="15110" max="15110" width="18.140625" customWidth="1"/>
    <col min="15111" max="15111" width="15.5703125" customWidth="1"/>
    <col min="15112" max="15112" width="18.5703125" customWidth="1"/>
    <col min="15113" max="15113" width="13.28515625" customWidth="1"/>
    <col min="15117" max="15117" width="16.42578125" customWidth="1"/>
    <col min="15361" max="15361" width="13.140625" customWidth="1"/>
    <col min="15364" max="15364" width="15" customWidth="1"/>
    <col min="15366" max="15366" width="18.140625" customWidth="1"/>
    <col min="15367" max="15367" width="15.5703125" customWidth="1"/>
    <col min="15368" max="15368" width="18.5703125" customWidth="1"/>
    <col min="15369" max="15369" width="13.28515625" customWidth="1"/>
    <col min="15373" max="15373" width="16.42578125" customWidth="1"/>
    <col min="15617" max="15617" width="13.140625" customWidth="1"/>
    <col min="15620" max="15620" width="15" customWidth="1"/>
    <col min="15622" max="15622" width="18.140625" customWidth="1"/>
    <col min="15623" max="15623" width="15.5703125" customWidth="1"/>
    <col min="15624" max="15624" width="18.5703125" customWidth="1"/>
    <col min="15625" max="15625" width="13.28515625" customWidth="1"/>
    <col min="15629" max="15629" width="16.42578125" customWidth="1"/>
    <col min="15873" max="15873" width="13.140625" customWidth="1"/>
    <col min="15876" max="15876" width="15" customWidth="1"/>
    <col min="15878" max="15878" width="18.140625" customWidth="1"/>
    <col min="15879" max="15879" width="15.5703125" customWidth="1"/>
    <col min="15880" max="15880" width="18.5703125" customWidth="1"/>
    <col min="15881" max="15881" width="13.28515625" customWidth="1"/>
    <col min="15885" max="15885" width="16.42578125" customWidth="1"/>
    <col min="16129" max="16129" width="13.140625" customWidth="1"/>
    <col min="16132" max="16132" width="15" customWidth="1"/>
    <col min="16134" max="16134" width="18.140625" customWidth="1"/>
    <col min="16135" max="16135" width="15.5703125" customWidth="1"/>
    <col min="16136" max="16136" width="18.5703125" customWidth="1"/>
    <col min="16137" max="16137" width="13.28515625" customWidth="1"/>
    <col min="16141" max="16141" width="16.42578125" customWidth="1"/>
  </cols>
  <sheetData>
    <row r="2" spans="1:15" ht="18" x14ac:dyDescent="0.25">
      <c r="A2" s="1" t="s">
        <v>0</v>
      </c>
    </row>
    <row r="3" spans="1:15" ht="18" x14ac:dyDescent="0.25">
      <c r="A3" s="1"/>
    </row>
    <row r="4" spans="1:15" ht="15.75" x14ac:dyDescent="0.25">
      <c r="A4" s="2" t="s">
        <v>1</v>
      </c>
      <c r="B4" s="3"/>
    </row>
    <row r="5" spans="1:15" ht="16.5" thickBot="1" x14ac:dyDescent="0.3">
      <c r="D5" s="2" t="s">
        <v>2</v>
      </c>
    </row>
    <row r="6" spans="1:15" ht="17.25" thickTop="1" thickBot="1" x14ac:dyDescent="0.3">
      <c r="C6" s="4" t="s">
        <v>3</v>
      </c>
      <c r="D6" s="5"/>
      <c r="E6" s="6">
        <v>5500</v>
      </c>
      <c r="F6" t="s">
        <v>4</v>
      </c>
      <c r="G6" s="4" t="s">
        <v>5</v>
      </c>
      <c r="H6" s="5"/>
      <c r="I6" s="6">
        <v>0.45</v>
      </c>
      <c r="K6" t="s">
        <v>6</v>
      </c>
    </row>
    <row r="7" spans="1:15" ht="17.25" thickTop="1" thickBot="1" x14ac:dyDescent="0.3">
      <c r="C7" s="4" t="s">
        <v>7</v>
      </c>
      <c r="D7" s="7" t="s">
        <v>8</v>
      </c>
      <c r="E7" s="6">
        <v>0.78</v>
      </c>
      <c r="G7" s="4" t="s">
        <v>9</v>
      </c>
      <c r="H7" s="5"/>
      <c r="I7" s="6">
        <v>1.1499999999999999</v>
      </c>
      <c r="K7" t="s">
        <v>10</v>
      </c>
      <c r="M7" s="108"/>
      <c r="N7" s="108"/>
      <c r="O7" s="108"/>
    </row>
    <row r="8" spans="1:15" ht="17.25" thickTop="1" thickBot="1" x14ac:dyDescent="0.3">
      <c r="C8" t="s">
        <v>11</v>
      </c>
      <c r="D8" s="9" t="s">
        <v>12</v>
      </c>
      <c r="E8" s="6">
        <v>0.03</v>
      </c>
      <c r="G8" s="10" t="s">
        <v>13</v>
      </c>
      <c r="H8" s="3"/>
      <c r="I8" s="3"/>
      <c r="J8" s="3"/>
      <c r="M8" s="8"/>
      <c r="N8" s="8"/>
      <c r="O8" s="11"/>
    </row>
    <row r="9" spans="1:15" ht="17.25" thickTop="1" thickBot="1" x14ac:dyDescent="0.3">
      <c r="C9">
        <v>475</v>
      </c>
      <c r="D9" s="9" t="s">
        <v>14</v>
      </c>
      <c r="E9" s="6">
        <v>0.05</v>
      </c>
      <c r="G9" s="12" t="s">
        <v>15</v>
      </c>
      <c r="H9" s="12"/>
      <c r="I9" s="13">
        <v>5</v>
      </c>
      <c r="M9" s="108"/>
      <c r="N9" s="108"/>
      <c r="O9" s="108"/>
    </row>
    <row r="10" spans="1:15" ht="17.25" thickTop="1" thickBot="1" x14ac:dyDescent="0.3">
      <c r="D10" s="9" t="s">
        <v>16</v>
      </c>
      <c r="E10" s="6">
        <v>0.06</v>
      </c>
      <c r="G10" s="12" t="s">
        <v>17</v>
      </c>
      <c r="H10" s="12"/>
      <c r="I10" s="13">
        <v>4</v>
      </c>
      <c r="M10" s="8"/>
      <c r="N10" s="8"/>
      <c r="O10" s="11"/>
    </row>
    <row r="11" spans="1:15" ht="17.25" thickTop="1" thickBot="1" x14ac:dyDescent="0.3">
      <c r="D11" s="9" t="s">
        <v>18</v>
      </c>
      <c r="E11" s="6">
        <v>0.01</v>
      </c>
      <c r="G11" s="12" t="s">
        <v>19</v>
      </c>
      <c r="H11" s="12"/>
      <c r="I11" s="13">
        <v>3</v>
      </c>
      <c r="M11" s="108"/>
      <c r="N11" s="108"/>
      <c r="O11" s="108"/>
    </row>
    <row r="12" spans="1:15" ht="17.25" thickTop="1" thickBot="1" x14ac:dyDescent="0.3">
      <c r="D12" s="14" t="s">
        <v>20</v>
      </c>
      <c r="E12" s="15" t="s">
        <v>21</v>
      </c>
      <c r="G12" s="12" t="s">
        <v>22</v>
      </c>
      <c r="H12" s="12"/>
      <c r="I12" s="13">
        <v>2</v>
      </c>
      <c r="M12" s="11"/>
      <c r="N12" s="11"/>
      <c r="O12" s="11"/>
    </row>
    <row r="13" spans="1:15" ht="17.25" thickTop="1" thickBot="1" x14ac:dyDescent="0.3">
      <c r="D13">
        <v>22.4</v>
      </c>
      <c r="G13" s="12" t="s">
        <v>23</v>
      </c>
      <c r="H13" s="12"/>
      <c r="I13" s="13">
        <v>1</v>
      </c>
      <c r="M13" s="108"/>
      <c r="N13" s="108"/>
      <c r="O13" s="108"/>
    </row>
    <row r="14" spans="1:15" ht="15.75" thickTop="1" x14ac:dyDescent="0.25">
      <c r="M14" s="11"/>
      <c r="N14" s="11"/>
      <c r="O14" s="11"/>
    </row>
    <row r="15" spans="1:15" ht="16.5" thickBot="1" x14ac:dyDescent="0.3">
      <c r="E15" s="2" t="s">
        <v>24</v>
      </c>
      <c r="F15" s="3"/>
      <c r="M15" s="108"/>
      <c r="N15" s="108"/>
      <c r="O15" s="108"/>
    </row>
    <row r="16" spans="1:15" ht="17.25" thickTop="1" thickBot="1" x14ac:dyDescent="0.3">
      <c r="A16" s="12"/>
      <c r="B16" s="12"/>
      <c r="C16" s="109" t="s">
        <v>25</v>
      </c>
      <c r="D16" s="109"/>
      <c r="E16" s="109"/>
      <c r="F16" s="109" t="s">
        <v>26</v>
      </c>
      <c r="G16" s="109"/>
      <c r="H16" s="109"/>
      <c r="I16" s="4" t="s">
        <v>27</v>
      </c>
      <c r="J16" s="12"/>
    </row>
    <row r="17" spans="1:21" ht="16.5" thickTop="1" thickBot="1" x14ac:dyDescent="0.3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</row>
    <row r="18" spans="1:21" ht="17.25" thickTop="1" thickBot="1" x14ac:dyDescent="0.3">
      <c r="A18" s="18" t="s">
        <v>8</v>
      </c>
      <c r="B18" s="19">
        <v>16</v>
      </c>
      <c r="C18" s="20">
        <f t="shared" ref="C18:C26" si="0">D18/D$13*B18</f>
        <v>1378.9285714285716</v>
      </c>
      <c r="D18" s="20">
        <f>F$29*E7</f>
        <v>1930.5</v>
      </c>
      <c r="E18" s="21">
        <f t="shared" ref="E18:E26" si="1">D18/D$27</f>
        <v>8.1736526946107793E-2</v>
      </c>
      <c r="F18" s="20">
        <f t="shared" ref="F18:F26" si="2">G18/D$13*B18</f>
        <v>522.40178571428567</v>
      </c>
      <c r="G18" s="20">
        <f>1462.725/2</f>
        <v>731.36249999999995</v>
      </c>
      <c r="H18" s="23">
        <f t="shared" ref="H18:H26" si="3">G18/G$27</f>
        <v>3.0407938257993383E-2</v>
      </c>
      <c r="I18" s="20">
        <f t="shared" ref="I18:I26" si="4">J18/D$13*B18</f>
        <v>-856.52678571428578</v>
      </c>
      <c r="J18" s="20">
        <f>G18-D18</f>
        <v>-1199.1375</v>
      </c>
      <c r="N18" s="24"/>
      <c r="O18" s="24"/>
      <c r="P18" s="24"/>
      <c r="Q18" s="24"/>
      <c r="R18" s="24"/>
      <c r="S18" s="24"/>
      <c r="T18" s="24"/>
      <c r="U18" s="24"/>
    </row>
    <row r="19" spans="1:21" ht="17.25" thickTop="1" thickBot="1" x14ac:dyDescent="0.3">
      <c r="A19" s="18" t="s">
        <v>12</v>
      </c>
      <c r="B19" s="19">
        <v>30</v>
      </c>
      <c r="C19" s="20">
        <f t="shared" si="0"/>
        <v>99.441964285714292</v>
      </c>
      <c r="D19" s="20">
        <f>F$29*E8</f>
        <v>74.25</v>
      </c>
      <c r="E19" s="21">
        <f t="shared" si="1"/>
        <v>3.1437125748502996E-3</v>
      </c>
      <c r="F19" s="20">
        <f t="shared" si="2"/>
        <v>0</v>
      </c>
      <c r="G19" s="20">
        <f t="shared" ref="G19:G26" si="5">D19+J19</f>
        <v>0</v>
      </c>
      <c r="H19" s="23">
        <f t="shared" si="3"/>
        <v>0</v>
      </c>
      <c r="I19" s="20">
        <f t="shared" si="4"/>
        <v>-99.441964285714292</v>
      </c>
      <c r="J19" s="20">
        <f>-D19</f>
        <v>-74.25</v>
      </c>
      <c r="N19" s="24"/>
      <c r="O19" s="24"/>
      <c r="P19" s="24"/>
      <c r="Q19" s="24"/>
      <c r="R19" s="24"/>
      <c r="S19" s="24"/>
      <c r="T19" s="24"/>
      <c r="U19" s="24"/>
    </row>
    <row r="20" spans="1:21" ht="17.25" thickTop="1" thickBot="1" x14ac:dyDescent="0.3">
      <c r="A20" s="18" t="s">
        <v>14</v>
      </c>
      <c r="B20" s="19">
        <v>44</v>
      </c>
      <c r="C20" s="20">
        <f t="shared" si="0"/>
        <v>243.08035714285717</v>
      </c>
      <c r="D20" s="20">
        <f>F$29*E9</f>
        <v>123.75</v>
      </c>
      <c r="E20" s="21">
        <f t="shared" si="1"/>
        <v>5.2395209580838329E-3</v>
      </c>
      <c r="F20" s="20">
        <f t="shared" si="2"/>
        <v>0</v>
      </c>
      <c r="G20" s="20">
        <f t="shared" si="5"/>
        <v>0</v>
      </c>
      <c r="H20" s="23">
        <f t="shared" si="3"/>
        <v>0</v>
      </c>
      <c r="I20" s="20">
        <f t="shared" si="4"/>
        <v>-243.08035714285717</v>
      </c>
      <c r="J20" s="20">
        <f>-D20</f>
        <v>-123.75</v>
      </c>
      <c r="N20" s="24"/>
      <c r="O20" s="24"/>
      <c r="P20" s="24"/>
      <c r="Q20" s="24"/>
      <c r="R20" s="24"/>
      <c r="S20" s="24"/>
      <c r="T20" s="24"/>
      <c r="U20" s="24"/>
    </row>
    <row r="21" spans="1:21" ht="17.25" thickTop="1" thickBot="1" x14ac:dyDescent="0.3">
      <c r="A21" s="18" t="s">
        <v>16</v>
      </c>
      <c r="B21" s="19">
        <v>58</v>
      </c>
      <c r="C21" s="20">
        <f t="shared" si="0"/>
        <v>384.50892857142861</v>
      </c>
      <c r="D21" s="20">
        <f>F$29*E10</f>
        <v>148.5</v>
      </c>
      <c r="E21" s="21">
        <f t="shared" si="1"/>
        <v>6.2874251497005993E-3</v>
      </c>
      <c r="F21" s="20">
        <f t="shared" si="2"/>
        <v>0</v>
      </c>
      <c r="G21" s="20">
        <f t="shared" si="5"/>
        <v>0</v>
      </c>
      <c r="H21" s="23">
        <f t="shared" si="3"/>
        <v>0</v>
      </c>
      <c r="I21" s="20">
        <f t="shared" si="4"/>
        <v>-384.50892857142861</v>
      </c>
      <c r="J21" s="20">
        <f>-D21</f>
        <v>-148.5</v>
      </c>
      <c r="N21" s="24"/>
      <c r="O21" s="24"/>
      <c r="P21" s="24"/>
      <c r="Q21" s="24"/>
      <c r="R21" s="24"/>
      <c r="S21" s="24"/>
      <c r="T21" s="24"/>
      <c r="U21" s="24"/>
    </row>
    <row r="22" spans="1:21" ht="17.25" thickTop="1" thickBot="1" x14ac:dyDescent="0.3">
      <c r="A22" s="18" t="s">
        <v>18</v>
      </c>
      <c r="B22" s="19">
        <v>72</v>
      </c>
      <c r="C22" s="20">
        <f t="shared" si="0"/>
        <v>79.553571428571445</v>
      </c>
      <c r="D22" s="20">
        <f>F$29*E11</f>
        <v>24.75</v>
      </c>
      <c r="E22" s="21">
        <f t="shared" si="1"/>
        <v>1.0479041916167666E-3</v>
      </c>
      <c r="F22" s="20">
        <f t="shared" si="2"/>
        <v>0</v>
      </c>
      <c r="G22" s="20">
        <f t="shared" si="5"/>
        <v>0</v>
      </c>
      <c r="H22" s="23">
        <f t="shared" si="3"/>
        <v>0</v>
      </c>
      <c r="I22" s="20">
        <f t="shared" si="4"/>
        <v>-79.553571428571445</v>
      </c>
      <c r="J22" s="20">
        <f>-D22</f>
        <v>-24.75</v>
      </c>
      <c r="L22" s="25" t="s">
        <v>38</v>
      </c>
      <c r="N22" s="24"/>
      <c r="O22" s="24"/>
      <c r="P22" s="24"/>
      <c r="Q22" s="24"/>
      <c r="R22" s="24"/>
      <c r="S22" s="24"/>
      <c r="T22" s="24"/>
      <c r="U22" s="24"/>
    </row>
    <row r="23" spans="1:21" ht="17.25" thickTop="1" thickBot="1" x14ac:dyDescent="0.3">
      <c r="A23" s="18" t="s">
        <v>39</v>
      </c>
      <c r="B23" s="19">
        <v>32</v>
      </c>
      <c r="C23" s="20">
        <f t="shared" si="0"/>
        <v>6343.0714285714284</v>
      </c>
      <c r="D23" s="20">
        <f>E7*F29*2*I7</f>
        <v>4440.1499999999996</v>
      </c>
      <c r="E23" s="21">
        <f t="shared" si="1"/>
        <v>0.1879940119760479</v>
      </c>
      <c r="F23" s="20">
        <f t="shared" si="2"/>
        <v>0</v>
      </c>
      <c r="G23" s="20">
        <f t="shared" si="5"/>
        <v>0</v>
      </c>
      <c r="H23" s="23">
        <f t="shared" si="3"/>
        <v>0</v>
      </c>
      <c r="I23" s="20">
        <f t="shared" si="4"/>
        <v>-6343.0714285714284</v>
      </c>
      <c r="J23" s="20">
        <f>J22*8+J21*6.5+J20*5+J19*3.5+J18*2</f>
        <v>-4440.1499999999996</v>
      </c>
      <c r="L23" s="25" t="s">
        <v>40</v>
      </c>
      <c r="N23" s="24"/>
      <c r="O23" s="24"/>
      <c r="P23" s="24"/>
      <c r="Q23" s="24"/>
      <c r="R23" s="26"/>
      <c r="S23" s="24"/>
      <c r="T23" s="24"/>
      <c r="U23" s="24"/>
    </row>
    <row r="24" spans="1:21" ht="17.25" thickTop="1" thickBot="1" x14ac:dyDescent="0.3">
      <c r="A24" s="18" t="s">
        <v>41</v>
      </c>
      <c r="B24" s="19">
        <v>44</v>
      </c>
      <c r="C24" s="20">
        <f t="shared" si="0"/>
        <v>0</v>
      </c>
      <c r="D24" s="20">
        <v>0</v>
      </c>
      <c r="E24" s="21">
        <f t="shared" si="1"/>
        <v>0</v>
      </c>
      <c r="F24" s="20">
        <f t="shared" si="2"/>
        <v>4786.2522321428569</v>
      </c>
      <c r="G24" s="20">
        <f t="shared" si="5"/>
        <v>2436.6374999999998</v>
      </c>
      <c r="H24" s="23">
        <f t="shared" si="3"/>
        <v>0.10130834252113194</v>
      </c>
      <c r="I24" s="20">
        <f t="shared" si="4"/>
        <v>4786.2522321428569</v>
      </c>
      <c r="J24" s="20">
        <f>-J22*5-J21*4-J20*3-J19*2-J18*1</f>
        <v>2436.6374999999998</v>
      </c>
      <c r="L24" s="25" t="s">
        <v>42</v>
      </c>
      <c r="N24" s="24"/>
      <c r="O24" s="24"/>
      <c r="P24" s="24"/>
      <c r="Q24" s="24"/>
      <c r="R24" s="24"/>
      <c r="S24" s="24"/>
      <c r="T24" s="24"/>
      <c r="U24" s="24"/>
    </row>
    <row r="25" spans="1:21" ht="17.25" thickTop="1" thickBot="1" x14ac:dyDescent="0.3">
      <c r="A25" s="18" t="s">
        <v>43</v>
      </c>
      <c r="B25" s="19">
        <v>18</v>
      </c>
      <c r="C25" s="20">
        <f t="shared" si="0"/>
        <v>0</v>
      </c>
      <c r="D25" s="20">
        <v>0</v>
      </c>
      <c r="E25" s="21">
        <f t="shared" si="1"/>
        <v>0</v>
      </c>
      <c r="F25" s="20">
        <f t="shared" si="2"/>
        <v>3219.9308035714289</v>
      </c>
      <c r="G25" s="20">
        <f t="shared" si="5"/>
        <v>4007.0250000000001</v>
      </c>
      <c r="H25" s="23">
        <f t="shared" si="3"/>
        <v>0.16660051451672181</v>
      </c>
      <c r="I25" s="20">
        <f t="shared" si="4"/>
        <v>3219.9308035714289</v>
      </c>
      <c r="J25" s="20">
        <f>-J22*6-J21*5-J20*4-J19*3-J18*2</f>
        <v>4007.0250000000001</v>
      </c>
      <c r="L25" s="25" t="s">
        <v>44</v>
      </c>
      <c r="N25" s="24"/>
      <c r="O25" s="24"/>
      <c r="P25" s="24"/>
      <c r="Q25" s="24"/>
      <c r="R25" s="24"/>
      <c r="S25" s="24"/>
      <c r="T25" s="24"/>
      <c r="U25" s="24"/>
    </row>
    <row r="26" spans="1:21" ht="17.25" thickTop="1" thickBot="1" x14ac:dyDescent="0.3">
      <c r="A26" s="18" t="s">
        <v>45</v>
      </c>
      <c r="B26" s="19">
        <v>28</v>
      </c>
      <c r="C26" s="20">
        <f t="shared" si="0"/>
        <v>21095.839285714283</v>
      </c>
      <c r="D26" s="20">
        <f>D23*79/21+F29*(1-SUM(E7:E11))</f>
        <v>16876.671428571426</v>
      </c>
      <c r="E26" s="21">
        <f t="shared" si="1"/>
        <v>0.71455089820359274</v>
      </c>
      <c r="F26" s="20">
        <f t="shared" si="2"/>
        <v>21095.839285714283</v>
      </c>
      <c r="G26" s="20">
        <f t="shared" si="5"/>
        <v>16876.671428571426</v>
      </c>
      <c r="H26" s="23">
        <f t="shared" si="3"/>
        <v>0.7016832047041528</v>
      </c>
      <c r="I26" s="20">
        <f t="shared" si="4"/>
        <v>0</v>
      </c>
      <c r="J26" s="20">
        <v>0</v>
      </c>
      <c r="N26" s="24"/>
      <c r="O26" s="24"/>
      <c r="P26" s="24"/>
      <c r="Q26" s="24"/>
      <c r="R26" s="24"/>
      <c r="S26" s="24"/>
      <c r="T26" s="24"/>
      <c r="U26" s="24"/>
    </row>
    <row r="27" spans="1:21" ht="17.25" thickTop="1" thickBot="1" x14ac:dyDescent="0.3">
      <c r="A27" s="27" t="s">
        <v>46</v>
      </c>
      <c r="B27" s="14"/>
      <c r="C27" s="28">
        <f t="shared" ref="C27:J27" si="6">SUM(C18:C26)</f>
        <v>29624.424107142855</v>
      </c>
      <c r="D27" s="29">
        <f t="shared" si="6"/>
        <v>23618.571428571428</v>
      </c>
      <c r="E27" s="30">
        <f t="shared" si="6"/>
        <v>1</v>
      </c>
      <c r="F27" s="28">
        <f t="shared" si="6"/>
        <v>29624.424107142855</v>
      </c>
      <c r="G27" s="29">
        <f t="shared" si="6"/>
        <v>24051.696428571428</v>
      </c>
      <c r="H27" s="30">
        <f t="shared" si="6"/>
        <v>0.99999999999999989</v>
      </c>
      <c r="I27" s="31">
        <f t="shared" si="6"/>
        <v>-4.5474735088646412E-13</v>
      </c>
      <c r="J27" s="32">
        <f t="shared" si="6"/>
        <v>433.12500000000045</v>
      </c>
      <c r="N27" s="24"/>
      <c r="O27" s="24"/>
      <c r="P27" s="24"/>
      <c r="Q27" s="24"/>
      <c r="R27" s="24"/>
      <c r="S27" s="24"/>
      <c r="T27" s="24"/>
      <c r="U27" s="24"/>
    </row>
    <row r="28" spans="1:21" ht="16.5" thickTop="1" thickBot="1" x14ac:dyDescent="0.3"/>
    <row r="29" spans="1:21" ht="27" customHeight="1" thickTop="1" thickBot="1" x14ac:dyDescent="0.3">
      <c r="C29" s="33" t="s">
        <v>47</v>
      </c>
      <c r="D29" s="34"/>
      <c r="E29" s="34"/>
      <c r="F29" s="35">
        <f>E6*I6</f>
        <v>2475</v>
      </c>
    </row>
    <row r="30" spans="1:21" ht="26.25" customHeight="1" thickTop="1" thickBot="1" x14ac:dyDescent="0.3">
      <c r="A30" s="36"/>
      <c r="B30" s="37" t="s">
        <v>48</v>
      </c>
      <c r="C30" s="38" t="s">
        <v>49</v>
      </c>
    </row>
    <row r="31" spans="1:21" ht="20.25" thickTop="1" thickBot="1" x14ac:dyDescent="0.4">
      <c r="A31" s="40" t="s">
        <v>28</v>
      </c>
      <c r="B31" s="40" t="s">
        <v>50</v>
      </c>
      <c r="C31" s="40" t="s">
        <v>51</v>
      </c>
    </row>
    <row r="32" spans="1:21" ht="17.25" thickTop="1" thickBot="1" x14ac:dyDescent="0.3">
      <c r="A32" s="18" t="s">
        <v>8</v>
      </c>
      <c r="B32" s="41">
        <v>35.700000000000003</v>
      </c>
      <c r="C32" s="41">
        <v>-74.599999999999994</v>
      </c>
      <c r="G32" s="3"/>
    </row>
    <row r="33" spans="1:13" ht="17.25" thickTop="1" thickBot="1" x14ac:dyDescent="0.3">
      <c r="A33" s="18" t="s">
        <v>12</v>
      </c>
      <c r="B33" s="41">
        <v>52.49</v>
      </c>
      <c r="C33" s="41">
        <v>-84</v>
      </c>
      <c r="F33" s="2" t="s">
        <v>52</v>
      </c>
    </row>
    <row r="34" spans="1:13" ht="17.25" thickTop="1" thickBot="1" x14ac:dyDescent="0.3">
      <c r="A34" s="18" t="s">
        <v>14</v>
      </c>
      <c r="B34" s="41">
        <v>73.599999999999994</v>
      </c>
      <c r="C34" s="41">
        <v>-103.85</v>
      </c>
    </row>
    <row r="35" spans="1:13" ht="17.25" thickTop="1" thickBot="1" x14ac:dyDescent="0.3">
      <c r="A35" s="18" t="s">
        <v>16</v>
      </c>
      <c r="B35" s="41">
        <v>98.49</v>
      </c>
      <c r="C35" s="41">
        <v>-125.77</v>
      </c>
      <c r="F35" s="42" t="s">
        <v>53</v>
      </c>
      <c r="G35" s="42" t="s">
        <v>54</v>
      </c>
      <c r="H35" s="43" t="s">
        <v>55</v>
      </c>
    </row>
    <row r="36" spans="1:13" ht="17.25" thickTop="1" thickBot="1" x14ac:dyDescent="0.3">
      <c r="A36" s="18" t="s">
        <v>18</v>
      </c>
      <c r="B36" s="41">
        <v>120.04</v>
      </c>
      <c r="C36" s="41">
        <v>-146.36000000000001</v>
      </c>
      <c r="D36" t="s">
        <v>56</v>
      </c>
      <c r="F36" s="41">
        <f>D27/D13*B42*C9*1000/3600</f>
        <v>4249443.2240513396</v>
      </c>
      <c r="G36" s="44">
        <f>(J22/D13*C45+J21/D13*C46+J20/D13*C47+J19/D13*C48+J18/D13*C49)*1000/3600*1000</f>
        <v>21309442.006138392</v>
      </c>
      <c r="H36" s="45">
        <f>F36+G36</f>
        <v>25558885.230189733</v>
      </c>
    </row>
    <row r="37" spans="1:13" ht="17.25" thickTop="1" thickBot="1" x14ac:dyDescent="0.3">
      <c r="A37" s="18" t="s">
        <v>39</v>
      </c>
      <c r="B37" s="41">
        <v>29.38</v>
      </c>
      <c r="C37" s="41">
        <v>0</v>
      </c>
    </row>
    <row r="38" spans="1:13" ht="17.25" thickTop="1" thickBot="1" x14ac:dyDescent="0.3">
      <c r="A38" s="18" t="s">
        <v>41</v>
      </c>
      <c r="B38" s="41">
        <v>37.14</v>
      </c>
      <c r="C38" s="41">
        <v>-393.51</v>
      </c>
    </row>
    <row r="39" spans="1:13" ht="17.25" thickTop="1" thickBot="1" x14ac:dyDescent="0.3">
      <c r="A39" s="18" t="s">
        <v>43</v>
      </c>
      <c r="B39" s="41">
        <v>33.6</v>
      </c>
      <c r="C39" s="41">
        <v>-241.83</v>
      </c>
    </row>
    <row r="40" spans="1:13" ht="18" customHeight="1" thickTop="1" thickBot="1" x14ac:dyDescent="0.3">
      <c r="A40" s="18" t="s">
        <v>45</v>
      </c>
      <c r="B40" s="41">
        <v>29.12</v>
      </c>
      <c r="C40" s="41"/>
    </row>
    <row r="41" spans="1:13" ht="9" customHeight="1" thickTop="1" thickBot="1" x14ac:dyDescent="0.3">
      <c r="A41" s="8"/>
      <c r="B41" s="24"/>
      <c r="C41" s="24"/>
    </row>
    <row r="42" spans="1:13" ht="21" thickTop="1" thickBot="1" x14ac:dyDescent="0.3">
      <c r="A42" s="46" t="s">
        <v>57</v>
      </c>
      <c r="B42" s="47">
        <f>B32*E18+B33*E19+B34*E20+B35*E21+B36*E22+B37*E23+B38*E24+B39*E25+B40*E26</f>
        <v>30.544661377245511</v>
      </c>
      <c r="C42" s="48"/>
    </row>
    <row r="43" spans="1:13" ht="21" thickTop="1" thickBot="1" x14ac:dyDescent="0.3">
      <c r="A43" s="46" t="s">
        <v>58</v>
      </c>
      <c r="B43" s="47">
        <f>B32*H18+B38*H24+B39*H25+B40*H26</f>
        <v>30.878947445791987</v>
      </c>
      <c r="C43" s="49"/>
    </row>
    <row r="44" spans="1:13" ht="9.75" customHeight="1" thickTop="1" thickBot="1" x14ac:dyDescent="0.3">
      <c r="A44" s="50"/>
      <c r="B44" s="24"/>
      <c r="C44" s="24"/>
    </row>
    <row r="45" spans="1:13" ht="17.25" thickTop="1" thickBot="1" x14ac:dyDescent="0.3">
      <c r="B45" s="51" t="s">
        <v>59</v>
      </c>
      <c r="C45" s="47">
        <f>6*C39+5*C38-(8*C37+C36)</f>
        <v>-3272.1699999999996</v>
      </c>
      <c r="D45" t="s">
        <v>60</v>
      </c>
      <c r="L45" s="52" t="s">
        <v>7</v>
      </c>
      <c r="M45" s="52" t="s">
        <v>61</v>
      </c>
    </row>
    <row r="46" spans="1:13" ht="17.25" thickTop="1" thickBot="1" x14ac:dyDescent="0.3">
      <c r="B46" s="51" t="s">
        <v>62</v>
      </c>
      <c r="C46" s="47">
        <f>C39*5+C38*4-(C37*6.5+C35)</f>
        <v>-2657.42</v>
      </c>
      <c r="D46" t="s">
        <v>60</v>
      </c>
      <c r="K46" s="53" t="s">
        <v>63</v>
      </c>
      <c r="L46" s="6">
        <v>0.78</v>
      </c>
      <c r="M46" s="41">
        <f>35.7</f>
        <v>35.700000000000003</v>
      </c>
    </row>
    <row r="47" spans="1:13" ht="17.25" thickTop="1" thickBot="1" x14ac:dyDescent="0.3">
      <c r="B47" s="51" t="s">
        <v>64</v>
      </c>
      <c r="C47" s="47">
        <f>C39*3+C38*2-(C37*5+C34)</f>
        <v>-1408.66</v>
      </c>
      <c r="D47" t="s">
        <v>60</v>
      </c>
      <c r="K47" s="53" t="s">
        <v>65</v>
      </c>
      <c r="L47" s="6">
        <v>0.03</v>
      </c>
      <c r="M47" s="41">
        <v>52.49</v>
      </c>
    </row>
    <row r="48" spans="1:13" ht="17.25" thickTop="1" thickBot="1" x14ac:dyDescent="0.3">
      <c r="B48" s="51" t="s">
        <v>66</v>
      </c>
      <c r="C48" s="47">
        <f>C39*3+C38*2-(C37*3.5+C33)</f>
        <v>-1428.51</v>
      </c>
      <c r="D48" t="s">
        <v>60</v>
      </c>
      <c r="K48" s="53" t="s">
        <v>67</v>
      </c>
      <c r="L48" s="6">
        <v>0.05</v>
      </c>
      <c r="M48" s="41">
        <v>73.599999999999994</v>
      </c>
    </row>
    <row r="49" spans="1:27" ht="17.25" thickTop="1" thickBot="1" x14ac:dyDescent="0.3">
      <c r="B49" s="51" t="s">
        <v>68</v>
      </c>
      <c r="C49" s="47">
        <f>C39*2+C38-(C37*2+C32)</f>
        <v>-802.57</v>
      </c>
      <c r="D49" t="s">
        <v>60</v>
      </c>
      <c r="K49" s="53" t="s">
        <v>69</v>
      </c>
      <c r="L49" s="6">
        <v>0.06</v>
      </c>
      <c r="M49" s="41">
        <v>98.49</v>
      </c>
      <c r="N49" s="2" t="s">
        <v>70</v>
      </c>
    </row>
    <row r="50" spans="1:27" ht="17.25" thickTop="1" thickBot="1" x14ac:dyDescent="0.3">
      <c r="B50" s="24"/>
      <c r="C50" s="24"/>
      <c r="K50" s="53" t="s">
        <v>71</v>
      </c>
      <c r="L50" s="6">
        <v>0.01</v>
      </c>
      <c r="M50" s="41">
        <v>120.04</v>
      </c>
      <c r="N50" s="54">
        <f>(M46*L46+M47*L47+M48*L48+M49*L49+M50*L50+M51*(1-L46-L47-L48-L49-L50))</f>
        <v>42.248899999999999</v>
      </c>
    </row>
    <row r="51" spans="1:27" ht="16.5" thickTop="1" thickBot="1" x14ac:dyDescent="0.3">
      <c r="K51" s="53" t="s">
        <v>20</v>
      </c>
      <c r="L51" s="12" t="s">
        <v>21</v>
      </c>
      <c r="M51" s="41">
        <v>29.12</v>
      </c>
    </row>
    <row r="52" spans="1:27" ht="17.25" thickTop="1" thickBot="1" x14ac:dyDescent="0.3">
      <c r="A52" s="2" t="s">
        <v>72</v>
      </c>
      <c r="B52" s="3"/>
      <c r="E52" s="55" t="s">
        <v>73</v>
      </c>
      <c r="F52" s="3"/>
      <c r="G52" s="35">
        <f>E6*(1-I6)</f>
        <v>3025.0000000000005</v>
      </c>
    </row>
    <row r="53" spans="1:27" ht="22.5" customHeight="1" thickTop="1" x14ac:dyDescent="0.25">
      <c r="A53" s="56"/>
      <c r="B53" s="3"/>
      <c r="D53" s="106" t="s">
        <v>74</v>
      </c>
      <c r="E53" s="106"/>
      <c r="F53" s="106"/>
      <c r="G53" s="106"/>
      <c r="H53" s="106"/>
      <c r="I53" s="106"/>
    </row>
    <row r="54" spans="1:27" ht="16.5" thickBot="1" x14ac:dyDescent="0.3">
      <c r="I54">
        <v>22.4</v>
      </c>
      <c r="K54" s="57" t="s">
        <v>75</v>
      </c>
      <c r="L54" s="57" t="s">
        <v>76</v>
      </c>
      <c r="M54" s="57" t="s">
        <v>77</v>
      </c>
    </row>
    <row r="55" spans="1:27" ht="17.25" thickTop="1" thickBot="1" x14ac:dyDescent="0.3">
      <c r="A55" s="42" t="s">
        <v>28</v>
      </c>
      <c r="B55" s="42" t="s">
        <v>29</v>
      </c>
      <c r="C55" s="42" t="s">
        <v>30</v>
      </c>
      <c r="D55" s="42" t="s">
        <v>31</v>
      </c>
      <c r="E55" s="42" t="s">
        <v>32</v>
      </c>
      <c r="F55" s="42" t="s">
        <v>33</v>
      </c>
      <c r="G55" s="42" t="s">
        <v>34</v>
      </c>
      <c r="H55" s="42" t="s">
        <v>35</v>
      </c>
      <c r="I55" s="42" t="s">
        <v>36</v>
      </c>
      <c r="J55" s="42" t="s">
        <v>37</v>
      </c>
      <c r="K55" s="42" t="s">
        <v>78</v>
      </c>
      <c r="L55" s="42" t="s">
        <v>79</v>
      </c>
      <c r="M55" s="42" t="s">
        <v>80</v>
      </c>
    </row>
    <row r="56" spans="1:27" ht="17.25" thickTop="1" thickBot="1" x14ac:dyDescent="0.3">
      <c r="A56" s="18" t="s">
        <v>8</v>
      </c>
      <c r="B56" s="19">
        <v>16</v>
      </c>
      <c r="C56" s="20">
        <f t="shared" ref="C56:C66" si="7">D56/22.4*B56</f>
        <v>2207.7589285714289</v>
      </c>
      <c r="D56" s="20">
        <f>G18+G52*E7</f>
        <v>3090.8625000000002</v>
      </c>
      <c r="E56" s="23">
        <f t="shared" ref="E56:E66" si="8">D56/$D$67</f>
        <v>0.11415212738945919</v>
      </c>
      <c r="F56" s="20">
        <f>G56/$I$54*B56</f>
        <v>0</v>
      </c>
      <c r="G56" s="20">
        <f>D56+J56</f>
        <v>0</v>
      </c>
      <c r="H56" s="23">
        <f t="shared" ref="H56:H66" si="9">G56/$G$67</f>
        <v>0</v>
      </c>
      <c r="I56" s="20">
        <f>J56/$I$54*B56</f>
        <v>-2207.7589285714289</v>
      </c>
      <c r="J56" s="20">
        <f>SUM(K56:M56)</f>
        <v>-3090.8625000000002</v>
      </c>
      <c r="K56" s="20">
        <v>-2494.5250000000001</v>
      </c>
      <c r="L56" s="20">
        <f>-D56-K56</f>
        <v>-596.33750000000009</v>
      </c>
      <c r="M56" s="20">
        <v>0</v>
      </c>
      <c r="Q56" s="24"/>
      <c r="R56" s="24"/>
      <c r="S56" s="24"/>
      <c r="T56" s="24"/>
      <c r="U56" s="26"/>
      <c r="V56" s="24"/>
      <c r="W56" s="24"/>
      <c r="X56" s="24"/>
      <c r="Y56" s="24"/>
      <c r="Z56" s="24"/>
      <c r="AA56" s="24"/>
    </row>
    <row r="57" spans="1:27" ht="17.25" thickTop="1" thickBot="1" x14ac:dyDescent="0.3">
      <c r="A57" s="18" t="s">
        <v>12</v>
      </c>
      <c r="B57" s="19">
        <v>30</v>
      </c>
      <c r="C57" s="20">
        <f t="shared" si="7"/>
        <v>121.5401785714286</v>
      </c>
      <c r="D57" s="20">
        <f>G$52*E8</f>
        <v>90.750000000000014</v>
      </c>
      <c r="E57" s="23">
        <f t="shared" si="8"/>
        <v>3.3515905546084375E-3</v>
      </c>
      <c r="F57" s="20">
        <f t="shared" ref="F57:F66" si="10">G57/$I$54*B57</f>
        <v>0</v>
      </c>
      <c r="G57" s="20">
        <f t="shared" ref="G57:G66" si="11">D57+J57</f>
        <v>0</v>
      </c>
      <c r="H57" s="23">
        <f t="shared" si="9"/>
        <v>0</v>
      </c>
      <c r="I57" s="20">
        <f t="shared" ref="I57:I66" si="12">J57/$I$54*B57</f>
        <v>-121.5401785714286</v>
      </c>
      <c r="J57" s="20">
        <f t="shared" ref="J57:J66" si="13">SUM(K57:M57)</f>
        <v>-90.750000000000014</v>
      </c>
      <c r="K57" s="20">
        <f>-D57</f>
        <v>-90.750000000000014</v>
      </c>
      <c r="L57" s="20">
        <v>0</v>
      </c>
      <c r="M57" s="20">
        <v>0</v>
      </c>
      <c r="Q57" s="24"/>
      <c r="R57" s="24"/>
      <c r="S57" s="24"/>
      <c r="T57" s="24"/>
      <c r="U57" s="58"/>
      <c r="V57" s="24"/>
      <c r="W57" s="24"/>
      <c r="X57" s="24"/>
      <c r="Y57" s="24"/>
      <c r="Z57" s="24"/>
      <c r="AA57" s="24"/>
    </row>
    <row r="58" spans="1:27" ht="17.25" thickTop="1" thickBot="1" x14ac:dyDescent="0.3">
      <c r="A58" s="18" t="s">
        <v>14</v>
      </c>
      <c r="B58" s="19">
        <v>44</v>
      </c>
      <c r="C58" s="20">
        <f t="shared" si="7"/>
        <v>297.09821428571433</v>
      </c>
      <c r="D58" s="20">
        <f>G$52*E9</f>
        <v>151.25000000000003</v>
      </c>
      <c r="E58" s="23">
        <f t="shared" si="8"/>
        <v>5.5859842576807296E-3</v>
      </c>
      <c r="F58" s="20">
        <f t="shared" si="10"/>
        <v>0</v>
      </c>
      <c r="G58" s="20">
        <f t="shared" si="11"/>
        <v>0</v>
      </c>
      <c r="H58" s="23">
        <f t="shared" si="9"/>
        <v>0</v>
      </c>
      <c r="I58" s="20">
        <f t="shared" si="12"/>
        <v>-297.09821428571433</v>
      </c>
      <c r="J58" s="20">
        <f t="shared" si="13"/>
        <v>-151.25000000000003</v>
      </c>
      <c r="K58" s="20">
        <f>-D58</f>
        <v>-151.25000000000003</v>
      </c>
      <c r="L58" s="20">
        <v>0</v>
      </c>
      <c r="M58" s="20">
        <v>0</v>
      </c>
      <c r="Q58" s="24"/>
      <c r="R58" s="24"/>
      <c r="S58" s="24"/>
      <c r="T58" s="24"/>
      <c r="U58" s="58"/>
      <c r="V58" s="24"/>
      <c r="W58" s="24"/>
      <c r="X58" s="24"/>
      <c r="Y58" s="24"/>
      <c r="Z58" s="24"/>
      <c r="AA58" s="24"/>
    </row>
    <row r="59" spans="1:27" ht="17.25" thickTop="1" thickBot="1" x14ac:dyDescent="0.3">
      <c r="A59" s="18" t="s">
        <v>16</v>
      </c>
      <c r="B59" s="19">
        <v>58</v>
      </c>
      <c r="C59" s="20">
        <f t="shared" si="7"/>
        <v>469.95535714285722</v>
      </c>
      <c r="D59" s="20">
        <f>G$52*E10</f>
        <v>181.50000000000003</v>
      </c>
      <c r="E59" s="23">
        <f t="shared" si="8"/>
        <v>6.703181109216875E-3</v>
      </c>
      <c r="F59" s="20">
        <f t="shared" si="10"/>
        <v>0</v>
      </c>
      <c r="G59" s="20">
        <f t="shared" si="11"/>
        <v>0</v>
      </c>
      <c r="H59" s="23">
        <f t="shared" si="9"/>
        <v>0</v>
      </c>
      <c r="I59" s="20">
        <f t="shared" si="12"/>
        <v>-469.95535714285722</v>
      </c>
      <c r="J59" s="20">
        <f t="shared" si="13"/>
        <v>-181.50000000000003</v>
      </c>
      <c r="K59" s="20">
        <f>-D59</f>
        <v>-181.50000000000003</v>
      </c>
      <c r="L59" s="20">
        <v>0</v>
      </c>
      <c r="M59" s="20">
        <v>0</v>
      </c>
      <c r="Q59" s="24"/>
      <c r="R59" s="24"/>
      <c r="S59" s="24"/>
      <c r="T59" s="24"/>
      <c r="U59" s="58"/>
      <c r="V59" s="24"/>
      <c r="W59" s="24"/>
      <c r="X59" s="24"/>
      <c r="Y59" s="24"/>
      <c r="Z59" s="24"/>
      <c r="AA59" s="24"/>
    </row>
    <row r="60" spans="1:27" ht="17.25" thickTop="1" thickBot="1" x14ac:dyDescent="0.3">
      <c r="A60" s="18" t="s">
        <v>18</v>
      </c>
      <c r="B60" s="19">
        <v>72</v>
      </c>
      <c r="C60" s="20">
        <f t="shared" si="7"/>
        <v>97.232142857142875</v>
      </c>
      <c r="D60" s="20">
        <f>G$52*E11</f>
        <v>30.250000000000004</v>
      </c>
      <c r="E60" s="23">
        <f t="shared" si="8"/>
        <v>1.1171968515361458E-3</v>
      </c>
      <c r="F60" s="20">
        <f t="shared" si="10"/>
        <v>0</v>
      </c>
      <c r="G60" s="20">
        <f t="shared" si="11"/>
        <v>0</v>
      </c>
      <c r="H60" s="23">
        <f t="shared" si="9"/>
        <v>0</v>
      </c>
      <c r="I60" s="20">
        <f t="shared" si="12"/>
        <v>-97.232142857142875</v>
      </c>
      <c r="J60" s="20">
        <f t="shared" si="13"/>
        <v>-30.250000000000004</v>
      </c>
      <c r="K60" s="20">
        <f>-D60</f>
        <v>-30.250000000000004</v>
      </c>
      <c r="L60" s="20">
        <v>0</v>
      </c>
      <c r="M60" s="20">
        <v>0</v>
      </c>
      <c r="Q60" s="24"/>
      <c r="R60" s="24"/>
      <c r="S60" s="24"/>
      <c r="T60" s="24"/>
      <c r="U60" s="58"/>
      <c r="V60" s="24"/>
      <c r="W60" s="24"/>
      <c r="X60" s="24"/>
      <c r="Y60" s="24"/>
      <c r="Z60" s="24"/>
      <c r="AA60" s="24"/>
    </row>
    <row r="61" spans="1:27" ht="17.25" thickTop="1" thickBot="1" x14ac:dyDescent="0.35">
      <c r="A61" s="19" t="s">
        <v>81</v>
      </c>
      <c r="B61" s="19">
        <v>16</v>
      </c>
      <c r="C61" s="20">
        <f t="shared" si="7"/>
        <v>0</v>
      </c>
      <c r="D61" s="20">
        <f>G23</f>
        <v>0</v>
      </c>
      <c r="E61" s="23">
        <f t="shared" si="8"/>
        <v>0</v>
      </c>
      <c r="F61" s="20">
        <f t="shared" si="10"/>
        <v>0</v>
      </c>
      <c r="G61" s="20">
        <f t="shared" si="11"/>
        <v>0</v>
      </c>
      <c r="H61" s="23">
        <f t="shared" si="9"/>
        <v>0</v>
      </c>
      <c r="I61" s="20">
        <f t="shared" si="12"/>
        <v>0</v>
      </c>
      <c r="J61" s="20">
        <f t="shared" si="13"/>
        <v>0</v>
      </c>
      <c r="K61" s="20">
        <v>0</v>
      </c>
      <c r="L61" s="20">
        <v>0</v>
      </c>
      <c r="M61" s="20">
        <v>0</v>
      </c>
      <c r="Q61" s="24"/>
      <c r="R61" s="58"/>
      <c r="S61" s="24"/>
      <c r="T61" s="24"/>
      <c r="U61" s="58"/>
      <c r="V61" s="24"/>
      <c r="W61" s="24"/>
      <c r="X61" s="24"/>
      <c r="Y61" s="24"/>
      <c r="Z61" s="24"/>
      <c r="AA61" s="24"/>
    </row>
    <row r="62" spans="1:27" ht="17.25" thickTop="1" thickBot="1" x14ac:dyDescent="0.35">
      <c r="A62" s="19" t="s">
        <v>41</v>
      </c>
      <c r="B62" s="19">
        <v>44</v>
      </c>
      <c r="C62" s="20">
        <f t="shared" si="7"/>
        <v>4786.2522321428569</v>
      </c>
      <c r="D62" s="20">
        <f>G24</f>
        <v>2436.6374999999998</v>
      </c>
      <c r="E62" s="23">
        <f t="shared" si="8"/>
        <v>8.9990206391236532E-2</v>
      </c>
      <c r="F62" s="20">
        <f t="shared" si="10"/>
        <v>3614.875</v>
      </c>
      <c r="G62" s="20">
        <f t="shared" si="11"/>
        <v>1840.2999999999997</v>
      </c>
      <c r="H62" s="23">
        <f t="shared" si="9"/>
        <v>5.0720134087212987E-2</v>
      </c>
      <c r="I62" s="20">
        <f t="shared" si="12"/>
        <v>-1171.3772321428573</v>
      </c>
      <c r="J62" s="20">
        <f t="shared" si="13"/>
        <v>-596.33750000000009</v>
      </c>
      <c r="K62" s="20">
        <v>0</v>
      </c>
      <c r="L62" s="20">
        <f>L56</f>
        <v>-596.33750000000009</v>
      </c>
      <c r="M62" s="20">
        <v>0</v>
      </c>
      <c r="Q62" s="24"/>
      <c r="R62" s="24"/>
      <c r="S62" s="24"/>
      <c r="T62" s="24"/>
      <c r="U62" s="58"/>
      <c r="V62" s="24"/>
      <c r="W62" s="24"/>
      <c r="X62" s="24"/>
      <c r="Y62" s="24"/>
      <c r="Z62" s="24"/>
      <c r="AA62" s="24"/>
    </row>
    <row r="63" spans="1:27" ht="17.25" thickTop="1" thickBot="1" x14ac:dyDescent="0.35">
      <c r="A63" s="19" t="s">
        <v>43</v>
      </c>
      <c r="B63" s="19">
        <v>18</v>
      </c>
      <c r="C63" s="20">
        <f t="shared" si="7"/>
        <v>3219.9308035714289</v>
      </c>
      <c r="D63" s="20">
        <f>G25</f>
        <v>4007.0250000000001</v>
      </c>
      <c r="E63" s="23">
        <f t="shared" si="8"/>
        <v>0.14798795748848345</v>
      </c>
      <c r="F63" s="20">
        <f t="shared" si="10"/>
        <v>0</v>
      </c>
      <c r="G63" s="20">
        <f t="shared" si="11"/>
        <v>0</v>
      </c>
      <c r="H63" s="23">
        <f t="shared" si="9"/>
        <v>0</v>
      </c>
      <c r="I63" s="20">
        <f t="shared" si="12"/>
        <v>-3219.9308035714289</v>
      </c>
      <c r="J63" s="20">
        <f t="shared" si="13"/>
        <v>-4007.0250000000005</v>
      </c>
      <c r="K63" s="20">
        <f>K60*5+K59*4+K58*3+K57*2+K56</f>
        <v>-4007.0250000000005</v>
      </c>
      <c r="L63" s="20">
        <v>0</v>
      </c>
      <c r="M63" s="20">
        <v>0</v>
      </c>
      <c r="Q63" s="24"/>
      <c r="R63" s="24"/>
      <c r="S63" s="24"/>
      <c r="T63" s="24"/>
      <c r="U63" s="58"/>
      <c r="V63" s="24"/>
      <c r="W63" s="24"/>
      <c r="X63" s="24"/>
      <c r="Y63" s="24"/>
      <c r="AA63" s="24"/>
    </row>
    <row r="64" spans="1:27" ht="16.5" thickTop="1" thickBot="1" x14ac:dyDescent="0.3">
      <c r="A64" s="19" t="s">
        <v>82</v>
      </c>
      <c r="B64" s="19">
        <v>28</v>
      </c>
      <c r="C64" s="20">
        <f t="shared" si="7"/>
        <v>0</v>
      </c>
      <c r="D64" s="20">
        <v>0</v>
      </c>
      <c r="E64" s="23">
        <f t="shared" si="8"/>
        <v>0</v>
      </c>
      <c r="F64" s="20">
        <f t="shared" si="10"/>
        <v>6499.6250000000018</v>
      </c>
      <c r="G64" s="20">
        <f t="shared" si="11"/>
        <v>5199.7000000000007</v>
      </c>
      <c r="H64" s="23">
        <f t="shared" si="9"/>
        <v>0.14330787437552653</v>
      </c>
      <c r="I64" s="20">
        <f t="shared" si="12"/>
        <v>6499.6250000000018</v>
      </c>
      <c r="J64" s="20">
        <f t="shared" si="13"/>
        <v>5199.7000000000007</v>
      </c>
      <c r="K64" s="20">
        <f>-K60*5-K59*4-K58*3-K57*2-K56</f>
        <v>4007.0250000000005</v>
      </c>
      <c r="L64" s="20">
        <f>-L56*2</f>
        <v>1192.6750000000002</v>
      </c>
      <c r="M64" s="20">
        <v>0</v>
      </c>
      <c r="Q64" s="24"/>
      <c r="R64" s="24"/>
      <c r="S64" s="24"/>
      <c r="T64" s="24"/>
      <c r="U64" s="58"/>
      <c r="V64" s="24"/>
      <c r="W64" s="24"/>
      <c r="X64" s="24"/>
      <c r="Y64" s="24"/>
      <c r="Z64" s="24"/>
      <c r="AA64" s="24"/>
    </row>
    <row r="65" spans="1:27" ht="17.25" thickTop="1" thickBot="1" x14ac:dyDescent="0.35">
      <c r="A65" s="19" t="s">
        <v>83</v>
      </c>
      <c r="B65" s="19">
        <v>2</v>
      </c>
      <c r="C65" s="20">
        <f t="shared" si="7"/>
        <v>0</v>
      </c>
      <c r="D65" s="20">
        <f>0</f>
        <v>0</v>
      </c>
      <c r="E65" s="23">
        <f t="shared" si="8"/>
        <v>0</v>
      </c>
      <c r="F65" s="20">
        <f t="shared" si="10"/>
        <v>1085.2678571428571</v>
      </c>
      <c r="G65" s="20">
        <f t="shared" si="11"/>
        <v>12155</v>
      </c>
      <c r="H65" s="23">
        <f t="shared" si="9"/>
        <v>0.33500148336144864</v>
      </c>
      <c r="I65" s="20">
        <f t="shared" si="12"/>
        <v>1085.2678571428571</v>
      </c>
      <c r="J65" s="20">
        <f t="shared" si="13"/>
        <v>12155</v>
      </c>
      <c r="K65" s="20">
        <f>-K60*11-K59*9-K58*7-K57*5-K56*3</f>
        <v>10962.325000000001</v>
      </c>
      <c r="L65" s="20">
        <f>-L56*2</f>
        <v>1192.6750000000002</v>
      </c>
      <c r="M65" s="20">
        <v>0</v>
      </c>
      <c r="Q65" s="24"/>
      <c r="R65" s="24"/>
      <c r="S65" s="24"/>
      <c r="T65" s="24"/>
      <c r="U65" s="58"/>
      <c r="V65" s="24"/>
      <c r="W65" s="24"/>
      <c r="X65" s="24"/>
      <c r="Y65" s="24"/>
      <c r="Z65" s="24"/>
      <c r="AA65" s="24"/>
    </row>
    <row r="66" spans="1:27" ht="17.25" thickTop="1" thickBot="1" x14ac:dyDescent="0.35">
      <c r="A66" s="19" t="s">
        <v>45</v>
      </c>
      <c r="B66" s="19">
        <v>28</v>
      </c>
      <c r="C66" s="20">
        <f t="shared" si="7"/>
        <v>21360.526785714283</v>
      </c>
      <c r="D66" s="20">
        <f>G52*(1-E7-E8-E9-E10-E11)+D26</f>
        <v>17088.421428571426</v>
      </c>
      <c r="E66" s="23">
        <f t="shared" si="8"/>
        <v>0.63111175595777858</v>
      </c>
      <c r="F66" s="20">
        <f t="shared" si="10"/>
        <v>21360.526785714283</v>
      </c>
      <c r="G66" s="20">
        <f t="shared" si="11"/>
        <v>17088.421428571426</v>
      </c>
      <c r="H66" s="23">
        <f t="shared" si="9"/>
        <v>0.47097050817581187</v>
      </c>
      <c r="I66" s="20">
        <f t="shared" si="12"/>
        <v>0</v>
      </c>
      <c r="J66" s="20">
        <f t="shared" si="13"/>
        <v>0</v>
      </c>
      <c r="K66" s="20">
        <v>0</v>
      </c>
      <c r="L66" s="20">
        <v>0</v>
      </c>
      <c r="M66" s="20">
        <v>0</v>
      </c>
      <c r="Q66" s="24"/>
      <c r="R66" s="24"/>
      <c r="S66" s="24"/>
      <c r="T66" s="24"/>
      <c r="U66" s="58"/>
      <c r="V66" s="24"/>
      <c r="W66" s="24"/>
      <c r="X66" s="24"/>
      <c r="Y66" s="24"/>
      <c r="Z66" s="24"/>
      <c r="AA66" s="24"/>
    </row>
    <row r="67" spans="1:27" ht="16.5" thickTop="1" thickBot="1" x14ac:dyDescent="0.3">
      <c r="A67" s="27" t="s">
        <v>46</v>
      </c>
      <c r="B67" s="19"/>
      <c r="C67" s="20">
        <f t="shared" ref="C67:M67" si="14">SUM(C56:C66)</f>
        <v>32560.294642857138</v>
      </c>
      <c r="D67" s="20">
        <f t="shared" si="14"/>
        <v>27076.696428571428</v>
      </c>
      <c r="E67" s="23">
        <f t="shared" si="14"/>
        <v>1</v>
      </c>
      <c r="F67" s="20">
        <f t="shared" si="14"/>
        <v>32560.294642857141</v>
      </c>
      <c r="G67" s="20">
        <f t="shared" si="14"/>
        <v>36283.421428571426</v>
      </c>
      <c r="H67" s="23">
        <f t="shared" si="14"/>
        <v>1</v>
      </c>
      <c r="I67" s="20">
        <f t="shared" si="14"/>
        <v>2.2737367544323206E-13</v>
      </c>
      <c r="J67" s="20">
        <f t="shared" si="14"/>
        <v>9206.7249999999985</v>
      </c>
      <c r="K67" s="20">
        <f t="shared" si="14"/>
        <v>8014.05</v>
      </c>
      <c r="L67" s="20">
        <f t="shared" si="14"/>
        <v>1192.6750000000002</v>
      </c>
      <c r="M67" s="20">
        <f t="shared" si="14"/>
        <v>0</v>
      </c>
      <c r="Q67" s="26"/>
      <c r="R67" s="24"/>
      <c r="S67" s="24"/>
      <c r="T67" s="26"/>
      <c r="U67" s="58"/>
      <c r="V67" s="24"/>
      <c r="W67" s="24"/>
      <c r="X67" s="24"/>
      <c r="Y67" s="24"/>
      <c r="Z67" s="24"/>
      <c r="AA67" s="24"/>
    </row>
    <row r="68" spans="1:27" ht="16.5" thickTop="1" thickBot="1" x14ac:dyDescent="0.3">
      <c r="C68" s="24"/>
      <c r="D68" s="24"/>
    </row>
    <row r="69" spans="1:27" ht="19.5" thickTop="1" thickBot="1" x14ac:dyDescent="0.3">
      <c r="G69" s="59" t="s">
        <v>84</v>
      </c>
      <c r="H69" s="60"/>
      <c r="I69" s="61">
        <f>G65/G64</f>
        <v>2.3376348635498196</v>
      </c>
    </row>
    <row r="70" spans="1:27" ht="16.5" thickTop="1" thickBot="1" x14ac:dyDescent="0.3">
      <c r="B70" s="12" t="s">
        <v>85</v>
      </c>
      <c r="C70" s="62"/>
      <c r="D70" s="63">
        <v>5</v>
      </c>
      <c r="H70" s="55"/>
    </row>
    <row r="71" spans="1:27" ht="17.25" thickTop="1" thickBot="1" x14ac:dyDescent="0.3">
      <c r="A71" s="57" t="s">
        <v>75</v>
      </c>
      <c r="B71" s="12" t="s">
        <v>86</v>
      </c>
      <c r="C71" s="62"/>
      <c r="D71" s="63">
        <v>4</v>
      </c>
    </row>
    <row r="72" spans="1:27" ht="17.25" thickTop="1" thickBot="1" x14ac:dyDescent="0.3">
      <c r="A72" s="57"/>
      <c r="B72" s="12" t="s">
        <v>87</v>
      </c>
      <c r="C72" s="62"/>
      <c r="D72" s="63">
        <v>3</v>
      </c>
      <c r="K72" s="39"/>
    </row>
    <row r="73" spans="1:27" ht="17.25" thickTop="1" thickBot="1" x14ac:dyDescent="0.3">
      <c r="A73" s="57"/>
      <c r="B73" s="12" t="s">
        <v>88</v>
      </c>
      <c r="C73" s="62"/>
      <c r="D73" s="63">
        <v>2</v>
      </c>
      <c r="S73" s="24"/>
    </row>
    <row r="74" spans="1:27" ht="17.25" thickTop="1" thickBot="1" x14ac:dyDescent="0.3">
      <c r="A74" s="57"/>
      <c r="B74" s="12" t="s">
        <v>89</v>
      </c>
      <c r="C74" s="62"/>
      <c r="D74" s="63">
        <v>1</v>
      </c>
      <c r="G74" s="39"/>
    </row>
    <row r="75" spans="1:27" ht="17.25" thickTop="1" thickBot="1" x14ac:dyDescent="0.3">
      <c r="A75" s="57"/>
      <c r="B75" s="12"/>
      <c r="C75" s="62"/>
      <c r="D75" s="63"/>
    </row>
    <row r="76" spans="1:27" ht="17.25" thickTop="1" thickBot="1" x14ac:dyDescent="0.3">
      <c r="A76" s="57"/>
      <c r="B76" s="12" t="s">
        <v>90</v>
      </c>
      <c r="C76" s="12"/>
      <c r="D76" s="63">
        <v>6</v>
      </c>
      <c r="H76" s="24"/>
    </row>
    <row r="77" spans="1:27" ht="17.25" thickTop="1" thickBot="1" x14ac:dyDescent="0.3">
      <c r="A77" s="57" t="s">
        <v>76</v>
      </c>
      <c r="B77" s="64" t="s">
        <v>91</v>
      </c>
      <c r="C77" s="12"/>
      <c r="D77" s="65"/>
      <c r="J77" s="39"/>
      <c r="K77" s="24"/>
      <c r="M77" s="24"/>
    </row>
    <row r="78" spans="1:27" ht="17.25" thickTop="1" thickBot="1" x14ac:dyDescent="0.3">
      <c r="A78" s="57"/>
      <c r="B78" s="64" t="s">
        <v>92</v>
      </c>
      <c r="C78" s="12"/>
      <c r="D78" s="65"/>
      <c r="L78" s="24"/>
      <c r="M78" s="24"/>
    </row>
    <row r="79" spans="1:27" ht="17.25" thickTop="1" thickBot="1" x14ac:dyDescent="0.3">
      <c r="A79" s="57"/>
      <c r="B79" s="64" t="s">
        <v>93</v>
      </c>
      <c r="C79" s="12"/>
      <c r="D79" s="65"/>
    </row>
    <row r="80" spans="1:27" ht="17.25" thickTop="1" thickBot="1" x14ac:dyDescent="0.3">
      <c r="A80" s="57"/>
      <c r="B80" s="64" t="s">
        <v>94</v>
      </c>
      <c r="C80" s="12"/>
      <c r="D80" s="66"/>
      <c r="K80" s="24"/>
      <c r="M80" s="24"/>
    </row>
    <row r="81" spans="1:24" ht="17.25" thickTop="1" thickBot="1" x14ac:dyDescent="0.3">
      <c r="A81" s="57"/>
      <c r="B81" s="64"/>
      <c r="C81" s="12"/>
      <c r="D81" s="67"/>
    </row>
    <row r="82" spans="1:24" ht="17.25" thickTop="1" thickBot="1" x14ac:dyDescent="0.3">
      <c r="A82" s="57"/>
      <c r="B82" s="64" t="s">
        <v>95</v>
      </c>
      <c r="C82" s="12"/>
      <c r="D82" s="67"/>
    </row>
    <row r="83" spans="1:24" ht="17.25" thickTop="1" thickBot="1" x14ac:dyDescent="0.3">
      <c r="A83" s="57" t="s">
        <v>77</v>
      </c>
      <c r="B83" s="64" t="s">
        <v>96</v>
      </c>
      <c r="C83" s="12"/>
      <c r="D83" s="67"/>
    </row>
    <row r="84" spans="1:24" ht="17.25" thickTop="1" thickBot="1" x14ac:dyDescent="0.3">
      <c r="A84" s="57"/>
      <c r="B84" s="64" t="s">
        <v>97</v>
      </c>
      <c r="C84" s="12"/>
      <c r="D84" s="6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6.5" thickTop="1" thickBot="1" x14ac:dyDescent="0.3">
      <c r="B85" s="64" t="s">
        <v>98</v>
      </c>
      <c r="C85" s="12"/>
      <c r="D85" s="6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6.5" thickTop="1" thickBot="1" x14ac:dyDescent="0.3">
      <c r="B86" s="64" t="s">
        <v>99</v>
      </c>
      <c r="C86" s="62"/>
      <c r="D86" s="6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thickTop="1" x14ac:dyDescent="0.25"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B88" s="69"/>
      <c r="C88" s="70"/>
      <c r="D88" s="70"/>
      <c r="F88" s="107" t="s">
        <v>100</v>
      </c>
      <c r="G88" s="107"/>
      <c r="H88" s="107"/>
      <c r="I88" s="107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thickBot="1" x14ac:dyDescent="0.3">
      <c r="B89" s="37" t="s">
        <v>101</v>
      </c>
      <c r="C89" s="38" t="s">
        <v>49</v>
      </c>
      <c r="D89" s="70"/>
      <c r="F89" s="71"/>
      <c r="I89" s="72"/>
      <c r="J89" s="72"/>
      <c r="K89" s="72"/>
      <c r="L89" s="72"/>
      <c r="M89" s="72"/>
      <c r="N89" s="69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0.25" thickTop="1" thickBot="1" x14ac:dyDescent="0.4">
      <c r="A90" s="73" t="s">
        <v>28</v>
      </c>
      <c r="B90" s="73" t="s">
        <v>50</v>
      </c>
      <c r="C90" s="73" t="s">
        <v>51</v>
      </c>
      <c r="D90">
        <v>11</v>
      </c>
      <c r="E90" s="100" t="s">
        <v>85</v>
      </c>
      <c r="F90" s="101"/>
      <c r="H90" s="76" t="s">
        <v>102</v>
      </c>
      <c r="I90" s="76" t="s">
        <v>103</v>
      </c>
      <c r="J90" s="76" t="s">
        <v>104</v>
      </c>
      <c r="K90" s="76" t="s">
        <v>105</v>
      </c>
      <c r="L90" s="76" t="s">
        <v>106</v>
      </c>
      <c r="M90" s="76" t="s">
        <v>107</v>
      </c>
    </row>
    <row r="91" spans="1:24" ht="17.25" thickTop="1" thickBot="1" x14ac:dyDescent="0.3">
      <c r="A91" s="18" t="s">
        <v>8</v>
      </c>
      <c r="B91" s="23">
        <v>35.700000000000003</v>
      </c>
      <c r="C91" s="23">
        <v>-74.599999999999994</v>
      </c>
      <c r="D91">
        <v>12</v>
      </c>
      <c r="E91" s="102" t="s">
        <v>86</v>
      </c>
      <c r="F91" s="103"/>
      <c r="H91" s="20">
        <f>H36</f>
        <v>25558885.230189733</v>
      </c>
      <c r="I91" s="20">
        <f>E6*(1-I6)/D13*(B32*E7+B33*E8+B34*E9+B35*E10+B36*E11)*20*1000/3600</f>
        <v>30167.847842261916</v>
      </c>
      <c r="J91" s="20">
        <f>(K60/D13*C108+K59/D13*C107+K58/D13*C106+K57/D13*C105+K56/D13*C104)*1000/3600*1000</f>
        <v>-9459311.8179563507</v>
      </c>
      <c r="K91" s="20">
        <f>L56/D13*C109*1000/3600*1000</f>
        <v>-1826949.1489955357</v>
      </c>
      <c r="L91" s="20">
        <f>0</f>
        <v>0</v>
      </c>
      <c r="M91" s="20">
        <f>H91+I91+J91+K91+L91</f>
        <v>14302792.111080108</v>
      </c>
      <c r="N91" s="79"/>
    </row>
    <row r="92" spans="1:24" ht="17.25" thickTop="1" thickBot="1" x14ac:dyDescent="0.3">
      <c r="A92" s="18" t="s">
        <v>12</v>
      </c>
      <c r="B92" s="23">
        <v>52.49</v>
      </c>
      <c r="C92" s="23">
        <v>-84</v>
      </c>
      <c r="D92">
        <v>13</v>
      </c>
      <c r="E92" s="102" t="s">
        <v>87</v>
      </c>
      <c r="F92" s="103"/>
    </row>
    <row r="93" spans="1:24" ht="17.25" thickTop="1" thickBot="1" x14ac:dyDescent="0.3">
      <c r="A93" s="18" t="s">
        <v>14</v>
      </c>
      <c r="B93" s="23">
        <v>73.599999999999994</v>
      </c>
      <c r="C93" s="23">
        <v>-103.85</v>
      </c>
      <c r="D93">
        <v>14</v>
      </c>
      <c r="E93" s="102" t="s">
        <v>88</v>
      </c>
      <c r="F93" s="103"/>
    </row>
    <row r="94" spans="1:24" ht="19.5" thickTop="1" thickBot="1" x14ac:dyDescent="0.3">
      <c r="A94" s="18" t="s">
        <v>16</v>
      </c>
      <c r="B94" s="23">
        <v>98.49</v>
      </c>
      <c r="C94" s="23">
        <v>-125.77</v>
      </c>
      <c r="D94">
        <v>15</v>
      </c>
      <c r="E94" s="102" t="s">
        <v>89</v>
      </c>
      <c r="F94" s="103"/>
      <c r="H94" s="80" t="s">
        <v>108</v>
      </c>
      <c r="I94" s="81">
        <f>M91/(G67/D13*1000/3600*B103)</f>
        <v>1079.9077568581231</v>
      </c>
      <c r="J94" s="82" t="s">
        <v>109</v>
      </c>
    </row>
    <row r="95" spans="1:24" ht="17.25" thickTop="1" thickBot="1" x14ac:dyDescent="0.3">
      <c r="A95" s="18" t="s">
        <v>18</v>
      </c>
      <c r="B95" s="23">
        <v>120.04</v>
      </c>
      <c r="C95" s="23">
        <v>-146.36000000000001</v>
      </c>
      <c r="E95" s="77"/>
      <c r="F95" s="78"/>
    </row>
    <row r="96" spans="1:24" ht="17.25" thickTop="1" thickBot="1" x14ac:dyDescent="0.35">
      <c r="A96" s="19" t="s">
        <v>81</v>
      </c>
      <c r="B96" s="23">
        <v>29.38</v>
      </c>
      <c r="C96" s="23">
        <v>0</v>
      </c>
      <c r="D96">
        <v>21</v>
      </c>
      <c r="E96" s="102" t="s">
        <v>90</v>
      </c>
      <c r="F96" s="78"/>
    </row>
    <row r="97" spans="1:8" ht="17.25" thickTop="1" thickBot="1" x14ac:dyDescent="0.35">
      <c r="A97" s="19" t="s">
        <v>41</v>
      </c>
      <c r="B97" s="23">
        <v>37.14</v>
      </c>
      <c r="C97" s="23">
        <v>-393.51</v>
      </c>
      <c r="D97">
        <v>22</v>
      </c>
      <c r="E97" s="77" t="s">
        <v>91</v>
      </c>
      <c r="F97" s="78"/>
    </row>
    <row r="98" spans="1:8" ht="17.25" thickTop="1" thickBot="1" x14ac:dyDescent="0.35">
      <c r="A98" s="19" t="s">
        <v>43</v>
      </c>
      <c r="B98" s="23">
        <v>33.6</v>
      </c>
      <c r="C98" s="23">
        <v>-241.83</v>
      </c>
      <c r="D98">
        <v>23</v>
      </c>
      <c r="E98" s="77" t="s">
        <v>92</v>
      </c>
      <c r="F98" s="78"/>
    </row>
    <row r="99" spans="1:8" ht="16.5" thickTop="1" thickBot="1" x14ac:dyDescent="0.3">
      <c r="A99" s="19" t="s">
        <v>82</v>
      </c>
      <c r="B99" s="23">
        <v>29.14</v>
      </c>
      <c r="C99" s="23">
        <v>-110.53</v>
      </c>
      <c r="D99">
        <v>24</v>
      </c>
      <c r="E99" s="77" t="s">
        <v>93</v>
      </c>
      <c r="F99" s="78"/>
      <c r="H99" s="85"/>
    </row>
    <row r="100" spans="1:8" ht="17.25" thickTop="1" thickBot="1" x14ac:dyDescent="0.35">
      <c r="A100" s="19" t="s">
        <v>83</v>
      </c>
      <c r="B100" s="23">
        <v>28.84</v>
      </c>
      <c r="C100" s="23">
        <v>0</v>
      </c>
      <c r="D100">
        <v>25</v>
      </c>
      <c r="E100" s="77" t="s">
        <v>94</v>
      </c>
      <c r="F100" s="78"/>
      <c r="H100" s="85"/>
    </row>
    <row r="101" spans="1:8" ht="17.25" thickTop="1" thickBot="1" x14ac:dyDescent="0.35">
      <c r="A101" s="86" t="s">
        <v>45</v>
      </c>
      <c r="B101" s="87">
        <v>29.12</v>
      </c>
      <c r="C101" s="23"/>
      <c r="E101" s="77"/>
      <c r="F101" s="78"/>
      <c r="H101" s="85"/>
    </row>
    <row r="102" spans="1:8" ht="20.25" thickTop="1" thickBot="1" x14ac:dyDescent="0.3">
      <c r="A102" s="88" t="s">
        <v>110</v>
      </c>
      <c r="B102" s="89">
        <f>B91*E56+B92*E57+B93*E58+B94*E59+B95*E60+B96*E61+B97*E62+B98*E63+B99*E64+B100*E65+B101*E66</f>
        <v>32.149194965359641</v>
      </c>
      <c r="C102" s="90"/>
      <c r="D102">
        <v>31</v>
      </c>
      <c r="E102" s="77" t="s">
        <v>95</v>
      </c>
      <c r="F102" s="78"/>
      <c r="H102" s="85"/>
    </row>
    <row r="103" spans="1:8" ht="20.25" thickTop="1" thickBot="1" x14ac:dyDescent="0.3">
      <c r="A103" s="88" t="s">
        <v>111</v>
      </c>
      <c r="B103" s="91">
        <f>B91*H56+B92*H57+B93*H58+B94*H59+B95*H60+B96*H61+B97*H62+B98*H63+B99*H64+B100*H65+B101*H66</f>
        <v>29.435841217525756</v>
      </c>
      <c r="C103" s="92"/>
      <c r="D103">
        <v>32</v>
      </c>
      <c r="E103" s="77" t="s">
        <v>96</v>
      </c>
      <c r="F103" s="78"/>
      <c r="H103" s="85"/>
    </row>
    <row r="104" spans="1:8" ht="17.25" thickTop="1" thickBot="1" x14ac:dyDescent="0.3">
      <c r="B104" s="93" t="s">
        <v>112</v>
      </c>
      <c r="C104" s="94">
        <f>C99-C91-C98</f>
        <v>205.9</v>
      </c>
      <c r="D104">
        <v>33</v>
      </c>
      <c r="E104" s="77" t="s">
        <v>97</v>
      </c>
      <c r="F104" s="78"/>
      <c r="H104" s="85"/>
    </row>
    <row r="105" spans="1:8" ht="17.25" thickTop="1" thickBot="1" x14ac:dyDescent="0.3">
      <c r="B105" s="95" t="s">
        <v>113</v>
      </c>
      <c r="C105" s="96">
        <f>2*C99-C92-2*C98</f>
        <v>346.6</v>
      </c>
      <c r="D105">
        <v>34</v>
      </c>
      <c r="E105" s="77" t="s">
        <v>98</v>
      </c>
      <c r="F105" s="78"/>
    </row>
    <row r="106" spans="1:8" ht="17.25" thickTop="1" thickBot="1" x14ac:dyDescent="0.3">
      <c r="B106" s="97" t="s">
        <v>114</v>
      </c>
      <c r="C106" s="47">
        <f>C99*3-C93-3*C98</f>
        <v>497.75</v>
      </c>
      <c r="D106">
        <v>35</v>
      </c>
      <c r="E106" s="104" t="s">
        <v>99</v>
      </c>
      <c r="F106" s="105"/>
    </row>
    <row r="107" spans="1:8" ht="17.25" thickTop="1" thickBot="1" x14ac:dyDescent="0.3">
      <c r="B107" s="97" t="s">
        <v>115</v>
      </c>
      <c r="C107" s="47">
        <f>C99*4-C94-C98*4</f>
        <v>650.97</v>
      </c>
    </row>
    <row r="108" spans="1:8" ht="17.25" thickTop="1" thickBot="1" x14ac:dyDescent="0.3">
      <c r="B108" s="97" t="s">
        <v>116</v>
      </c>
      <c r="C108" s="47">
        <f>C99*5-C95-C98*5</f>
        <v>802.86000000000013</v>
      </c>
    </row>
    <row r="109" spans="1:8" ht="17.25" thickTop="1" thickBot="1" x14ac:dyDescent="0.3">
      <c r="B109" s="97" t="s">
        <v>117</v>
      </c>
      <c r="C109" s="47">
        <f>2*C99-C91-C97</f>
        <v>247.04999999999998</v>
      </c>
      <c r="D109" t="s">
        <v>60</v>
      </c>
    </row>
    <row r="110" spans="1:8" ht="17.25" thickTop="1" thickBot="1" x14ac:dyDescent="0.3">
      <c r="B110" s="97" t="s">
        <v>118</v>
      </c>
      <c r="C110" s="47"/>
    </row>
    <row r="111" spans="1:8" ht="17.25" thickTop="1" thickBot="1" x14ac:dyDescent="0.3">
      <c r="B111" s="97" t="s">
        <v>119</v>
      </c>
      <c r="C111" s="47"/>
    </row>
    <row r="112" spans="1:8" ht="17.25" thickTop="1" thickBot="1" x14ac:dyDescent="0.3">
      <c r="B112" s="97" t="s">
        <v>120</v>
      </c>
      <c r="C112" s="47"/>
    </row>
    <row r="113" spans="2:3" ht="17.25" thickTop="1" thickBot="1" x14ac:dyDescent="0.3">
      <c r="B113" s="97" t="s">
        <v>121</v>
      </c>
      <c r="C113" s="47"/>
    </row>
    <row r="114" spans="2:3" ht="17.25" thickTop="1" thickBot="1" x14ac:dyDescent="0.3">
      <c r="B114" s="97" t="s">
        <v>122</v>
      </c>
      <c r="C114" s="47"/>
    </row>
    <row r="115" spans="2:3" ht="17.25" thickTop="1" thickBot="1" x14ac:dyDescent="0.3">
      <c r="B115" s="97" t="s">
        <v>123</v>
      </c>
      <c r="C115" s="47"/>
    </row>
    <row r="116" spans="2:3" ht="17.25" thickTop="1" thickBot="1" x14ac:dyDescent="0.3">
      <c r="B116" s="97" t="s">
        <v>124</v>
      </c>
      <c r="C116" s="47"/>
    </row>
    <row r="117" spans="2:3" ht="17.25" thickTop="1" thickBot="1" x14ac:dyDescent="0.3">
      <c r="B117" s="97" t="s">
        <v>125</v>
      </c>
      <c r="C117" s="47"/>
    </row>
    <row r="118" spans="2:3" ht="17.25" thickTop="1" thickBot="1" x14ac:dyDescent="0.3">
      <c r="B118" s="97" t="s">
        <v>126</v>
      </c>
      <c r="C118" s="47"/>
    </row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C5CC-8280-44FA-8F4B-B7D2DAF6EB4D}">
  <dimension ref="A2:AA118"/>
  <sheetViews>
    <sheetView topLeftCell="A3" workbookViewId="0">
      <selection activeCell="H31" sqref="H31"/>
    </sheetView>
  </sheetViews>
  <sheetFormatPr defaultColWidth="11.5703125" defaultRowHeight="15" x14ac:dyDescent="0.25"/>
  <cols>
    <col min="1" max="1" width="13.140625" customWidth="1"/>
    <col min="4" max="4" width="15" customWidth="1"/>
    <col min="6" max="6" width="18.140625" customWidth="1"/>
    <col min="7" max="7" width="15.5703125" customWidth="1"/>
    <col min="8" max="8" width="18.5703125" customWidth="1"/>
    <col min="9" max="9" width="13.28515625" customWidth="1"/>
    <col min="13" max="13" width="16.42578125" customWidth="1"/>
    <col min="257" max="257" width="13.140625" customWidth="1"/>
    <col min="260" max="260" width="15" customWidth="1"/>
    <col min="262" max="262" width="18.140625" customWidth="1"/>
    <col min="263" max="263" width="15.5703125" customWidth="1"/>
    <col min="264" max="264" width="18.5703125" customWidth="1"/>
    <col min="265" max="265" width="13.28515625" customWidth="1"/>
    <col min="269" max="269" width="16.42578125" customWidth="1"/>
    <col min="513" max="513" width="13.140625" customWidth="1"/>
    <col min="516" max="516" width="15" customWidth="1"/>
    <col min="518" max="518" width="18.140625" customWidth="1"/>
    <col min="519" max="519" width="15.5703125" customWidth="1"/>
    <col min="520" max="520" width="18.5703125" customWidth="1"/>
    <col min="521" max="521" width="13.28515625" customWidth="1"/>
    <col min="525" max="525" width="16.42578125" customWidth="1"/>
    <col min="769" max="769" width="13.140625" customWidth="1"/>
    <col min="772" max="772" width="15" customWidth="1"/>
    <col min="774" max="774" width="18.140625" customWidth="1"/>
    <col min="775" max="775" width="15.5703125" customWidth="1"/>
    <col min="776" max="776" width="18.5703125" customWidth="1"/>
    <col min="777" max="777" width="13.28515625" customWidth="1"/>
    <col min="781" max="781" width="16.42578125" customWidth="1"/>
    <col min="1025" max="1025" width="13.140625" customWidth="1"/>
    <col min="1028" max="1028" width="15" customWidth="1"/>
    <col min="1030" max="1030" width="18.140625" customWidth="1"/>
    <col min="1031" max="1031" width="15.5703125" customWidth="1"/>
    <col min="1032" max="1032" width="18.5703125" customWidth="1"/>
    <col min="1033" max="1033" width="13.28515625" customWidth="1"/>
    <col min="1037" max="1037" width="16.42578125" customWidth="1"/>
    <col min="1281" max="1281" width="13.140625" customWidth="1"/>
    <col min="1284" max="1284" width="15" customWidth="1"/>
    <col min="1286" max="1286" width="18.140625" customWidth="1"/>
    <col min="1287" max="1287" width="15.5703125" customWidth="1"/>
    <col min="1288" max="1288" width="18.5703125" customWidth="1"/>
    <col min="1289" max="1289" width="13.28515625" customWidth="1"/>
    <col min="1293" max="1293" width="16.42578125" customWidth="1"/>
    <col min="1537" max="1537" width="13.140625" customWidth="1"/>
    <col min="1540" max="1540" width="15" customWidth="1"/>
    <col min="1542" max="1542" width="18.140625" customWidth="1"/>
    <col min="1543" max="1543" width="15.5703125" customWidth="1"/>
    <col min="1544" max="1544" width="18.5703125" customWidth="1"/>
    <col min="1545" max="1545" width="13.28515625" customWidth="1"/>
    <col min="1549" max="1549" width="16.42578125" customWidth="1"/>
    <col min="1793" max="1793" width="13.140625" customWidth="1"/>
    <col min="1796" max="1796" width="15" customWidth="1"/>
    <col min="1798" max="1798" width="18.140625" customWidth="1"/>
    <col min="1799" max="1799" width="15.5703125" customWidth="1"/>
    <col min="1800" max="1800" width="18.5703125" customWidth="1"/>
    <col min="1801" max="1801" width="13.28515625" customWidth="1"/>
    <col min="1805" max="1805" width="16.42578125" customWidth="1"/>
    <col min="2049" max="2049" width="13.140625" customWidth="1"/>
    <col min="2052" max="2052" width="15" customWidth="1"/>
    <col min="2054" max="2054" width="18.140625" customWidth="1"/>
    <col min="2055" max="2055" width="15.5703125" customWidth="1"/>
    <col min="2056" max="2056" width="18.5703125" customWidth="1"/>
    <col min="2057" max="2057" width="13.28515625" customWidth="1"/>
    <col min="2061" max="2061" width="16.42578125" customWidth="1"/>
    <col min="2305" max="2305" width="13.140625" customWidth="1"/>
    <col min="2308" max="2308" width="15" customWidth="1"/>
    <col min="2310" max="2310" width="18.140625" customWidth="1"/>
    <col min="2311" max="2311" width="15.5703125" customWidth="1"/>
    <col min="2312" max="2312" width="18.5703125" customWidth="1"/>
    <col min="2313" max="2313" width="13.28515625" customWidth="1"/>
    <col min="2317" max="2317" width="16.42578125" customWidth="1"/>
    <col min="2561" max="2561" width="13.140625" customWidth="1"/>
    <col min="2564" max="2564" width="15" customWidth="1"/>
    <col min="2566" max="2566" width="18.140625" customWidth="1"/>
    <col min="2567" max="2567" width="15.5703125" customWidth="1"/>
    <col min="2568" max="2568" width="18.5703125" customWidth="1"/>
    <col min="2569" max="2569" width="13.28515625" customWidth="1"/>
    <col min="2573" max="2573" width="16.42578125" customWidth="1"/>
    <col min="2817" max="2817" width="13.140625" customWidth="1"/>
    <col min="2820" max="2820" width="15" customWidth="1"/>
    <col min="2822" max="2822" width="18.140625" customWidth="1"/>
    <col min="2823" max="2823" width="15.5703125" customWidth="1"/>
    <col min="2824" max="2824" width="18.5703125" customWidth="1"/>
    <col min="2825" max="2825" width="13.28515625" customWidth="1"/>
    <col min="2829" max="2829" width="16.42578125" customWidth="1"/>
    <col min="3073" max="3073" width="13.140625" customWidth="1"/>
    <col min="3076" max="3076" width="15" customWidth="1"/>
    <col min="3078" max="3078" width="18.140625" customWidth="1"/>
    <col min="3079" max="3079" width="15.5703125" customWidth="1"/>
    <col min="3080" max="3080" width="18.5703125" customWidth="1"/>
    <col min="3081" max="3081" width="13.28515625" customWidth="1"/>
    <col min="3085" max="3085" width="16.42578125" customWidth="1"/>
    <col min="3329" max="3329" width="13.140625" customWidth="1"/>
    <col min="3332" max="3332" width="15" customWidth="1"/>
    <col min="3334" max="3334" width="18.140625" customWidth="1"/>
    <col min="3335" max="3335" width="15.5703125" customWidth="1"/>
    <col min="3336" max="3336" width="18.5703125" customWidth="1"/>
    <col min="3337" max="3337" width="13.28515625" customWidth="1"/>
    <col min="3341" max="3341" width="16.42578125" customWidth="1"/>
    <col min="3585" max="3585" width="13.140625" customWidth="1"/>
    <col min="3588" max="3588" width="15" customWidth="1"/>
    <col min="3590" max="3590" width="18.140625" customWidth="1"/>
    <col min="3591" max="3591" width="15.5703125" customWidth="1"/>
    <col min="3592" max="3592" width="18.5703125" customWidth="1"/>
    <col min="3593" max="3593" width="13.28515625" customWidth="1"/>
    <col min="3597" max="3597" width="16.42578125" customWidth="1"/>
    <col min="3841" max="3841" width="13.140625" customWidth="1"/>
    <col min="3844" max="3844" width="15" customWidth="1"/>
    <col min="3846" max="3846" width="18.140625" customWidth="1"/>
    <col min="3847" max="3847" width="15.5703125" customWidth="1"/>
    <col min="3848" max="3848" width="18.5703125" customWidth="1"/>
    <col min="3849" max="3849" width="13.28515625" customWidth="1"/>
    <col min="3853" max="3853" width="16.42578125" customWidth="1"/>
    <col min="4097" max="4097" width="13.140625" customWidth="1"/>
    <col min="4100" max="4100" width="15" customWidth="1"/>
    <col min="4102" max="4102" width="18.140625" customWidth="1"/>
    <col min="4103" max="4103" width="15.5703125" customWidth="1"/>
    <col min="4104" max="4104" width="18.5703125" customWidth="1"/>
    <col min="4105" max="4105" width="13.28515625" customWidth="1"/>
    <col min="4109" max="4109" width="16.42578125" customWidth="1"/>
    <col min="4353" max="4353" width="13.140625" customWidth="1"/>
    <col min="4356" max="4356" width="15" customWidth="1"/>
    <col min="4358" max="4358" width="18.140625" customWidth="1"/>
    <col min="4359" max="4359" width="15.5703125" customWidth="1"/>
    <col min="4360" max="4360" width="18.5703125" customWidth="1"/>
    <col min="4361" max="4361" width="13.28515625" customWidth="1"/>
    <col min="4365" max="4365" width="16.42578125" customWidth="1"/>
    <col min="4609" max="4609" width="13.140625" customWidth="1"/>
    <col min="4612" max="4612" width="15" customWidth="1"/>
    <col min="4614" max="4614" width="18.140625" customWidth="1"/>
    <col min="4615" max="4615" width="15.5703125" customWidth="1"/>
    <col min="4616" max="4616" width="18.5703125" customWidth="1"/>
    <col min="4617" max="4617" width="13.28515625" customWidth="1"/>
    <col min="4621" max="4621" width="16.42578125" customWidth="1"/>
    <col min="4865" max="4865" width="13.140625" customWidth="1"/>
    <col min="4868" max="4868" width="15" customWidth="1"/>
    <col min="4870" max="4870" width="18.140625" customWidth="1"/>
    <col min="4871" max="4871" width="15.5703125" customWidth="1"/>
    <col min="4872" max="4872" width="18.5703125" customWidth="1"/>
    <col min="4873" max="4873" width="13.28515625" customWidth="1"/>
    <col min="4877" max="4877" width="16.42578125" customWidth="1"/>
    <col min="5121" max="5121" width="13.140625" customWidth="1"/>
    <col min="5124" max="5124" width="15" customWidth="1"/>
    <col min="5126" max="5126" width="18.140625" customWidth="1"/>
    <col min="5127" max="5127" width="15.5703125" customWidth="1"/>
    <col min="5128" max="5128" width="18.5703125" customWidth="1"/>
    <col min="5129" max="5129" width="13.28515625" customWidth="1"/>
    <col min="5133" max="5133" width="16.42578125" customWidth="1"/>
    <col min="5377" max="5377" width="13.140625" customWidth="1"/>
    <col min="5380" max="5380" width="15" customWidth="1"/>
    <col min="5382" max="5382" width="18.140625" customWidth="1"/>
    <col min="5383" max="5383" width="15.5703125" customWidth="1"/>
    <col min="5384" max="5384" width="18.5703125" customWidth="1"/>
    <col min="5385" max="5385" width="13.28515625" customWidth="1"/>
    <col min="5389" max="5389" width="16.42578125" customWidth="1"/>
    <col min="5633" max="5633" width="13.140625" customWidth="1"/>
    <col min="5636" max="5636" width="15" customWidth="1"/>
    <col min="5638" max="5638" width="18.140625" customWidth="1"/>
    <col min="5639" max="5639" width="15.5703125" customWidth="1"/>
    <col min="5640" max="5640" width="18.5703125" customWidth="1"/>
    <col min="5641" max="5641" width="13.28515625" customWidth="1"/>
    <col min="5645" max="5645" width="16.42578125" customWidth="1"/>
    <col min="5889" max="5889" width="13.140625" customWidth="1"/>
    <col min="5892" max="5892" width="15" customWidth="1"/>
    <col min="5894" max="5894" width="18.140625" customWidth="1"/>
    <col min="5895" max="5895" width="15.5703125" customWidth="1"/>
    <col min="5896" max="5896" width="18.5703125" customWidth="1"/>
    <col min="5897" max="5897" width="13.28515625" customWidth="1"/>
    <col min="5901" max="5901" width="16.42578125" customWidth="1"/>
    <col min="6145" max="6145" width="13.140625" customWidth="1"/>
    <col min="6148" max="6148" width="15" customWidth="1"/>
    <col min="6150" max="6150" width="18.140625" customWidth="1"/>
    <col min="6151" max="6151" width="15.5703125" customWidth="1"/>
    <col min="6152" max="6152" width="18.5703125" customWidth="1"/>
    <col min="6153" max="6153" width="13.28515625" customWidth="1"/>
    <col min="6157" max="6157" width="16.42578125" customWidth="1"/>
    <col min="6401" max="6401" width="13.140625" customWidth="1"/>
    <col min="6404" max="6404" width="15" customWidth="1"/>
    <col min="6406" max="6406" width="18.140625" customWidth="1"/>
    <col min="6407" max="6407" width="15.5703125" customWidth="1"/>
    <col min="6408" max="6408" width="18.5703125" customWidth="1"/>
    <col min="6409" max="6409" width="13.28515625" customWidth="1"/>
    <col min="6413" max="6413" width="16.42578125" customWidth="1"/>
    <col min="6657" max="6657" width="13.140625" customWidth="1"/>
    <col min="6660" max="6660" width="15" customWidth="1"/>
    <col min="6662" max="6662" width="18.140625" customWidth="1"/>
    <col min="6663" max="6663" width="15.5703125" customWidth="1"/>
    <col min="6664" max="6664" width="18.5703125" customWidth="1"/>
    <col min="6665" max="6665" width="13.28515625" customWidth="1"/>
    <col min="6669" max="6669" width="16.42578125" customWidth="1"/>
    <col min="6913" max="6913" width="13.140625" customWidth="1"/>
    <col min="6916" max="6916" width="15" customWidth="1"/>
    <col min="6918" max="6918" width="18.140625" customWidth="1"/>
    <col min="6919" max="6919" width="15.5703125" customWidth="1"/>
    <col min="6920" max="6920" width="18.5703125" customWidth="1"/>
    <col min="6921" max="6921" width="13.28515625" customWidth="1"/>
    <col min="6925" max="6925" width="16.42578125" customWidth="1"/>
    <col min="7169" max="7169" width="13.140625" customWidth="1"/>
    <col min="7172" max="7172" width="15" customWidth="1"/>
    <col min="7174" max="7174" width="18.140625" customWidth="1"/>
    <col min="7175" max="7175" width="15.5703125" customWidth="1"/>
    <col min="7176" max="7176" width="18.5703125" customWidth="1"/>
    <col min="7177" max="7177" width="13.28515625" customWidth="1"/>
    <col min="7181" max="7181" width="16.42578125" customWidth="1"/>
    <col min="7425" max="7425" width="13.140625" customWidth="1"/>
    <col min="7428" max="7428" width="15" customWidth="1"/>
    <col min="7430" max="7430" width="18.140625" customWidth="1"/>
    <col min="7431" max="7431" width="15.5703125" customWidth="1"/>
    <col min="7432" max="7432" width="18.5703125" customWidth="1"/>
    <col min="7433" max="7433" width="13.28515625" customWidth="1"/>
    <col min="7437" max="7437" width="16.42578125" customWidth="1"/>
    <col min="7681" max="7681" width="13.140625" customWidth="1"/>
    <col min="7684" max="7684" width="15" customWidth="1"/>
    <col min="7686" max="7686" width="18.140625" customWidth="1"/>
    <col min="7687" max="7687" width="15.5703125" customWidth="1"/>
    <col min="7688" max="7688" width="18.5703125" customWidth="1"/>
    <col min="7689" max="7689" width="13.28515625" customWidth="1"/>
    <col min="7693" max="7693" width="16.42578125" customWidth="1"/>
    <col min="7937" max="7937" width="13.140625" customWidth="1"/>
    <col min="7940" max="7940" width="15" customWidth="1"/>
    <col min="7942" max="7942" width="18.140625" customWidth="1"/>
    <col min="7943" max="7943" width="15.5703125" customWidth="1"/>
    <col min="7944" max="7944" width="18.5703125" customWidth="1"/>
    <col min="7945" max="7945" width="13.28515625" customWidth="1"/>
    <col min="7949" max="7949" width="16.42578125" customWidth="1"/>
    <col min="8193" max="8193" width="13.140625" customWidth="1"/>
    <col min="8196" max="8196" width="15" customWidth="1"/>
    <col min="8198" max="8198" width="18.140625" customWidth="1"/>
    <col min="8199" max="8199" width="15.5703125" customWidth="1"/>
    <col min="8200" max="8200" width="18.5703125" customWidth="1"/>
    <col min="8201" max="8201" width="13.28515625" customWidth="1"/>
    <col min="8205" max="8205" width="16.42578125" customWidth="1"/>
    <col min="8449" max="8449" width="13.140625" customWidth="1"/>
    <col min="8452" max="8452" width="15" customWidth="1"/>
    <col min="8454" max="8454" width="18.140625" customWidth="1"/>
    <col min="8455" max="8455" width="15.5703125" customWidth="1"/>
    <col min="8456" max="8456" width="18.5703125" customWidth="1"/>
    <col min="8457" max="8457" width="13.28515625" customWidth="1"/>
    <col min="8461" max="8461" width="16.42578125" customWidth="1"/>
    <col min="8705" max="8705" width="13.140625" customWidth="1"/>
    <col min="8708" max="8708" width="15" customWidth="1"/>
    <col min="8710" max="8710" width="18.140625" customWidth="1"/>
    <col min="8711" max="8711" width="15.5703125" customWidth="1"/>
    <col min="8712" max="8712" width="18.5703125" customWidth="1"/>
    <col min="8713" max="8713" width="13.28515625" customWidth="1"/>
    <col min="8717" max="8717" width="16.42578125" customWidth="1"/>
    <col min="8961" max="8961" width="13.140625" customWidth="1"/>
    <col min="8964" max="8964" width="15" customWidth="1"/>
    <col min="8966" max="8966" width="18.140625" customWidth="1"/>
    <col min="8967" max="8967" width="15.5703125" customWidth="1"/>
    <col min="8968" max="8968" width="18.5703125" customWidth="1"/>
    <col min="8969" max="8969" width="13.28515625" customWidth="1"/>
    <col min="8973" max="8973" width="16.42578125" customWidth="1"/>
    <col min="9217" max="9217" width="13.140625" customWidth="1"/>
    <col min="9220" max="9220" width="15" customWidth="1"/>
    <col min="9222" max="9222" width="18.140625" customWidth="1"/>
    <col min="9223" max="9223" width="15.5703125" customWidth="1"/>
    <col min="9224" max="9224" width="18.5703125" customWidth="1"/>
    <col min="9225" max="9225" width="13.28515625" customWidth="1"/>
    <col min="9229" max="9229" width="16.42578125" customWidth="1"/>
    <col min="9473" max="9473" width="13.140625" customWidth="1"/>
    <col min="9476" max="9476" width="15" customWidth="1"/>
    <col min="9478" max="9478" width="18.140625" customWidth="1"/>
    <col min="9479" max="9479" width="15.5703125" customWidth="1"/>
    <col min="9480" max="9480" width="18.5703125" customWidth="1"/>
    <col min="9481" max="9481" width="13.28515625" customWidth="1"/>
    <col min="9485" max="9485" width="16.42578125" customWidth="1"/>
    <col min="9729" max="9729" width="13.140625" customWidth="1"/>
    <col min="9732" max="9732" width="15" customWidth="1"/>
    <col min="9734" max="9734" width="18.140625" customWidth="1"/>
    <col min="9735" max="9735" width="15.5703125" customWidth="1"/>
    <col min="9736" max="9736" width="18.5703125" customWidth="1"/>
    <col min="9737" max="9737" width="13.28515625" customWidth="1"/>
    <col min="9741" max="9741" width="16.42578125" customWidth="1"/>
    <col min="9985" max="9985" width="13.140625" customWidth="1"/>
    <col min="9988" max="9988" width="15" customWidth="1"/>
    <col min="9990" max="9990" width="18.140625" customWidth="1"/>
    <col min="9991" max="9991" width="15.5703125" customWidth="1"/>
    <col min="9992" max="9992" width="18.5703125" customWidth="1"/>
    <col min="9993" max="9993" width="13.28515625" customWidth="1"/>
    <col min="9997" max="9997" width="16.42578125" customWidth="1"/>
    <col min="10241" max="10241" width="13.140625" customWidth="1"/>
    <col min="10244" max="10244" width="15" customWidth="1"/>
    <col min="10246" max="10246" width="18.140625" customWidth="1"/>
    <col min="10247" max="10247" width="15.5703125" customWidth="1"/>
    <col min="10248" max="10248" width="18.5703125" customWidth="1"/>
    <col min="10249" max="10249" width="13.28515625" customWidth="1"/>
    <col min="10253" max="10253" width="16.42578125" customWidth="1"/>
    <col min="10497" max="10497" width="13.140625" customWidth="1"/>
    <col min="10500" max="10500" width="15" customWidth="1"/>
    <col min="10502" max="10502" width="18.140625" customWidth="1"/>
    <col min="10503" max="10503" width="15.5703125" customWidth="1"/>
    <col min="10504" max="10504" width="18.5703125" customWidth="1"/>
    <col min="10505" max="10505" width="13.28515625" customWidth="1"/>
    <col min="10509" max="10509" width="16.42578125" customWidth="1"/>
    <col min="10753" max="10753" width="13.140625" customWidth="1"/>
    <col min="10756" max="10756" width="15" customWidth="1"/>
    <col min="10758" max="10758" width="18.140625" customWidth="1"/>
    <col min="10759" max="10759" width="15.5703125" customWidth="1"/>
    <col min="10760" max="10760" width="18.5703125" customWidth="1"/>
    <col min="10761" max="10761" width="13.28515625" customWidth="1"/>
    <col min="10765" max="10765" width="16.42578125" customWidth="1"/>
    <col min="11009" max="11009" width="13.140625" customWidth="1"/>
    <col min="11012" max="11012" width="15" customWidth="1"/>
    <col min="11014" max="11014" width="18.140625" customWidth="1"/>
    <col min="11015" max="11015" width="15.5703125" customWidth="1"/>
    <col min="11016" max="11016" width="18.5703125" customWidth="1"/>
    <col min="11017" max="11017" width="13.28515625" customWidth="1"/>
    <col min="11021" max="11021" width="16.42578125" customWidth="1"/>
    <col min="11265" max="11265" width="13.140625" customWidth="1"/>
    <col min="11268" max="11268" width="15" customWidth="1"/>
    <col min="11270" max="11270" width="18.140625" customWidth="1"/>
    <col min="11271" max="11271" width="15.5703125" customWidth="1"/>
    <col min="11272" max="11272" width="18.5703125" customWidth="1"/>
    <col min="11273" max="11273" width="13.28515625" customWidth="1"/>
    <col min="11277" max="11277" width="16.42578125" customWidth="1"/>
    <col min="11521" max="11521" width="13.140625" customWidth="1"/>
    <col min="11524" max="11524" width="15" customWidth="1"/>
    <col min="11526" max="11526" width="18.140625" customWidth="1"/>
    <col min="11527" max="11527" width="15.5703125" customWidth="1"/>
    <col min="11528" max="11528" width="18.5703125" customWidth="1"/>
    <col min="11529" max="11529" width="13.28515625" customWidth="1"/>
    <col min="11533" max="11533" width="16.42578125" customWidth="1"/>
    <col min="11777" max="11777" width="13.140625" customWidth="1"/>
    <col min="11780" max="11780" width="15" customWidth="1"/>
    <col min="11782" max="11782" width="18.140625" customWidth="1"/>
    <col min="11783" max="11783" width="15.5703125" customWidth="1"/>
    <col min="11784" max="11784" width="18.5703125" customWidth="1"/>
    <col min="11785" max="11785" width="13.28515625" customWidth="1"/>
    <col min="11789" max="11789" width="16.42578125" customWidth="1"/>
    <col min="12033" max="12033" width="13.140625" customWidth="1"/>
    <col min="12036" max="12036" width="15" customWidth="1"/>
    <col min="12038" max="12038" width="18.140625" customWidth="1"/>
    <col min="12039" max="12039" width="15.5703125" customWidth="1"/>
    <col min="12040" max="12040" width="18.5703125" customWidth="1"/>
    <col min="12041" max="12041" width="13.28515625" customWidth="1"/>
    <col min="12045" max="12045" width="16.42578125" customWidth="1"/>
    <col min="12289" max="12289" width="13.140625" customWidth="1"/>
    <col min="12292" max="12292" width="15" customWidth="1"/>
    <col min="12294" max="12294" width="18.140625" customWidth="1"/>
    <col min="12295" max="12295" width="15.5703125" customWidth="1"/>
    <col min="12296" max="12296" width="18.5703125" customWidth="1"/>
    <col min="12297" max="12297" width="13.28515625" customWidth="1"/>
    <col min="12301" max="12301" width="16.42578125" customWidth="1"/>
    <col min="12545" max="12545" width="13.140625" customWidth="1"/>
    <col min="12548" max="12548" width="15" customWidth="1"/>
    <col min="12550" max="12550" width="18.140625" customWidth="1"/>
    <col min="12551" max="12551" width="15.5703125" customWidth="1"/>
    <col min="12552" max="12552" width="18.5703125" customWidth="1"/>
    <col min="12553" max="12553" width="13.28515625" customWidth="1"/>
    <col min="12557" max="12557" width="16.42578125" customWidth="1"/>
    <col min="12801" max="12801" width="13.140625" customWidth="1"/>
    <col min="12804" max="12804" width="15" customWidth="1"/>
    <col min="12806" max="12806" width="18.140625" customWidth="1"/>
    <col min="12807" max="12807" width="15.5703125" customWidth="1"/>
    <col min="12808" max="12808" width="18.5703125" customWidth="1"/>
    <col min="12809" max="12809" width="13.28515625" customWidth="1"/>
    <col min="12813" max="12813" width="16.42578125" customWidth="1"/>
    <col min="13057" max="13057" width="13.140625" customWidth="1"/>
    <col min="13060" max="13060" width="15" customWidth="1"/>
    <col min="13062" max="13062" width="18.140625" customWidth="1"/>
    <col min="13063" max="13063" width="15.5703125" customWidth="1"/>
    <col min="13064" max="13064" width="18.5703125" customWidth="1"/>
    <col min="13065" max="13065" width="13.28515625" customWidth="1"/>
    <col min="13069" max="13069" width="16.42578125" customWidth="1"/>
    <col min="13313" max="13313" width="13.140625" customWidth="1"/>
    <col min="13316" max="13316" width="15" customWidth="1"/>
    <col min="13318" max="13318" width="18.140625" customWidth="1"/>
    <col min="13319" max="13319" width="15.5703125" customWidth="1"/>
    <col min="13320" max="13320" width="18.5703125" customWidth="1"/>
    <col min="13321" max="13321" width="13.28515625" customWidth="1"/>
    <col min="13325" max="13325" width="16.42578125" customWidth="1"/>
    <col min="13569" max="13569" width="13.140625" customWidth="1"/>
    <col min="13572" max="13572" width="15" customWidth="1"/>
    <col min="13574" max="13574" width="18.140625" customWidth="1"/>
    <col min="13575" max="13575" width="15.5703125" customWidth="1"/>
    <col min="13576" max="13576" width="18.5703125" customWidth="1"/>
    <col min="13577" max="13577" width="13.28515625" customWidth="1"/>
    <col min="13581" max="13581" width="16.42578125" customWidth="1"/>
    <col min="13825" max="13825" width="13.140625" customWidth="1"/>
    <col min="13828" max="13828" width="15" customWidth="1"/>
    <col min="13830" max="13830" width="18.140625" customWidth="1"/>
    <col min="13831" max="13831" width="15.5703125" customWidth="1"/>
    <col min="13832" max="13832" width="18.5703125" customWidth="1"/>
    <col min="13833" max="13833" width="13.28515625" customWidth="1"/>
    <col min="13837" max="13837" width="16.42578125" customWidth="1"/>
    <col min="14081" max="14081" width="13.140625" customWidth="1"/>
    <col min="14084" max="14084" width="15" customWidth="1"/>
    <col min="14086" max="14086" width="18.140625" customWidth="1"/>
    <col min="14087" max="14087" width="15.5703125" customWidth="1"/>
    <col min="14088" max="14088" width="18.5703125" customWidth="1"/>
    <col min="14089" max="14089" width="13.28515625" customWidth="1"/>
    <col min="14093" max="14093" width="16.42578125" customWidth="1"/>
    <col min="14337" max="14337" width="13.140625" customWidth="1"/>
    <col min="14340" max="14340" width="15" customWidth="1"/>
    <col min="14342" max="14342" width="18.140625" customWidth="1"/>
    <col min="14343" max="14343" width="15.5703125" customWidth="1"/>
    <col min="14344" max="14344" width="18.5703125" customWidth="1"/>
    <col min="14345" max="14345" width="13.28515625" customWidth="1"/>
    <col min="14349" max="14349" width="16.42578125" customWidth="1"/>
    <col min="14593" max="14593" width="13.140625" customWidth="1"/>
    <col min="14596" max="14596" width="15" customWidth="1"/>
    <col min="14598" max="14598" width="18.140625" customWidth="1"/>
    <col min="14599" max="14599" width="15.5703125" customWidth="1"/>
    <col min="14600" max="14600" width="18.5703125" customWidth="1"/>
    <col min="14601" max="14601" width="13.28515625" customWidth="1"/>
    <col min="14605" max="14605" width="16.42578125" customWidth="1"/>
    <col min="14849" max="14849" width="13.140625" customWidth="1"/>
    <col min="14852" max="14852" width="15" customWidth="1"/>
    <col min="14854" max="14854" width="18.140625" customWidth="1"/>
    <col min="14855" max="14855" width="15.5703125" customWidth="1"/>
    <col min="14856" max="14856" width="18.5703125" customWidth="1"/>
    <col min="14857" max="14857" width="13.28515625" customWidth="1"/>
    <col min="14861" max="14861" width="16.42578125" customWidth="1"/>
    <col min="15105" max="15105" width="13.140625" customWidth="1"/>
    <col min="15108" max="15108" width="15" customWidth="1"/>
    <col min="15110" max="15110" width="18.140625" customWidth="1"/>
    <col min="15111" max="15111" width="15.5703125" customWidth="1"/>
    <col min="15112" max="15112" width="18.5703125" customWidth="1"/>
    <col min="15113" max="15113" width="13.28515625" customWidth="1"/>
    <col min="15117" max="15117" width="16.42578125" customWidth="1"/>
    <col min="15361" max="15361" width="13.140625" customWidth="1"/>
    <col min="15364" max="15364" width="15" customWidth="1"/>
    <col min="15366" max="15366" width="18.140625" customWidth="1"/>
    <col min="15367" max="15367" width="15.5703125" customWidth="1"/>
    <col min="15368" max="15368" width="18.5703125" customWidth="1"/>
    <col min="15369" max="15369" width="13.28515625" customWidth="1"/>
    <col min="15373" max="15373" width="16.42578125" customWidth="1"/>
    <col min="15617" max="15617" width="13.140625" customWidth="1"/>
    <col min="15620" max="15620" width="15" customWidth="1"/>
    <col min="15622" max="15622" width="18.140625" customWidth="1"/>
    <col min="15623" max="15623" width="15.5703125" customWidth="1"/>
    <col min="15624" max="15624" width="18.5703125" customWidth="1"/>
    <col min="15625" max="15625" width="13.28515625" customWidth="1"/>
    <col min="15629" max="15629" width="16.42578125" customWidth="1"/>
    <col min="15873" max="15873" width="13.140625" customWidth="1"/>
    <col min="15876" max="15876" width="15" customWidth="1"/>
    <col min="15878" max="15878" width="18.140625" customWidth="1"/>
    <col min="15879" max="15879" width="15.5703125" customWidth="1"/>
    <col min="15880" max="15880" width="18.5703125" customWidth="1"/>
    <col min="15881" max="15881" width="13.28515625" customWidth="1"/>
    <col min="15885" max="15885" width="16.42578125" customWidth="1"/>
    <col min="16129" max="16129" width="13.140625" customWidth="1"/>
    <col min="16132" max="16132" width="15" customWidth="1"/>
    <col min="16134" max="16134" width="18.140625" customWidth="1"/>
    <col min="16135" max="16135" width="15.5703125" customWidth="1"/>
    <col min="16136" max="16136" width="18.5703125" customWidth="1"/>
    <col min="16137" max="16137" width="13.28515625" customWidth="1"/>
    <col min="16141" max="16141" width="16.42578125" customWidth="1"/>
  </cols>
  <sheetData>
    <row r="2" spans="1:15" ht="18" x14ac:dyDescent="0.25">
      <c r="A2" s="1" t="s">
        <v>0</v>
      </c>
    </row>
    <row r="3" spans="1:15" ht="18" x14ac:dyDescent="0.25">
      <c r="A3" s="1"/>
    </row>
    <row r="4" spans="1:15" ht="15.75" x14ac:dyDescent="0.25">
      <c r="A4" s="2" t="s">
        <v>1</v>
      </c>
      <c r="B4" s="3"/>
    </row>
    <row r="5" spans="1:15" ht="16.5" thickBot="1" x14ac:dyDescent="0.3">
      <c r="D5" s="2" t="s">
        <v>2</v>
      </c>
    </row>
    <row r="6" spans="1:15" ht="17.25" thickTop="1" thickBot="1" x14ac:dyDescent="0.3">
      <c r="C6" s="4" t="s">
        <v>3</v>
      </c>
      <c r="D6" s="5"/>
      <c r="E6" s="6">
        <v>5500</v>
      </c>
      <c r="F6" t="s">
        <v>4</v>
      </c>
      <c r="G6" s="4" t="s">
        <v>5</v>
      </c>
      <c r="H6" s="5"/>
      <c r="I6" s="6">
        <v>0.45</v>
      </c>
      <c r="K6" t="s">
        <v>6</v>
      </c>
    </row>
    <row r="7" spans="1:15" ht="17.25" thickTop="1" thickBot="1" x14ac:dyDescent="0.3">
      <c r="C7" s="4" t="s">
        <v>7</v>
      </c>
      <c r="D7" s="7" t="s">
        <v>8</v>
      </c>
      <c r="E7" s="6">
        <v>0.78</v>
      </c>
      <c r="G7" s="4" t="s">
        <v>9</v>
      </c>
      <c r="H7" s="5"/>
      <c r="I7" s="6">
        <v>1.2</v>
      </c>
      <c r="K7" t="s">
        <v>10</v>
      </c>
      <c r="M7" s="108"/>
      <c r="N7" s="108"/>
      <c r="O7" s="108"/>
    </row>
    <row r="8" spans="1:15" ht="17.25" thickTop="1" thickBot="1" x14ac:dyDescent="0.3">
      <c r="C8" t="s">
        <v>11</v>
      </c>
      <c r="D8" s="9" t="s">
        <v>12</v>
      </c>
      <c r="E8" s="6">
        <v>0.03</v>
      </c>
      <c r="G8" s="10" t="s">
        <v>13</v>
      </c>
      <c r="H8" s="3"/>
      <c r="I8" s="3"/>
      <c r="J8" s="3"/>
      <c r="M8" s="8"/>
      <c r="N8" s="8"/>
      <c r="O8" s="11"/>
    </row>
    <row r="9" spans="1:15" ht="17.25" thickTop="1" thickBot="1" x14ac:dyDescent="0.3">
      <c r="C9">
        <v>475</v>
      </c>
      <c r="D9" s="9" t="s">
        <v>14</v>
      </c>
      <c r="E9" s="6">
        <v>0.05</v>
      </c>
      <c r="G9" s="12" t="s">
        <v>15</v>
      </c>
      <c r="H9" s="12"/>
      <c r="I9" s="13">
        <v>5</v>
      </c>
      <c r="M9" s="108"/>
      <c r="N9" s="108"/>
      <c r="O9" s="108"/>
    </row>
    <row r="10" spans="1:15" ht="17.25" thickTop="1" thickBot="1" x14ac:dyDescent="0.3">
      <c r="D10" s="9" t="s">
        <v>16</v>
      </c>
      <c r="E10" s="6">
        <v>0.06</v>
      </c>
      <c r="G10" s="12" t="s">
        <v>17</v>
      </c>
      <c r="H10" s="12"/>
      <c r="I10" s="13">
        <v>4</v>
      </c>
      <c r="M10" s="8"/>
      <c r="N10" s="8"/>
      <c r="O10" s="11"/>
    </row>
    <row r="11" spans="1:15" ht="17.25" thickTop="1" thickBot="1" x14ac:dyDescent="0.3">
      <c r="D11" s="9" t="s">
        <v>18</v>
      </c>
      <c r="E11" s="6">
        <v>0.01</v>
      </c>
      <c r="G11" s="12" t="s">
        <v>19</v>
      </c>
      <c r="H11" s="12"/>
      <c r="I11" s="13">
        <v>3</v>
      </c>
      <c r="M11" s="108"/>
      <c r="N11" s="108"/>
      <c r="O11" s="108"/>
    </row>
    <row r="12" spans="1:15" ht="17.25" thickTop="1" thickBot="1" x14ac:dyDescent="0.3">
      <c r="D12" s="14" t="s">
        <v>20</v>
      </c>
      <c r="E12" s="15" t="s">
        <v>21</v>
      </c>
      <c r="G12" s="12" t="s">
        <v>22</v>
      </c>
      <c r="H12" s="12"/>
      <c r="I12" s="13">
        <v>2</v>
      </c>
      <c r="M12" s="11"/>
      <c r="N12" s="11"/>
      <c r="O12" s="11"/>
    </row>
    <row r="13" spans="1:15" ht="17.25" thickTop="1" thickBot="1" x14ac:dyDescent="0.3">
      <c r="D13">
        <v>22.4</v>
      </c>
      <c r="G13" s="12" t="s">
        <v>23</v>
      </c>
      <c r="H13" s="12"/>
      <c r="I13" s="13">
        <v>1</v>
      </c>
      <c r="M13" s="108"/>
      <c r="N13" s="108"/>
      <c r="O13" s="108"/>
    </row>
    <row r="14" spans="1:15" ht="15.75" thickTop="1" x14ac:dyDescent="0.25">
      <c r="M14" s="11"/>
      <c r="N14" s="11"/>
      <c r="O14" s="11"/>
    </row>
    <row r="15" spans="1:15" ht="16.5" thickBot="1" x14ac:dyDescent="0.3">
      <c r="E15" s="2" t="s">
        <v>24</v>
      </c>
      <c r="F15" s="3"/>
      <c r="M15" s="108"/>
      <c r="N15" s="108"/>
      <c r="O15" s="108"/>
    </row>
    <row r="16" spans="1:15" ht="17.25" thickTop="1" thickBot="1" x14ac:dyDescent="0.3">
      <c r="A16" s="12"/>
      <c r="B16" s="12"/>
      <c r="C16" s="109" t="s">
        <v>25</v>
      </c>
      <c r="D16" s="109"/>
      <c r="E16" s="109"/>
      <c r="F16" s="109" t="s">
        <v>26</v>
      </c>
      <c r="G16" s="109"/>
      <c r="H16" s="109"/>
      <c r="I16" s="4" t="s">
        <v>27</v>
      </c>
      <c r="J16" s="12"/>
    </row>
    <row r="17" spans="1:21" ht="16.5" thickTop="1" thickBot="1" x14ac:dyDescent="0.3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</row>
    <row r="18" spans="1:21" ht="17.25" thickTop="1" thickBot="1" x14ac:dyDescent="0.3">
      <c r="A18" s="18" t="s">
        <v>8</v>
      </c>
      <c r="B18" s="19">
        <v>16</v>
      </c>
      <c r="C18" s="20">
        <f t="shared" ref="C18:C26" si="0">D18/D$13*B18</f>
        <v>1378.9285714285716</v>
      </c>
      <c r="D18" s="20">
        <f>F$29*E7</f>
        <v>1930.5</v>
      </c>
      <c r="E18" s="21">
        <f t="shared" ref="E18:E26" si="1">D18/D$27</f>
        <v>7.8674351585014415E-2</v>
      </c>
      <c r="F18" s="20">
        <f t="shared" ref="F18:F26" si="2">G18/D$13*B18</f>
        <v>453.45535714285717</v>
      </c>
      <c r="G18" s="20">
        <f>1269.675/2</f>
        <v>634.83749999999998</v>
      </c>
      <c r="H18" s="23">
        <f t="shared" ref="H18:H26" si="3">G18/G$27</f>
        <v>2.5423008849557522E-2</v>
      </c>
      <c r="I18" s="20">
        <f t="shared" ref="I18:I26" si="4">J18/D$13*B18</f>
        <v>-925.47321428571433</v>
      </c>
      <c r="J18" s="20">
        <f>G18-D18</f>
        <v>-1295.6624999999999</v>
      </c>
      <c r="N18" s="24"/>
      <c r="O18" s="24"/>
      <c r="P18" s="24"/>
      <c r="Q18" s="24"/>
      <c r="R18" s="24"/>
      <c r="S18" s="24"/>
      <c r="T18" s="24"/>
      <c r="U18" s="24"/>
    </row>
    <row r="19" spans="1:21" ht="17.25" thickTop="1" thickBot="1" x14ac:dyDescent="0.3">
      <c r="A19" s="18" t="s">
        <v>12</v>
      </c>
      <c r="B19" s="19">
        <v>30</v>
      </c>
      <c r="C19" s="20">
        <f t="shared" si="0"/>
        <v>99.441964285714292</v>
      </c>
      <c r="D19" s="20">
        <f>F$29*E8</f>
        <v>74.25</v>
      </c>
      <c r="E19" s="21">
        <f t="shared" si="1"/>
        <v>3.0259365994236313E-3</v>
      </c>
      <c r="F19" s="20">
        <f t="shared" si="2"/>
        <v>0</v>
      </c>
      <c r="G19" s="20">
        <f t="shared" ref="G19:G26" si="5">D19+J19</f>
        <v>0</v>
      </c>
      <c r="H19" s="23">
        <f t="shared" si="3"/>
        <v>0</v>
      </c>
      <c r="I19" s="20">
        <f t="shared" si="4"/>
        <v>-99.441964285714292</v>
      </c>
      <c r="J19" s="20">
        <f>-D19</f>
        <v>-74.25</v>
      </c>
      <c r="N19" s="24"/>
      <c r="O19" s="24"/>
      <c r="P19" s="24"/>
      <c r="Q19" s="24"/>
      <c r="R19" s="24"/>
      <c r="S19" s="24"/>
      <c r="T19" s="24"/>
      <c r="U19" s="24"/>
    </row>
    <row r="20" spans="1:21" ht="17.25" thickTop="1" thickBot="1" x14ac:dyDescent="0.3">
      <c r="A20" s="18" t="s">
        <v>14</v>
      </c>
      <c r="B20" s="19">
        <v>44</v>
      </c>
      <c r="C20" s="20">
        <f t="shared" si="0"/>
        <v>243.08035714285717</v>
      </c>
      <c r="D20" s="20">
        <f>F$29*E9</f>
        <v>123.75</v>
      </c>
      <c r="E20" s="21">
        <f t="shared" si="1"/>
        <v>5.0432276657060519E-3</v>
      </c>
      <c r="F20" s="20">
        <f t="shared" si="2"/>
        <v>0</v>
      </c>
      <c r="G20" s="20">
        <f t="shared" si="5"/>
        <v>0</v>
      </c>
      <c r="H20" s="23">
        <f t="shared" si="3"/>
        <v>0</v>
      </c>
      <c r="I20" s="20">
        <f t="shared" si="4"/>
        <v>-243.08035714285717</v>
      </c>
      <c r="J20" s="20">
        <f>-D20</f>
        <v>-123.75</v>
      </c>
      <c r="N20" s="24"/>
      <c r="O20" s="24"/>
      <c r="P20" s="24"/>
      <c r="Q20" s="24"/>
      <c r="R20" s="24"/>
      <c r="S20" s="24"/>
      <c r="T20" s="24"/>
      <c r="U20" s="24"/>
    </row>
    <row r="21" spans="1:21" ht="17.25" thickTop="1" thickBot="1" x14ac:dyDescent="0.3">
      <c r="A21" s="18" t="s">
        <v>16</v>
      </c>
      <c r="B21" s="19">
        <v>58</v>
      </c>
      <c r="C21" s="20">
        <f t="shared" si="0"/>
        <v>384.50892857142861</v>
      </c>
      <c r="D21" s="20">
        <f>F$29*E10</f>
        <v>148.5</v>
      </c>
      <c r="E21" s="21">
        <f t="shared" si="1"/>
        <v>6.0518731988472626E-3</v>
      </c>
      <c r="F21" s="20">
        <f t="shared" si="2"/>
        <v>0</v>
      </c>
      <c r="G21" s="20">
        <f t="shared" si="5"/>
        <v>0</v>
      </c>
      <c r="H21" s="23">
        <f t="shared" si="3"/>
        <v>0</v>
      </c>
      <c r="I21" s="20">
        <f t="shared" si="4"/>
        <v>-384.50892857142861</v>
      </c>
      <c r="J21" s="20">
        <f>-D21</f>
        <v>-148.5</v>
      </c>
      <c r="N21" s="24"/>
      <c r="O21" s="24"/>
      <c r="P21" s="24"/>
      <c r="Q21" s="24"/>
      <c r="R21" s="24"/>
      <c r="S21" s="24"/>
      <c r="T21" s="24"/>
      <c r="U21" s="24"/>
    </row>
    <row r="22" spans="1:21" ht="17.25" thickTop="1" thickBot="1" x14ac:dyDescent="0.3">
      <c r="A22" s="18" t="s">
        <v>18</v>
      </c>
      <c r="B22" s="19">
        <v>72</v>
      </c>
      <c r="C22" s="20">
        <f t="shared" si="0"/>
        <v>79.553571428571445</v>
      </c>
      <c r="D22" s="20">
        <f>F$29*E11</f>
        <v>24.75</v>
      </c>
      <c r="E22" s="21">
        <f t="shared" si="1"/>
        <v>1.0086455331412105E-3</v>
      </c>
      <c r="F22" s="20">
        <f t="shared" si="2"/>
        <v>0</v>
      </c>
      <c r="G22" s="20">
        <f t="shared" si="5"/>
        <v>0</v>
      </c>
      <c r="H22" s="23">
        <f t="shared" si="3"/>
        <v>0</v>
      </c>
      <c r="I22" s="20">
        <f t="shared" si="4"/>
        <v>-79.553571428571445</v>
      </c>
      <c r="J22" s="20">
        <f>-D22</f>
        <v>-24.75</v>
      </c>
      <c r="L22" s="25" t="s">
        <v>38</v>
      </c>
      <c r="N22" s="24"/>
      <c r="O22" s="24"/>
      <c r="P22" s="24"/>
      <c r="Q22" s="24"/>
      <c r="R22" s="24"/>
      <c r="S22" s="24"/>
      <c r="T22" s="24"/>
      <c r="U22" s="24"/>
    </row>
    <row r="23" spans="1:21" ht="17.25" thickTop="1" thickBot="1" x14ac:dyDescent="0.3">
      <c r="A23" s="18" t="s">
        <v>39</v>
      </c>
      <c r="B23" s="19">
        <v>32</v>
      </c>
      <c r="C23" s="20">
        <f t="shared" si="0"/>
        <v>6618.8571428571431</v>
      </c>
      <c r="D23" s="20">
        <f>E7*F29*2*I7</f>
        <v>4633.2</v>
      </c>
      <c r="E23" s="21">
        <f t="shared" si="1"/>
        <v>0.18881844380403459</v>
      </c>
      <c r="F23" s="20">
        <f t="shared" si="2"/>
        <v>0</v>
      </c>
      <c r="G23" s="20">
        <f t="shared" si="5"/>
        <v>0</v>
      </c>
      <c r="H23" s="23">
        <f t="shared" si="3"/>
        <v>0</v>
      </c>
      <c r="I23" s="20">
        <f t="shared" si="4"/>
        <v>-6618.8571428571431</v>
      </c>
      <c r="J23" s="20">
        <f>J22*8+J21*6.5+J20*5+J19*3.5+J18*2</f>
        <v>-4633.2</v>
      </c>
      <c r="L23" s="25" t="s">
        <v>40</v>
      </c>
      <c r="N23" s="24"/>
      <c r="O23" s="24"/>
      <c r="P23" s="24"/>
      <c r="Q23" s="24"/>
      <c r="R23" s="26"/>
      <c r="S23" s="24"/>
      <c r="T23" s="24"/>
      <c r="U23" s="24"/>
    </row>
    <row r="24" spans="1:21" ht="17.25" thickTop="1" thickBot="1" x14ac:dyDescent="0.3">
      <c r="A24" s="18" t="s">
        <v>41</v>
      </c>
      <c r="B24" s="19">
        <v>44</v>
      </c>
      <c r="C24" s="20">
        <f t="shared" si="0"/>
        <v>0</v>
      </c>
      <c r="D24" s="20">
        <v>0</v>
      </c>
      <c r="E24" s="21">
        <f t="shared" si="1"/>
        <v>0</v>
      </c>
      <c r="F24" s="20">
        <f t="shared" si="2"/>
        <v>4975.8549107142862</v>
      </c>
      <c r="G24" s="20">
        <f t="shared" si="5"/>
        <v>2533.1624999999999</v>
      </c>
      <c r="H24" s="23">
        <f t="shared" si="3"/>
        <v>0.10144424778761062</v>
      </c>
      <c r="I24" s="20">
        <f t="shared" si="4"/>
        <v>4975.8549107142862</v>
      </c>
      <c r="J24" s="20">
        <f>-J22*5-J21*4-J20*3-J19*2-J18*1</f>
        <v>2533.1624999999999</v>
      </c>
      <c r="L24" s="25" t="s">
        <v>42</v>
      </c>
      <c r="N24" s="24"/>
      <c r="O24" s="24"/>
      <c r="P24" s="24"/>
      <c r="Q24" s="24"/>
      <c r="R24" s="24"/>
      <c r="S24" s="24"/>
      <c r="T24" s="24"/>
      <c r="U24" s="24"/>
    </row>
    <row r="25" spans="1:21" ht="17.25" thickTop="1" thickBot="1" x14ac:dyDescent="0.3">
      <c r="A25" s="18" t="s">
        <v>43</v>
      </c>
      <c r="B25" s="19">
        <v>18</v>
      </c>
      <c r="C25" s="20">
        <f t="shared" si="0"/>
        <v>0</v>
      </c>
      <c r="D25" s="20">
        <v>0</v>
      </c>
      <c r="E25" s="21">
        <f t="shared" si="1"/>
        <v>0</v>
      </c>
      <c r="F25" s="20">
        <f t="shared" si="2"/>
        <v>3375.0602678571431</v>
      </c>
      <c r="G25" s="20">
        <f t="shared" si="5"/>
        <v>4200.0749999999998</v>
      </c>
      <c r="H25" s="23">
        <f t="shared" si="3"/>
        <v>0.16819823008849558</v>
      </c>
      <c r="I25" s="20">
        <f t="shared" si="4"/>
        <v>3375.0602678571431</v>
      </c>
      <c r="J25" s="20">
        <f>-J22*6-J21*5-J20*4-J19*3-J18*2</f>
        <v>4200.0749999999998</v>
      </c>
      <c r="L25" s="25" t="s">
        <v>44</v>
      </c>
      <c r="N25" s="24"/>
      <c r="O25" s="24"/>
      <c r="P25" s="24"/>
      <c r="Q25" s="24"/>
      <c r="R25" s="24"/>
      <c r="S25" s="24"/>
      <c r="T25" s="24"/>
      <c r="U25" s="24"/>
    </row>
    <row r="26" spans="1:21" ht="17.25" thickTop="1" thickBot="1" x14ac:dyDescent="0.3">
      <c r="A26" s="18" t="s">
        <v>45</v>
      </c>
      <c r="B26" s="19">
        <v>28</v>
      </c>
      <c r="C26" s="20">
        <f t="shared" si="0"/>
        <v>22003.633928571428</v>
      </c>
      <c r="D26" s="20">
        <f>D23*79/21+F29*(1-SUM(E7:E11))</f>
        <v>17602.907142857141</v>
      </c>
      <c r="E26" s="21">
        <f t="shared" si="1"/>
        <v>0.71737752161383284</v>
      </c>
      <c r="F26" s="20">
        <f t="shared" si="2"/>
        <v>22003.633928571428</v>
      </c>
      <c r="G26" s="20">
        <f t="shared" si="5"/>
        <v>17602.907142857141</v>
      </c>
      <c r="H26" s="23">
        <f t="shared" si="3"/>
        <v>0.70493451327433621</v>
      </c>
      <c r="I26" s="20">
        <f t="shared" si="4"/>
        <v>0</v>
      </c>
      <c r="J26" s="20">
        <v>0</v>
      </c>
      <c r="N26" s="24"/>
      <c r="O26" s="24"/>
      <c r="P26" s="24"/>
      <c r="Q26" s="24"/>
      <c r="R26" s="24"/>
      <c r="S26" s="24"/>
      <c r="T26" s="24"/>
      <c r="U26" s="24"/>
    </row>
    <row r="27" spans="1:21" ht="17.25" thickTop="1" thickBot="1" x14ac:dyDescent="0.3">
      <c r="A27" s="27" t="s">
        <v>46</v>
      </c>
      <c r="B27" s="14"/>
      <c r="C27" s="28">
        <f t="shared" ref="C27:J27" si="6">SUM(C18:C26)</f>
        <v>30808.004464285714</v>
      </c>
      <c r="D27" s="29">
        <f t="shared" si="6"/>
        <v>24537.857142857141</v>
      </c>
      <c r="E27" s="30">
        <f t="shared" si="6"/>
        <v>1</v>
      </c>
      <c r="F27" s="28">
        <f t="shared" si="6"/>
        <v>30808.004464285714</v>
      </c>
      <c r="G27" s="29">
        <f t="shared" si="6"/>
        <v>24970.982142857141</v>
      </c>
      <c r="H27" s="30">
        <f t="shared" si="6"/>
        <v>0.99999999999999989</v>
      </c>
      <c r="I27" s="31">
        <f t="shared" si="6"/>
        <v>0</v>
      </c>
      <c r="J27" s="32">
        <f t="shared" si="6"/>
        <v>433.12500000000045</v>
      </c>
      <c r="N27" s="24"/>
      <c r="O27" s="24"/>
      <c r="P27" s="24"/>
      <c r="Q27" s="24"/>
      <c r="R27" s="24"/>
      <c r="S27" s="24"/>
      <c r="T27" s="24"/>
      <c r="U27" s="24"/>
    </row>
    <row r="28" spans="1:21" ht="16.5" thickTop="1" thickBot="1" x14ac:dyDescent="0.3"/>
    <row r="29" spans="1:21" ht="27" customHeight="1" thickTop="1" thickBot="1" x14ac:dyDescent="0.3">
      <c r="C29" s="33" t="s">
        <v>47</v>
      </c>
      <c r="D29" s="34"/>
      <c r="E29" s="34"/>
      <c r="F29" s="35">
        <f>E6*I6</f>
        <v>2475</v>
      </c>
    </row>
    <row r="30" spans="1:21" ht="26.25" customHeight="1" thickTop="1" thickBot="1" x14ac:dyDescent="0.3">
      <c r="A30" s="36"/>
      <c r="B30" s="37" t="s">
        <v>48</v>
      </c>
      <c r="C30" s="38" t="s">
        <v>49</v>
      </c>
    </row>
    <row r="31" spans="1:21" ht="20.25" thickTop="1" thickBot="1" x14ac:dyDescent="0.4">
      <c r="A31" s="40" t="s">
        <v>28</v>
      </c>
      <c r="B31" s="40" t="s">
        <v>50</v>
      </c>
      <c r="C31" s="40" t="s">
        <v>51</v>
      </c>
    </row>
    <row r="32" spans="1:21" ht="17.25" thickTop="1" thickBot="1" x14ac:dyDescent="0.3">
      <c r="A32" s="18" t="s">
        <v>8</v>
      </c>
      <c r="B32" s="41">
        <v>35.700000000000003</v>
      </c>
      <c r="C32" s="41">
        <v>-74.599999999999994</v>
      </c>
      <c r="G32" s="3"/>
    </row>
    <row r="33" spans="1:13" ht="17.25" thickTop="1" thickBot="1" x14ac:dyDescent="0.3">
      <c r="A33" s="18" t="s">
        <v>12</v>
      </c>
      <c r="B33" s="41">
        <v>52.49</v>
      </c>
      <c r="C33" s="41">
        <v>-84</v>
      </c>
      <c r="F33" s="2" t="s">
        <v>52</v>
      </c>
    </row>
    <row r="34" spans="1:13" ht="17.25" thickTop="1" thickBot="1" x14ac:dyDescent="0.3">
      <c r="A34" s="18" t="s">
        <v>14</v>
      </c>
      <c r="B34" s="41">
        <v>73.599999999999994</v>
      </c>
      <c r="C34" s="41">
        <v>-103.85</v>
      </c>
    </row>
    <row r="35" spans="1:13" ht="17.25" thickTop="1" thickBot="1" x14ac:dyDescent="0.3">
      <c r="A35" s="18" t="s">
        <v>16</v>
      </c>
      <c r="B35" s="41">
        <v>98.49</v>
      </c>
      <c r="C35" s="41">
        <v>-125.77</v>
      </c>
      <c r="F35" s="42" t="s">
        <v>53</v>
      </c>
      <c r="G35" s="42" t="s">
        <v>54</v>
      </c>
      <c r="H35" s="43" t="s">
        <v>55</v>
      </c>
    </row>
    <row r="36" spans="1:13" ht="17.25" thickTop="1" thickBot="1" x14ac:dyDescent="0.3">
      <c r="A36" s="18" t="s">
        <v>18</v>
      </c>
      <c r="B36" s="41">
        <v>120.04</v>
      </c>
      <c r="C36" s="41">
        <v>-146.36000000000001</v>
      </c>
      <c r="D36" t="s">
        <v>56</v>
      </c>
      <c r="F36" s="41">
        <f>D27/D13*B42*C9*1000/3600</f>
        <v>4407421.9154575896</v>
      </c>
      <c r="G36" s="44">
        <f>(J22/D13*C45+J21/D13*C46+J20/D13*C47+J19/D13*C48+J18/D13*C49)*1000/3600*1000</f>
        <v>22270107.547433041</v>
      </c>
      <c r="H36" s="45">
        <f>F36+G36</f>
        <v>26677529.462890632</v>
      </c>
    </row>
    <row r="37" spans="1:13" ht="17.25" thickTop="1" thickBot="1" x14ac:dyDescent="0.3">
      <c r="A37" s="18" t="s">
        <v>39</v>
      </c>
      <c r="B37" s="41">
        <v>29.38</v>
      </c>
      <c r="C37" s="41">
        <v>0</v>
      </c>
    </row>
    <row r="38" spans="1:13" ht="17.25" thickTop="1" thickBot="1" x14ac:dyDescent="0.3">
      <c r="A38" s="18" t="s">
        <v>41</v>
      </c>
      <c r="B38" s="41">
        <v>37.14</v>
      </c>
      <c r="C38" s="41">
        <v>-393.51</v>
      </c>
    </row>
    <row r="39" spans="1:13" ht="17.25" thickTop="1" thickBot="1" x14ac:dyDescent="0.3">
      <c r="A39" s="18" t="s">
        <v>43</v>
      </c>
      <c r="B39" s="41">
        <v>33.6</v>
      </c>
      <c r="C39" s="41">
        <v>-241.83</v>
      </c>
    </row>
    <row r="40" spans="1:13" ht="18" customHeight="1" thickTop="1" thickBot="1" x14ac:dyDescent="0.3">
      <c r="A40" s="18" t="s">
        <v>45</v>
      </c>
      <c r="B40" s="41">
        <v>29.12</v>
      </c>
      <c r="C40" s="41"/>
    </row>
    <row r="41" spans="1:13" ht="9" customHeight="1" thickTop="1" thickBot="1" x14ac:dyDescent="0.3">
      <c r="A41" s="8"/>
      <c r="B41" s="24"/>
      <c r="C41" s="24"/>
    </row>
    <row r="42" spans="1:13" ht="21" thickTop="1" thickBot="1" x14ac:dyDescent="0.3">
      <c r="A42" s="46" t="s">
        <v>57</v>
      </c>
      <c r="B42" s="47">
        <f>B32*E18+B33*E19+B34*E20+B35*E21+B36*E22+B37*E23+B38*E24+B39*E25+B40*E26</f>
        <v>30.493333429394813</v>
      </c>
      <c r="C42" s="48"/>
    </row>
    <row r="43" spans="1:13" ht="21" thickTop="1" thickBot="1" x14ac:dyDescent="0.3">
      <c r="A43" s="46" t="s">
        <v>58</v>
      </c>
      <c r="B43" s="47">
        <f>B32*H18+B38*H24+B39*H25+B40*H26</f>
        <v>30.854394336283185</v>
      </c>
      <c r="C43" s="49"/>
    </row>
    <row r="44" spans="1:13" ht="9.75" customHeight="1" thickTop="1" thickBot="1" x14ac:dyDescent="0.3">
      <c r="A44" s="50"/>
      <c r="B44" s="24"/>
      <c r="C44" s="24"/>
    </row>
    <row r="45" spans="1:13" ht="17.25" thickTop="1" thickBot="1" x14ac:dyDescent="0.3">
      <c r="B45" s="51" t="s">
        <v>59</v>
      </c>
      <c r="C45" s="47">
        <f>6*C39+5*C38-(8*C37+C36)</f>
        <v>-3272.1699999999996</v>
      </c>
      <c r="D45" t="s">
        <v>60</v>
      </c>
      <c r="L45" s="52" t="s">
        <v>7</v>
      </c>
      <c r="M45" s="52" t="s">
        <v>61</v>
      </c>
    </row>
    <row r="46" spans="1:13" ht="17.25" thickTop="1" thickBot="1" x14ac:dyDescent="0.3">
      <c r="B46" s="51" t="s">
        <v>62</v>
      </c>
      <c r="C46" s="47">
        <f>C39*5+C38*4-(C37*6.5+C35)</f>
        <v>-2657.42</v>
      </c>
      <c r="D46" t="s">
        <v>60</v>
      </c>
      <c r="K46" s="53" t="s">
        <v>63</v>
      </c>
      <c r="L46" s="6">
        <v>0.78</v>
      </c>
      <c r="M46" s="41">
        <f>35.7</f>
        <v>35.700000000000003</v>
      </c>
    </row>
    <row r="47" spans="1:13" ht="17.25" thickTop="1" thickBot="1" x14ac:dyDescent="0.3">
      <c r="B47" s="51" t="s">
        <v>64</v>
      </c>
      <c r="C47" s="47">
        <f>C39*3+C38*2-(C37*5+C34)</f>
        <v>-1408.66</v>
      </c>
      <c r="D47" t="s">
        <v>60</v>
      </c>
      <c r="K47" s="53" t="s">
        <v>65</v>
      </c>
      <c r="L47" s="6">
        <v>0.03</v>
      </c>
      <c r="M47" s="41">
        <v>52.49</v>
      </c>
    </row>
    <row r="48" spans="1:13" ht="17.25" thickTop="1" thickBot="1" x14ac:dyDescent="0.3">
      <c r="B48" s="51" t="s">
        <v>66</v>
      </c>
      <c r="C48" s="47">
        <f>C39*3+C38*2-(C37*3.5+C33)</f>
        <v>-1428.51</v>
      </c>
      <c r="D48" t="s">
        <v>60</v>
      </c>
      <c r="K48" s="53" t="s">
        <v>67</v>
      </c>
      <c r="L48" s="6">
        <v>0.05</v>
      </c>
      <c r="M48" s="41">
        <v>73.599999999999994</v>
      </c>
    </row>
    <row r="49" spans="1:27" ht="17.25" thickTop="1" thickBot="1" x14ac:dyDescent="0.3">
      <c r="B49" s="51" t="s">
        <v>68</v>
      </c>
      <c r="C49" s="47">
        <f>C39*2+C38-(C37*2+C32)</f>
        <v>-802.57</v>
      </c>
      <c r="D49" t="s">
        <v>60</v>
      </c>
      <c r="K49" s="53" t="s">
        <v>69</v>
      </c>
      <c r="L49" s="6">
        <v>0.06</v>
      </c>
      <c r="M49" s="41">
        <v>98.49</v>
      </c>
      <c r="N49" s="2" t="s">
        <v>70</v>
      </c>
    </row>
    <row r="50" spans="1:27" ht="17.25" thickTop="1" thickBot="1" x14ac:dyDescent="0.3">
      <c r="B50" s="24"/>
      <c r="C50" s="24"/>
      <c r="K50" s="53" t="s">
        <v>71</v>
      </c>
      <c r="L50" s="6">
        <v>0.01</v>
      </c>
      <c r="M50" s="41">
        <v>120.04</v>
      </c>
      <c r="N50" s="54">
        <f>(M46*L46+M47*L47+M48*L48+M49*L49+M50*L50+M51*(1-L46-L47-L48-L49-L50))</f>
        <v>42.248899999999999</v>
      </c>
    </row>
    <row r="51" spans="1:27" ht="16.5" thickTop="1" thickBot="1" x14ac:dyDescent="0.3">
      <c r="K51" s="53" t="s">
        <v>20</v>
      </c>
      <c r="L51" s="12" t="s">
        <v>21</v>
      </c>
      <c r="M51" s="41">
        <v>29.12</v>
      </c>
    </row>
    <row r="52" spans="1:27" ht="17.25" thickTop="1" thickBot="1" x14ac:dyDescent="0.3">
      <c r="A52" s="2" t="s">
        <v>72</v>
      </c>
      <c r="B52" s="3"/>
      <c r="E52" s="55" t="s">
        <v>73</v>
      </c>
      <c r="F52" s="3"/>
      <c r="G52" s="35">
        <f>E6*(1-I6)</f>
        <v>3025.0000000000005</v>
      </c>
    </row>
    <row r="53" spans="1:27" ht="22.5" customHeight="1" thickTop="1" x14ac:dyDescent="0.25">
      <c r="A53" s="56"/>
      <c r="B53" s="3"/>
      <c r="D53" s="106" t="s">
        <v>74</v>
      </c>
      <c r="E53" s="106"/>
      <c r="F53" s="106"/>
      <c r="G53" s="106"/>
      <c r="H53" s="106"/>
      <c r="I53" s="106"/>
    </row>
    <row r="54" spans="1:27" ht="16.5" thickBot="1" x14ac:dyDescent="0.3">
      <c r="I54">
        <v>22.4</v>
      </c>
      <c r="K54" s="57" t="s">
        <v>75</v>
      </c>
      <c r="L54" s="57" t="s">
        <v>76</v>
      </c>
      <c r="M54" s="57" t="s">
        <v>77</v>
      </c>
    </row>
    <row r="55" spans="1:27" ht="17.25" thickTop="1" thickBot="1" x14ac:dyDescent="0.3">
      <c r="A55" s="42" t="s">
        <v>28</v>
      </c>
      <c r="B55" s="42" t="s">
        <v>29</v>
      </c>
      <c r="C55" s="42" t="s">
        <v>30</v>
      </c>
      <c r="D55" s="42" t="s">
        <v>31</v>
      </c>
      <c r="E55" s="42" t="s">
        <v>32</v>
      </c>
      <c r="F55" s="42" t="s">
        <v>33</v>
      </c>
      <c r="G55" s="42" t="s">
        <v>34</v>
      </c>
      <c r="H55" s="42" t="s">
        <v>35</v>
      </c>
      <c r="I55" s="42" t="s">
        <v>36</v>
      </c>
      <c r="J55" s="42" t="s">
        <v>37</v>
      </c>
      <c r="K55" s="42" t="s">
        <v>78</v>
      </c>
      <c r="L55" s="42" t="s">
        <v>79</v>
      </c>
      <c r="M55" s="42" t="s">
        <v>80</v>
      </c>
    </row>
    <row r="56" spans="1:27" ht="17.25" thickTop="1" thickBot="1" x14ac:dyDescent="0.3">
      <c r="A56" s="18" t="s">
        <v>8</v>
      </c>
      <c r="B56" s="19">
        <v>16</v>
      </c>
      <c r="C56" s="20">
        <f t="shared" ref="C56:C66" si="7">D56/22.4*B56</f>
        <v>2138.8125000000005</v>
      </c>
      <c r="D56" s="20">
        <f>G18+G52*E7</f>
        <v>2994.3375000000005</v>
      </c>
      <c r="E56" s="23">
        <f t="shared" ref="E56:E66" si="8">D56/$D$67</f>
        <v>0.10695597263637961</v>
      </c>
      <c r="F56" s="20">
        <f>G56/$I$54*B56</f>
        <v>0</v>
      </c>
      <c r="G56" s="20">
        <f>D56+J56</f>
        <v>0</v>
      </c>
      <c r="H56" s="23">
        <f t="shared" ref="H56:H66" si="9">G56/$G$67</f>
        <v>0</v>
      </c>
      <c r="I56" s="20">
        <f>J56/$I$54*B56</f>
        <v>-2138.8125000000005</v>
      </c>
      <c r="J56" s="20">
        <f>SUM(K56:M56)</f>
        <v>-2994.3375000000005</v>
      </c>
      <c r="K56" s="20">
        <v>-2687.5749999999998</v>
      </c>
      <c r="L56" s="20">
        <f>-D56-K56</f>
        <v>-306.76250000000073</v>
      </c>
      <c r="M56" s="20">
        <v>0</v>
      </c>
      <c r="Q56" s="24"/>
      <c r="R56" s="24"/>
      <c r="S56" s="24"/>
      <c r="T56" s="24"/>
      <c r="U56" s="26"/>
      <c r="V56" s="24"/>
      <c r="W56" s="24"/>
      <c r="X56" s="24"/>
      <c r="Y56" s="24"/>
      <c r="Z56" s="24"/>
      <c r="AA56" s="24"/>
    </row>
    <row r="57" spans="1:27" ht="17.25" thickTop="1" thickBot="1" x14ac:dyDescent="0.3">
      <c r="A57" s="18" t="s">
        <v>12</v>
      </c>
      <c r="B57" s="19">
        <v>30</v>
      </c>
      <c r="C57" s="20">
        <f t="shared" si="7"/>
        <v>121.5401785714286</v>
      </c>
      <c r="D57" s="20">
        <f>G$52*E8</f>
        <v>90.750000000000014</v>
      </c>
      <c r="E57" s="23">
        <f t="shared" si="8"/>
        <v>3.2415365725311355E-3</v>
      </c>
      <c r="F57" s="20">
        <f t="shared" ref="F57:F66" si="10">G57/$I$54*B57</f>
        <v>0</v>
      </c>
      <c r="G57" s="20">
        <f t="shared" ref="G57:G66" si="11">D57+J57</f>
        <v>0</v>
      </c>
      <c r="H57" s="23">
        <f t="shared" si="9"/>
        <v>0</v>
      </c>
      <c r="I57" s="20">
        <f t="shared" ref="I57:I66" si="12">J57/$I$54*B57</f>
        <v>-121.5401785714286</v>
      </c>
      <c r="J57" s="20">
        <f t="shared" ref="J57:J66" si="13">SUM(K57:M57)</f>
        <v>-90.750000000000014</v>
      </c>
      <c r="K57" s="20">
        <f>-D57</f>
        <v>-90.750000000000014</v>
      </c>
      <c r="L57" s="20">
        <v>0</v>
      </c>
      <c r="M57" s="20">
        <v>0</v>
      </c>
      <c r="Q57" s="24"/>
      <c r="R57" s="24"/>
      <c r="S57" s="24"/>
      <c r="T57" s="24"/>
      <c r="U57" s="58"/>
      <c r="V57" s="24"/>
      <c r="W57" s="24"/>
      <c r="X57" s="24"/>
      <c r="Y57" s="24"/>
      <c r="Z57" s="24"/>
      <c r="AA57" s="24"/>
    </row>
    <row r="58" spans="1:27" ht="17.25" thickTop="1" thickBot="1" x14ac:dyDescent="0.3">
      <c r="A58" s="18" t="s">
        <v>14</v>
      </c>
      <c r="B58" s="19">
        <v>44</v>
      </c>
      <c r="C58" s="20">
        <f t="shared" si="7"/>
        <v>297.09821428571433</v>
      </c>
      <c r="D58" s="20">
        <f>G$52*E9</f>
        <v>151.25000000000003</v>
      </c>
      <c r="E58" s="23">
        <f t="shared" si="8"/>
        <v>5.402560954218559E-3</v>
      </c>
      <c r="F58" s="20">
        <f t="shared" si="10"/>
        <v>0</v>
      </c>
      <c r="G58" s="20">
        <f t="shared" si="11"/>
        <v>0</v>
      </c>
      <c r="H58" s="23">
        <f t="shared" si="9"/>
        <v>0</v>
      </c>
      <c r="I58" s="20">
        <f t="shared" si="12"/>
        <v>-297.09821428571433</v>
      </c>
      <c r="J58" s="20">
        <f t="shared" si="13"/>
        <v>-151.25000000000003</v>
      </c>
      <c r="K58" s="20">
        <f>-D58</f>
        <v>-151.25000000000003</v>
      </c>
      <c r="L58" s="20">
        <v>0</v>
      </c>
      <c r="M58" s="20">
        <v>0</v>
      </c>
      <c r="Q58" s="24"/>
      <c r="R58" s="24"/>
      <c r="S58" s="24"/>
      <c r="T58" s="24"/>
      <c r="U58" s="58"/>
      <c r="V58" s="24"/>
      <c r="W58" s="24"/>
      <c r="X58" s="24"/>
      <c r="Y58" s="24"/>
      <c r="Z58" s="24"/>
      <c r="AA58" s="24"/>
    </row>
    <row r="59" spans="1:27" ht="17.25" thickTop="1" thickBot="1" x14ac:dyDescent="0.3">
      <c r="A59" s="18" t="s">
        <v>16</v>
      </c>
      <c r="B59" s="19">
        <v>58</v>
      </c>
      <c r="C59" s="20">
        <f t="shared" si="7"/>
        <v>469.95535714285722</v>
      </c>
      <c r="D59" s="20">
        <f>G$52*E10</f>
        <v>181.50000000000003</v>
      </c>
      <c r="E59" s="23">
        <f t="shared" si="8"/>
        <v>6.483073145062271E-3</v>
      </c>
      <c r="F59" s="20">
        <f t="shared" si="10"/>
        <v>0</v>
      </c>
      <c r="G59" s="20">
        <f t="shared" si="11"/>
        <v>0</v>
      </c>
      <c r="H59" s="23">
        <f t="shared" si="9"/>
        <v>0</v>
      </c>
      <c r="I59" s="20">
        <f t="shared" si="12"/>
        <v>-469.95535714285722</v>
      </c>
      <c r="J59" s="20">
        <f t="shared" si="13"/>
        <v>-181.50000000000003</v>
      </c>
      <c r="K59" s="20">
        <f>-D59</f>
        <v>-181.50000000000003</v>
      </c>
      <c r="L59" s="20">
        <v>0</v>
      </c>
      <c r="M59" s="20">
        <v>0</v>
      </c>
      <c r="Q59" s="24"/>
      <c r="R59" s="24"/>
      <c r="S59" s="24"/>
      <c r="T59" s="24"/>
      <c r="U59" s="58"/>
      <c r="V59" s="24"/>
      <c r="W59" s="24"/>
      <c r="X59" s="24"/>
      <c r="Y59" s="24"/>
      <c r="Z59" s="24"/>
      <c r="AA59" s="24"/>
    </row>
    <row r="60" spans="1:27" ht="17.25" thickTop="1" thickBot="1" x14ac:dyDescent="0.3">
      <c r="A60" s="18" t="s">
        <v>18</v>
      </c>
      <c r="B60" s="19">
        <v>72</v>
      </c>
      <c r="C60" s="20">
        <f t="shared" si="7"/>
        <v>97.232142857142875</v>
      </c>
      <c r="D60" s="20">
        <f>G$52*E11</f>
        <v>30.250000000000004</v>
      </c>
      <c r="E60" s="23">
        <f t="shared" si="8"/>
        <v>1.0805121908437118E-3</v>
      </c>
      <c r="F60" s="20">
        <f t="shared" si="10"/>
        <v>0</v>
      </c>
      <c r="G60" s="20">
        <f t="shared" si="11"/>
        <v>0</v>
      </c>
      <c r="H60" s="23">
        <f t="shared" si="9"/>
        <v>0</v>
      </c>
      <c r="I60" s="20">
        <f t="shared" si="12"/>
        <v>-97.232142857142875</v>
      </c>
      <c r="J60" s="20">
        <f t="shared" si="13"/>
        <v>-30.250000000000004</v>
      </c>
      <c r="K60" s="20">
        <f>-D60</f>
        <v>-30.250000000000004</v>
      </c>
      <c r="L60" s="20">
        <v>0</v>
      </c>
      <c r="M60" s="20">
        <v>0</v>
      </c>
      <c r="Q60" s="24"/>
      <c r="R60" s="24"/>
      <c r="S60" s="24"/>
      <c r="T60" s="24"/>
      <c r="U60" s="58"/>
      <c r="V60" s="24"/>
      <c r="W60" s="24"/>
      <c r="X60" s="24"/>
      <c r="Y60" s="24"/>
      <c r="Z60" s="24"/>
      <c r="AA60" s="24"/>
    </row>
    <row r="61" spans="1:27" ht="17.25" thickTop="1" thickBot="1" x14ac:dyDescent="0.35">
      <c r="A61" s="19" t="s">
        <v>81</v>
      </c>
      <c r="B61" s="19">
        <v>16</v>
      </c>
      <c r="C61" s="20">
        <f t="shared" si="7"/>
        <v>0</v>
      </c>
      <c r="D61" s="20">
        <f>G23</f>
        <v>0</v>
      </c>
      <c r="E61" s="23">
        <f t="shared" si="8"/>
        <v>0</v>
      </c>
      <c r="F61" s="20">
        <f t="shared" si="10"/>
        <v>0</v>
      </c>
      <c r="G61" s="20">
        <f t="shared" si="11"/>
        <v>0</v>
      </c>
      <c r="H61" s="23">
        <f t="shared" si="9"/>
        <v>0</v>
      </c>
      <c r="I61" s="20">
        <f t="shared" si="12"/>
        <v>0</v>
      </c>
      <c r="J61" s="20">
        <f t="shared" si="13"/>
        <v>0</v>
      </c>
      <c r="K61" s="20">
        <v>0</v>
      </c>
      <c r="L61" s="20">
        <v>0</v>
      </c>
      <c r="M61" s="20">
        <v>0</v>
      </c>
      <c r="Q61" s="24"/>
      <c r="R61" s="58"/>
      <c r="S61" s="24"/>
      <c r="T61" s="24"/>
      <c r="U61" s="58"/>
      <c r="V61" s="24"/>
      <c r="W61" s="24"/>
      <c r="X61" s="24"/>
      <c r="Y61" s="24"/>
      <c r="Z61" s="24"/>
      <c r="AA61" s="24"/>
    </row>
    <row r="62" spans="1:27" ht="17.25" thickTop="1" thickBot="1" x14ac:dyDescent="0.35">
      <c r="A62" s="19" t="s">
        <v>41</v>
      </c>
      <c r="B62" s="19">
        <v>44</v>
      </c>
      <c r="C62" s="20">
        <f t="shared" si="7"/>
        <v>4975.8549107142862</v>
      </c>
      <c r="D62" s="20">
        <f>G24</f>
        <v>2533.1624999999999</v>
      </c>
      <c r="E62" s="23">
        <f t="shared" si="8"/>
        <v>9.0483073145062265E-2</v>
      </c>
      <c r="F62" s="20">
        <f t="shared" si="10"/>
        <v>4373.2857142857129</v>
      </c>
      <c r="G62" s="20">
        <f t="shared" si="11"/>
        <v>2226.3999999999992</v>
      </c>
      <c r="H62" s="23">
        <f t="shared" si="9"/>
        <v>6.0157271692793675E-2</v>
      </c>
      <c r="I62" s="20">
        <f t="shared" si="12"/>
        <v>-602.56919642857292</v>
      </c>
      <c r="J62" s="20">
        <f t="shared" si="13"/>
        <v>-306.76250000000073</v>
      </c>
      <c r="K62" s="20">
        <v>0</v>
      </c>
      <c r="L62" s="20">
        <f>L56</f>
        <v>-306.76250000000073</v>
      </c>
      <c r="M62" s="20">
        <v>0</v>
      </c>
      <c r="Q62" s="24"/>
      <c r="R62" s="24"/>
      <c r="S62" s="24"/>
      <c r="T62" s="24"/>
      <c r="U62" s="58"/>
      <c r="V62" s="24"/>
      <c r="W62" s="24"/>
      <c r="X62" s="24"/>
      <c r="Y62" s="24"/>
      <c r="Z62" s="24"/>
      <c r="AA62" s="24"/>
    </row>
    <row r="63" spans="1:27" ht="17.25" thickTop="1" thickBot="1" x14ac:dyDescent="0.35">
      <c r="A63" s="19" t="s">
        <v>43</v>
      </c>
      <c r="B63" s="19">
        <v>18</v>
      </c>
      <c r="C63" s="20">
        <f t="shared" si="7"/>
        <v>3375.0602678571431</v>
      </c>
      <c r="D63" s="20">
        <f>G25</f>
        <v>4200.0749999999998</v>
      </c>
      <c r="E63" s="23">
        <f t="shared" si="8"/>
        <v>0.15002420627960006</v>
      </c>
      <c r="F63" s="20">
        <f t="shared" si="10"/>
        <v>0</v>
      </c>
      <c r="G63" s="20">
        <f t="shared" si="11"/>
        <v>0</v>
      </c>
      <c r="H63" s="23">
        <f t="shared" si="9"/>
        <v>0</v>
      </c>
      <c r="I63" s="20">
        <f t="shared" si="12"/>
        <v>-3375.0602678571431</v>
      </c>
      <c r="J63" s="20">
        <f t="shared" si="13"/>
        <v>-4200.0749999999998</v>
      </c>
      <c r="K63" s="20">
        <f>K60*5+K59*4+K58*3+K57*2+K56</f>
        <v>-4200.0749999999998</v>
      </c>
      <c r="L63" s="20">
        <v>0</v>
      </c>
      <c r="M63" s="20">
        <v>0</v>
      </c>
      <c r="Q63" s="24"/>
      <c r="R63" s="24"/>
      <c r="S63" s="24"/>
      <c r="T63" s="24"/>
      <c r="U63" s="58"/>
      <c r="V63" s="24"/>
      <c r="W63" s="24"/>
      <c r="X63" s="24"/>
      <c r="Y63" s="24"/>
      <c r="AA63" s="24"/>
    </row>
    <row r="64" spans="1:27" ht="16.5" thickTop="1" thickBot="1" x14ac:dyDescent="0.3">
      <c r="A64" s="19" t="s">
        <v>82</v>
      </c>
      <c r="B64" s="19">
        <v>28</v>
      </c>
      <c r="C64" s="20">
        <f t="shared" si="7"/>
        <v>0</v>
      </c>
      <c r="D64" s="20">
        <v>0</v>
      </c>
      <c r="E64" s="23">
        <f t="shared" si="8"/>
        <v>0</v>
      </c>
      <c r="F64" s="20">
        <f t="shared" si="10"/>
        <v>6017.0000000000018</v>
      </c>
      <c r="G64" s="20">
        <f t="shared" si="11"/>
        <v>4813.6000000000013</v>
      </c>
      <c r="H64" s="23">
        <f t="shared" si="9"/>
        <v>0.1300633502607042</v>
      </c>
      <c r="I64" s="20">
        <f t="shared" si="12"/>
        <v>6017.0000000000018</v>
      </c>
      <c r="J64" s="20">
        <f t="shared" si="13"/>
        <v>4813.6000000000013</v>
      </c>
      <c r="K64" s="20">
        <f>-K60*5-K59*4-K58*3-K57*2-K56</f>
        <v>4200.0749999999998</v>
      </c>
      <c r="L64" s="20">
        <f>-L56*2</f>
        <v>613.52500000000146</v>
      </c>
      <c r="M64" s="20">
        <v>0</v>
      </c>
      <c r="Q64" s="24"/>
      <c r="R64" s="24"/>
      <c r="S64" s="24"/>
      <c r="T64" s="24"/>
      <c r="U64" s="58"/>
      <c r="V64" s="24"/>
      <c r="W64" s="24"/>
      <c r="X64" s="24"/>
      <c r="Y64" s="24"/>
      <c r="Z64" s="24"/>
      <c r="AA64" s="24"/>
    </row>
    <row r="65" spans="1:27" ht="17.25" thickTop="1" thickBot="1" x14ac:dyDescent="0.35">
      <c r="A65" s="19" t="s">
        <v>83</v>
      </c>
      <c r="B65" s="19">
        <v>2</v>
      </c>
      <c r="C65" s="20">
        <f t="shared" si="7"/>
        <v>0</v>
      </c>
      <c r="D65" s="20">
        <f>0</f>
        <v>0</v>
      </c>
      <c r="E65" s="23">
        <f t="shared" si="8"/>
        <v>0</v>
      </c>
      <c r="F65" s="20">
        <f t="shared" si="10"/>
        <v>1085.2678571428573</v>
      </c>
      <c r="G65" s="20">
        <f t="shared" si="11"/>
        <v>12155.000000000002</v>
      </c>
      <c r="H65" s="23">
        <f t="shared" si="9"/>
        <v>0.32842779259158622</v>
      </c>
      <c r="I65" s="20">
        <f t="shared" si="12"/>
        <v>1085.2678571428573</v>
      </c>
      <c r="J65" s="20">
        <f t="shared" si="13"/>
        <v>12155.000000000002</v>
      </c>
      <c r="K65" s="20">
        <f>-K60*11-K59*9-K58*7-K57*5-K56*3</f>
        <v>11541.475</v>
      </c>
      <c r="L65" s="20">
        <f>-L56*2</f>
        <v>613.52500000000146</v>
      </c>
      <c r="M65" s="20">
        <v>0</v>
      </c>
      <c r="Q65" s="24"/>
      <c r="R65" s="24"/>
      <c r="S65" s="24"/>
      <c r="T65" s="24"/>
      <c r="U65" s="58"/>
      <c r="V65" s="24"/>
      <c r="W65" s="24"/>
      <c r="X65" s="24"/>
      <c r="Y65" s="24"/>
      <c r="Z65" s="24"/>
      <c r="AA65" s="24"/>
    </row>
    <row r="66" spans="1:27" ht="17.25" thickTop="1" thickBot="1" x14ac:dyDescent="0.35">
      <c r="A66" s="19" t="s">
        <v>45</v>
      </c>
      <c r="B66" s="19">
        <v>28</v>
      </c>
      <c r="C66" s="20">
        <f t="shared" si="7"/>
        <v>22268.321428571428</v>
      </c>
      <c r="D66" s="20">
        <f>G52*(1-E7-E8-E9-E10-E11)+D26</f>
        <v>17814.657142857141</v>
      </c>
      <c r="E66" s="23">
        <f t="shared" si="8"/>
        <v>0.63632906507630238</v>
      </c>
      <c r="F66" s="20">
        <f t="shared" si="10"/>
        <v>22268.321428571428</v>
      </c>
      <c r="G66" s="20">
        <f t="shared" si="11"/>
        <v>17814.657142857141</v>
      </c>
      <c r="H66" s="23">
        <f t="shared" si="9"/>
        <v>0.48135158545491596</v>
      </c>
      <c r="I66" s="20">
        <f t="shared" si="12"/>
        <v>0</v>
      </c>
      <c r="J66" s="20">
        <f t="shared" si="13"/>
        <v>0</v>
      </c>
      <c r="K66" s="20">
        <v>0</v>
      </c>
      <c r="L66" s="20">
        <v>0</v>
      </c>
      <c r="M66" s="20">
        <v>0</v>
      </c>
      <c r="Q66" s="24"/>
      <c r="R66" s="24"/>
      <c r="S66" s="24"/>
      <c r="T66" s="24"/>
      <c r="U66" s="58"/>
      <c r="V66" s="24"/>
      <c r="W66" s="24"/>
      <c r="X66" s="24"/>
      <c r="Y66" s="24"/>
      <c r="Z66" s="24"/>
      <c r="AA66" s="24"/>
    </row>
    <row r="67" spans="1:27" ht="16.5" thickTop="1" thickBot="1" x14ac:dyDescent="0.3">
      <c r="A67" s="27" t="s">
        <v>46</v>
      </c>
      <c r="B67" s="19"/>
      <c r="C67" s="20">
        <f t="shared" ref="C67:M67" si="14">SUM(C56:C66)</f>
        <v>33743.875</v>
      </c>
      <c r="D67" s="20">
        <f t="shared" si="14"/>
        <v>27995.982142857141</v>
      </c>
      <c r="E67" s="23">
        <f t="shared" si="14"/>
        <v>1</v>
      </c>
      <c r="F67" s="20">
        <f t="shared" si="14"/>
        <v>33743.875</v>
      </c>
      <c r="G67" s="20">
        <f t="shared" si="14"/>
        <v>37009.657142857141</v>
      </c>
      <c r="H67" s="23">
        <f t="shared" si="14"/>
        <v>1</v>
      </c>
      <c r="I67" s="20">
        <f t="shared" si="14"/>
        <v>4.5474735088646412E-13</v>
      </c>
      <c r="J67" s="20">
        <f t="shared" si="14"/>
        <v>9013.6750000000029</v>
      </c>
      <c r="K67" s="20">
        <f t="shared" si="14"/>
        <v>8400.1500000000015</v>
      </c>
      <c r="L67" s="20">
        <f t="shared" si="14"/>
        <v>613.52500000000146</v>
      </c>
      <c r="M67" s="20">
        <f t="shared" si="14"/>
        <v>0</v>
      </c>
      <c r="Q67" s="26"/>
      <c r="R67" s="24"/>
      <c r="S67" s="24"/>
      <c r="T67" s="26"/>
      <c r="U67" s="58"/>
      <c r="V67" s="24"/>
      <c r="W67" s="24"/>
      <c r="X67" s="24"/>
      <c r="Y67" s="24"/>
      <c r="Z67" s="24"/>
      <c r="AA67" s="24"/>
    </row>
    <row r="68" spans="1:27" ht="16.5" thickTop="1" thickBot="1" x14ac:dyDescent="0.3">
      <c r="C68" s="24"/>
      <c r="D68" s="24"/>
    </row>
    <row r="69" spans="1:27" ht="19.5" thickTop="1" thickBot="1" x14ac:dyDescent="0.3">
      <c r="G69" s="59" t="s">
        <v>84</v>
      </c>
      <c r="H69" s="60"/>
      <c r="I69" s="61">
        <f>G65/G64</f>
        <v>2.5251371115173673</v>
      </c>
    </row>
    <row r="70" spans="1:27" ht="16.5" thickTop="1" thickBot="1" x14ac:dyDescent="0.3">
      <c r="B70" s="12" t="s">
        <v>85</v>
      </c>
      <c r="C70" s="62"/>
      <c r="D70" s="63">
        <v>5</v>
      </c>
      <c r="H70" s="55"/>
    </row>
    <row r="71" spans="1:27" ht="17.25" thickTop="1" thickBot="1" x14ac:dyDescent="0.3">
      <c r="A71" s="57" t="s">
        <v>75</v>
      </c>
      <c r="B71" s="12" t="s">
        <v>86</v>
      </c>
      <c r="C71" s="62"/>
      <c r="D71" s="63">
        <v>4</v>
      </c>
    </row>
    <row r="72" spans="1:27" ht="17.25" thickTop="1" thickBot="1" x14ac:dyDescent="0.3">
      <c r="A72" s="57"/>
      <c r="B72" s="12" t="s">
        <v>87</v>
      </c>
      <c r="C72" s="62"/>
      <c r="D72" s="63">
        <v>3</v>
      </c>
    </row>
    <row r="73" spans="1:27" ht="17.25" thickTop="1" thickBot="1" x14ac:dyDescent="0.3">
      <c r="A73" s="57"/>
      <c r="B73" s="12" t="s">
        <v>88</v>
      </c>
      <c r="C73" s="62"/>
      <c r="D73" s="63">
        <v>2</v>
      </c>
      <c r="S73" s="24"/>
    </row>
    <row r="74" spans="1:27" ht="17.25" thickTop="1" thickBot="1" x14ac:dyDescent="0.3">
      <c r="A74" s="57"/>
      <c r="B74" s="12" t="s">
        <v>89</v>
      </c>
      <c r="C74" s="62"/>
      <c r="D74" s="63">
        <v>1</v>
      </c>
      <c r="G74" s="39"/>
    </row>
    <row r="75" spans="1:27" ht="17.25" thickTop="1" thickBot="1" x14ac:dyDescent="0.3">
      <c r="A75" s="57"/>
      <c r="B75" s="12"/>
      <c r="C75" s="62"/>
      <c r="D75" s="63"/>
    </row>
    <row r="76" spans="1:27" ht="17.25" thickTop="1" thickBot="1" x14ac:dyDescent="0.3">
      <c r="A76" s="57"/>
      <c r="B76" s="12" t="s">
        <v>90</v>
      </c>
      <c r="C76" s="12"/>
      <c r="D76" s="63">
        <v>6</v>
      </c>
      <c r="H76" s="24"/>
    </row>
    <row r="77" spans="1:27" ht="17.25" thickTop="1" thickBot="1" x14ac:dyDescent="0.3">
      <c r="A77" s="57" t="s">
        <v>76</v>
      </c>
      <c r="B77" s="64" t="s">
        <v>91</v>
      </c>
      <c r="C77" s="12"/>
      <c r="D77" s="65"/>
      <c r="J77" s="39"/>
      <c r="K77" s="24"/>
      <c r="M77" s="24"/>
    </row>
    <row r="78" spans="1:27" ht="17.25" thickTop="1" thickBot="1" x14ac:dyDescent="0.3">
      <c r="A78" s="57"/>
      <c r="B78" s="64" t="s">
        <v>92</v>
      </c>
      <c r="C78" s="12"/>
      <c r="D78" s="65"/>
      <c r="L78" s="24"/>
      <c r="M78" s="24"/>
    </row>
    <row r="79" spans="1:27" ht="17.25" thickTop="1" thickBot="1" x14ac:dyDescent="0.3">
      <c r="A79" s="57"/>
      <c r="B79" s="64" t="s">
        <v>93</v>
      </c>
      <c r="C79" s="12"/>
      <c r="D79" s="65"/>
    </row>
    <row r="80" spans="1:27" ht="17.25" thickTop="1" thickBot="1" x14ac:dyDescent="0.3">
      <c r="A80" s="57"/>
      <c r="B80" s="64" t="s">
        <v>94</v>
      </c>
      <c r="C80" s="12"/>
      <c r="D80" s="66"/>
      <c r="K80" s="24"/>
      <c r="M80" s="24"/>
    </row>
    <row r="81" spans="1:24" ht="17.25" thickTop="1" thickBot="1" x14ac:dyDescent="0.3">
      <c r="A81" s="57"/>
      <c r="B81" s="64"/>
      <c r="C81" s="12"/>
      <c r="D81" s="67"/>
    </row>
    <row r="82" spans="1:24" ht="17.25" thickTop="1" thickBot="1" x14ac:dyDescent="0.3">
      <c r="A82" s="57"/>
      <c r="B82" s="64" t="s">
        <v>95</v>
      </c>
      <c r="C82" s="12"/>
      <c r="D82" s="67"/>
    </row>
    <row r="83" spans="1:24" ht="17.25" thickTop="1" thickBot="1" x14ac:dyDescent="0.3">
      <c r="A83" s="57" t="s">
        <v>77</v>
      </c>
      <c r="B83" s="64" t="s">
        <v>96</v>
      </c>
      <c r="C83" s="12"/>
      <c r="D83" s="67"/>
    </row>
    <row r="84" spans="1:24" ht="17.25" thickTop="1" thickBot="1" x14ac:dyDescent="0.3">
      <c r="A84" s="57"/>
      <c r="B84" s="64" t="s">
        <v>97</v>
      </c>
      <c r="C84" s="12"/>
      <c r="D84" s="6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6.5" thickTop="1" thickBot="1" x14ac:dyDescent="0.3">
      <c r="B85" s="64" t="s">
        <v>98</v>
      </c>
      <c r="C85" s="12"/>
      <c r="D85" s="6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6.5" thickTop="1" thickBot="1" x14ac:dyDescent="0.3">
      <c r="B86" s="64" t="s">
        <v>99</v>
      </c>
      <c r="C86" s="62"/>
      <c r="D86" s="6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thickTop="1" x14ac:dyDescent="0.25"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x14ac:dyDescent="0.25">
      <c r="B88" s="69"/>
      <c r="C88" s="70"/>
      <c r="D88" s="70"/>
      <c r="F88" s="107" t="s">
        <v>100</v>
      </c>
      <c r="G88" s="107"/>
      <c r="H88" s="107"/>
      <c r="I88" s="107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thickBot="1" x14ac:dyDescent="0.3">
      <c r="B89" s="37" t="s">
        <v>101</v>
      </c>
      <c r="C89" s="38" t="s">
        <v>49</v>
      </c>
      <c r="D89" s="70"/>
      <c r="F89" s="71"/>
      <c r="I89" s="72"/>
      <c r="J89" s="72"/>
      <c r="K89" s="72"/>
      <c r="L89" s="72"/>
      <c r="M89" s="72"/>
      <c r="N89" s="69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20.25" thickTop="1" thickBot="1" x14ac:dyDescent="0.4">
      <c r="A90" s="73" t="s">
        <v>28</v>
      </c>
      <c r="B90" s="73" t="s">
        <v>50</v>
      </c>
      <c r="C90" s="73" t="s">
        <v>51</v>
      </c>
      <c r="D90">
        <v>11</v>
      </c>
      <c r="E90" s="74" t="s">
        <v>85</v>
      </c>
      <c r="F90" s="75"/>
      <c r="H90" s="76" t="s">
        <v>102</v>
      </c>
      <c r="I90" s="76" t="s">
        <v>103</v>
      </c>
      <c r="J90" s="76" t="s">
        <v>104</v>
      </c>
      <c r="K90" s="76" t="s">
        <v>105</v>
      </c>
      <c r="L90" s="76" t="s">
        <v>106</v>
      </c>
      <c r="M90" s="76" t="s">
        <v>107</v>
      </c>
    </row>
    <row r="91" spans="1:24" ht="17.25" thickTop="1" thickBot="1" x14ac:dyDescent="0.3">
      <c r="A91" s="18" t="s">
        <v>8</v>
      </c>
      <c r="B91" s="23">
        <v>35.700000000000003</v>
      </c>
      <c r="C91" s="23">
        <v>-74.599999999999994</v>
      </c>
      <c r="D91">
        <v>12</v>
      </c>
      <c r="E91" s="77" t="s">
        <v>86</v>
      </c>
      <c r="F91" s="78"/>
      <c r="H91" s="20">
        <f>H36</f>
        <v>26677529.462890632</v>
      </c>
      <c r="I91" s="20">
        <f>E6*(1-I6)/D13*N50*20*1000/3600</f>
        <v>31697.153397817463</v>
      </c>
      <c r="J91" s="20">
        <f>(K60/D13*C108+K59/D13*C107+K58/D13*C106+K57/D13*C105+K56/D13*C104)*1000/3600*1000</f>
        <v>-9952230.9027777798</v>
      </c>
      <c r="K91" s="20">
        <f>L56/D13*C109*1000/3600*1000</f>
        <v>-939802.52511160937</v>
      </c>
      <c r="L91" s="20">
        <f>0</f>
        <v>0</v>
      </c>
      <c r="M91" s="20">
        <f>H91+I91+J91+K91+L91</f>
        <v>15817193.18839906</v>
      </c>
      <c r="N91" s="79"/>
    </row>
    <row r="92" spans="1:24" ht="17.25" thickTop="1" thickBot="1" x14ac:dyDescent="0.3">
      <c r="A92" s="18" t="s">
        <v>12</v>
      </c>
      <c r="B92" s="23">
        <v>52.49</v>
      </c>
      <c r="C92" s="23">
        <v>-84</v>
      </c>
      <c r="D92">
        <v>13</v>
      </c>
      <c r="E92" s="77" t="s">
        <v>87</v>
      </c>
      <c r="F92" s="78"/>
    </row>
    <row r="93" spans="1:24" ht="17.25" thickTop="1" thickBot="1" x14ac:dyDescent="0.3">
      <c r="A93" s="18" t="s">
        <v>14</v>
      </c>
      <c r="B93" s="23">
        <v>73.599999999999994</v>
      </c>
      <c r="C93" s="23">
        <v>-103.85</v>
      </c>
      <c r="D93">
        <v>14</v>
      </c>
      <c r="E93" s="77" t="s">
        <v>88</v>
      </c>
      <c r="F93" s="78"/>
    </row>
    <row r="94" spans="1:24" ht="19.5" thickTop="1" thickBot="1" x14ac:dyDescent="0.3">
      <c r="A94" s="18" t="s">
        <v>16</v>
      </c>
      <c r="B94" s="23">
        <v>98.49</v>
      </c>
      <c r="C94" s="23">
        <v>-125.77</v>
      </c>
      <c r="D94">
        <v>15</v>
      </c>
      <c r="E94" s="77" t="s">
        <v>89</v>
      </c>
      <c r="F94" s="78"/>
      <c r="H94" s="80" t="s">
        <v>108</v>
      </c>
      <c r="I94" s="81">
        <f>M91/(G67/D13*1000/3600*B103)</f>
        <v>1167.750348886781</v>
      </c>
      <c r="J94" s="82" t="s">
        <v>109</v>
      </c>
    </row>
    <row r="95" spans="1:24" ht="17.25" thickTop="1" thickBot="1" x14ac:dyDescent="0.3">
      <c r="A95" s="18" t="s">
        <v>18</v>
      </c>
      <c r="B95" s="23">
        <v>120.04</v>
      </c>
      <c r="C95" s="23">
        <v>-146.36000000000001</v>
      </c>
      <c r="E95" s="77"/>
      <c r="F95" s="78"/>
    </row>
    <row r="96" spans="1:24" ht="17.25" thickTop="1" thickBot="1" x14ac:dyDescent="0.35">
      <c r="A96" s="19" t="s">
        <v>81</v>
      </c>
      <c r="B96" s="23">
        <v>29.38</v>
      </c>
      <c r="C96" s="23">
        <v>0</v>
      </c>
      <c r="D96">
        <v>21</v>
      </c>
      <c r="E96" s="77" t="s">
        <v>90</v>
      </c>
      <c r="F96" s="78"/>
    </row>
    <row r="97" spans="1:8" ht="17.25" thickTop="1" thickBot="1" x14ac:dyDescent="0.35">
      <c r="A97" s="19" t="s">
        <v>41</v>
      </c>
      <c r="B97" s="23">
        <v>37.14</v>
      </c>
      <c r="C97" s="23">
        <v>-393.51</v>
      </c>
      <c r="D97">
        <v>22</v>
      </c>
      <c r="E97" s="83" t="s">
        <v>91</v>
      </c>
      <c r="F97" s="84"/>
    </row>
    <row r="98" spans="1:8" ht="17.25" thickTop="1" thickBot="1" x14ac:dyDescent="0.35">
      <c r="A98" s="19" t="s">
        <v>43</v>
      </c>
      <c r="B98" s="23">
        <v>33.6</v>
      </c>
      <c r="C98" s="23">
        <v>-241.83</v>
      </c>
      <c r="D98">
        <v>23</v>
      </c>
      <c r="E98" s="83" t="s">
        <v>92</v>
      </c>
      <c r="F98" s="84"/>
    </row>
    <row r="99" spans="1:8" ht="16.5" thickTop="1" thickBot="1" x14ac:dyDescent="0.3">
      <c r="A99" s="19" t="s">
        <v>82</v>
      </c>
      <c r="B99" s="23">
        <v>29.14</v>
      </c>
      <c r="C99" s="23">
        <v>-110.53</v>
      </c>
      <c r="D99">
        <v>24</v>
      </c>
      <c r="E99" s="83" t="s">
        <v>93</v>
      </c>
      <c r="F99" s="84"/>
      <c r="H99" s="85"/>
    </row>
    <row r="100" spans="1:8" ht="17.25" thickTop="1" thickBot="1" x14ac:dyDescent="0.35">
      <c r="A100" s="19" t="s">
        <v>83</v>
      </c>
      <c r="B100" s="23">
        <v>28.84</v>
      </c>
      <c r="C100" s="23">
        <v>0</v>
      </c>
      <c r="D100">
        <v>25</v>
      </c>
      <c r="E100" s="83" t="s">
        <v>94</v>
      </c>
      <c r="F100" s="84"/>
      <c r="H100" s="85"/>
    </row>
    <row r="101" spans="1:8" ht="17.25" thickTop="1" thickBot="1" x14ac:dyDescent="0.35">
      <c r="A101" s="86" t="s">
        <v>45</v>
      </c>
      <c r="B101" s="87">
        <v>29.12</v>
      </c>
      <c r="C101" s="23"/>
      <c r="E101" s="83"/>
      <c r="F101" s="84"/>
      <c r="H101" s="85"/>
    </row>
    <row r="102" spans="1:8" ht="20.25" thickTop="1" thickBot="1" x14ac:dyDescent="0.3">
      <c r="A102" s="88" t="s">
        <v>110</v>
      </c>
      <c r="B102" s="89">
        <f>B91*E56+B92*E57+B93*E58+B94*E59+B95*E60+B96*E61+B97*E62+B98*E63+B99*E64+B100*E65+B101*E66</f>
        <v>32.085584564111556</v>
      </c>
      <c r="C102" s="90"/>
      <c r="D102">
        <v>31</v>
      </c>
      <c r="E102" s="83" t="s">
        <v>95</v>
      </c>
      <c r="F102" s="84"/>
      <c r="H102" s="85"/>
    </row>
    <row r="103" spans="1:8" ht="20.25" thickTop="1" thickBot="1" x14ac:dyDescent="0.3">
      <c r="A103" s="88" t="s">
        <v>111</v>
      </c>
      <c r="B103" s="91">
        <f>B91*H56+B92*H57+B93*H58+B94*H59+B95*H60+B96*H61+B97*H62+B98*H63+B99*H64+B100*H65+B101*H66</f>
        <v>29.513102804055777</v>
      </c>
      <c r="C103" s="92"/>
      <c r="D103">
        <v>32</v>
      </c>
      <c r="E103" s="83" t="s">
        <v>96</v>
      </c>
      <c r="F103" s="84"/>
      <c r="H103" s="85"/>
    </row>
    <row r="104" spans="1:8" ht="17.25" thickTop="1" thickBot="1" x14ac:dyDescent="0.3">
      <c r="B104" s="93" t="s">
        <v>112</v>
      </c>
      <c r="C104" s="94">
        <f>C99-C91-C98</f>
        <v>205.9</v>
      </c>
      <c r="D104">
        <v>33</v>
      </c>
      <c r="E104" s="83" t="s">
        <v>97</v>
      </c>
      <c r="F104" s="84"/>
      <c r="H104" s="85"/>
    </row>
    <row r="105" spans="1:8" ht="17.25" thickTop="1" thickBot="1" x14ac:dyDescent="0.3">
      <c r="B105" s="95" t="s">
        <v>113</v>
      </c>
      <c r="C105" s="96">
        <f>2*C99-C92-2*C98</f>
        <v>346.6</v>
      </c>
      <c r="D105">
        <v>34</v>
      </c>
      <c r="E105" s="83" t="s">
        <v>98</v>
      </c>
      <c r="F105" s="84"/>
    </row>
    <row r="106" spans="1:8" ht="17.25" thickTop="1" thickBot="1" x14ac:dyDescent="0.3">
      <c r="B106" s="97" t="s">
        <v>114</v>
      </c>
      <c r="C106" s="47">
        <f>C99*3-C93-3*C98</f>
        <v>497.75</v>
      </c>
      <c r="D106">
        <v>35</v>
      </c>
      <c r="E106" s="98" t="s">
        <v>99</v>
      </c>
      <c r="F106" s="99"/>
    </row>
    <row r="107" spans="1:8" ht="17.25" thickTop="1" thickBot="1" x14ac:dyDescent="0.3">
      <c r="B107" s="97" t="s">
        <v>115</v>
      </c>
      <c r="C107" s="47">
        <f>C99*4-C94-C98*4</f>
        <v>650.97</v>
      </c>
    </row>
    <row r="108" spans="1:8" ht="17.25" thickTop="1" thickBot="1" x14ac:dyDescent="0.3">
      <c r="B108" s="97" t="s">
        <v>116</v>
      </c>
      <c r="C108" s="47">
        <f>C99*5-C95-C98*5</f>
        <v>802.86000000000013</v>
      </c>
    </row>
    <row r="109" spans="1:8" ht="17.25" thickTop="1" thickBot="1" x14ac:dyDescent="0.3">
      <c r="B109" s="97" t="s">
        <v>117</v>
      </c>
      <c r="C109" s="47">
        <f>2*C99-C91-C97</f>
        <v>247.04999999999998</v>
      </c>
      <c r="D109" t="s">
        <v>60</v>
      </c>
    </row>
    <row r="110" spans="1:8" ht="17.25" thickTop="1" thickBot="1" x14ac:dyDescent="0.3">
      <c r="B110" s="97" t="s">
        <v>118</v>
      </c>
      <c r="C110" s="47"/>
    </row>
    <row r="111" spans="1:8" ht="17.25" thickTop="1" thickBot="1" x14ac:dyDescent="0.3">
      <c r="B111" s="97" t="s">
        <v>119</v>
      </c>
      <c r="C111" s="47"/>
    </row>
    <row r="112" spans="1:8" ht="17.25" thickTop="1" thickBot="1" x14ac:dyDescent="0.3">
      <c r="B112" s="97" t="s">
        <v>120</v>
      </c>
      <c r="C112" s="47"/>
    </row>
    <row r="113" spans="2:3" ht="17.25" thickTop="1" thickBot="1" x14ac:dyDescent="0.3">
      <c r="B113" s="97" t="s">
        <v>121</v>
      </c>
      <c r="C113" s="47"/>
    </row>
    <row r="114" spans="2:3" ht="17.25" thickTop="1" thickBot="1" x14ac:dyDescent="0.3">
      <c r="B114" s="97" t="s">
        <v>122</v>
      </c>
      <c r="C114" s="47"/>
    </row>
    <row r="115" spans="2:3" ht="17.25" thickTop="1" thickBot="1" x14ac:dyDescent="0.3">
      <c r="B115" s="97" t="s">
        <v>123</v>
      </c>
      <c r="C115" s="47"/>
    </row>
    <row r="116" spans="2:3" ht="17.25" thickTop="1" thickBot="1" x14ac:dyDescent="0.3">
      <c r="B116" s="97" t="s">
        <v>124</v>
      </c>
      <c r="C116" s="47"/>
    </row>
    <row r="117" spans="2:3" ht="17.25" thickTop="1" thickBot="1" x14ac:dyDescent="0.3">
      <c r="B117" s="97" t="s">
        <v>125</v>
      </c>
      <c r="C117" s="47"/>
    </row>
    <row r="118" spans="2:3" ht="17.25" thickTop="1" thickBot="1" x14ac:dyDescent="0.3">
      <c r="B118" s="97" t="s">
        <v>126</v>
      </c>
      <c r="C118" s="47"/>
    </row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0,45+1,0</vt:lpstr>
      <vt:lpstr>0,45+1,05</vt:lpstr>
      <vt:lpstr>0,45+1,1</vt:lpstr>
      <vt:lpstr>0,45+1,15</vt:lpstr>
      <vt:lpstr>0,45+1,2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2024-05-15T18:23:25Z</dcterms:created>
  <dcterms:modified xsi:type="dcterms:W3CDTF">2024-05-16T16:44:40Z</dcterms:modified>
</cp:coreProperties>
</file>