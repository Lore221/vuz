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ОХТ\"/>
    </mc:Choice>
  </mc:AlternateContent>
  <xr:revisionPtr revIDLastSave="0" documentId="13_ncr:1_{45735167-1402-4502-9C67-DEBC7BD81282}" xr6:coauthVersionLast="47" xr6:coauthVersionMax="47" xr10:uidLastSave="{00000000-0000-0000-0000-000000000000}"/>
  <bookViews>
    <workbookView xWindow="-120" yWindow="480" windowWidth="29040" windowHeight="15840" activeTab="5" xr2:uid="{00000000-000D-0000-FFFF-FFFF00000000}"/>
  </bookViews>
  <sheets>
    <sheet name="0,15-1,1" sheetId="2" r:id="rId1"/>
    <sheet name="0,15-1,3" sheetId="3" r:id="rId2"/>
    <sheet name="0,15; 1,4" sheetId="1" r:id="rId3"/>
    <sheet name="0,2; 1,4" sheetId="4" r:id="rId4"/>
    <sheet name="0,3; 1,4" sheetId="5" r:id="rId5"/>
    <sheet name="0,35; 1,4" sheetId="7" r:id="rId6"/>
    <sheet name="0,4; 1,4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f0eyvcTsRiIHkhqdDsk2RwIp6X8fNXvsbd9WqOjGofU="/>
    </ext>
  </extLst>
</workbook>
</file>

<file path=xl/calcChain.xml><?xml version="1.0" encoding="utf-8"?>
<calcChain xmlns="http://schemas.openxmlformats.org/spreadsheetml/2006/main">
  <c r="D66" i="5" l="1"/>
  <c r="G66" i="5" s="1"/>
  <c r="D66" i="4"/>
  <c r="D66" i="1"/>
  <c r="D66" i="3"/>
  <c r="G66" i="3" s="1"/>
  <c r="D66" i="2"/>
  <c r="G66" i="2" s="1"/>
  <c r="G66" i="1"/>
  <c r="G66" i="4"/>
  <c r="G66" i="7"/>
  <c r="D66" i="7"/>
  <c r="H66" i="6"/>
  <c r="G66" i="6"/>
  <c r="D66" i="6"/>
  <c r="F36" i="7"/>
  <c r="H36" i="7" s="1"/>
  <c r="G36" i="7"/>
  <c r="K91" i="6"/>
  <c r="J91" i="6"/>
  <c r="I91" i="6"/>
  <c r="H91" i="6"/>
  <c r="M91" i="6" s="1"/>
  <c r="C108" i="6"/>
  <c r="C107" i="6"/>
  <c r="C106" i="6"/>
  <c r="C105" i="6"/>
  <c r="C104" i="6"/>
  <c r="K91" i="5"/>
  <c r="J91" i="5"/>
  <c r="M91" i="5" s="1"/>
  <c r="I91" i="5"/>
  <c r="H91" i="5"/>
  <c r="C109" i="5"/>
  <c r="C105" i="5"/>
  <c r="C104" i="5"/>
  <c r="C98" i="5"/>
  <c r="C97" i="5"/>
  <c r="C96" i="5"/>
  <c r="C95" i="5"/>
  <c r="C108" i="5" s="1"/>
  <c r="C94" i="5"/>
  <c r="C107" i="5" s="1"/>
  <c r="C93" i="5"/>
  <c r="C106" i="5" s="1"/>
  <c r="L65" i="5"/>
  <c r="L64" i="5"/>
  <c r="L62" i="5"/>
  <c r="L56" i="5"/>
  <c r="K65" i="5"/>
  <c r="K64" i="5"/>
  <c r="K63" i="5"/>
  <c r="K57" i="5"/>
  <c r="K58" i="5"/>
  <c r="K59" i="5"/>
  <c r="K60" i="5"/>
  <c r="K91" i="4"/>
  <c r="J91" i="4"/>
  <c r="I91" i="4"/>
  <c r="H91" i="4"/>
  <c r="C109" i="4"/>
  <c r="C108" i="4"/>
  <c r="C107" i="4"/>
  <c r="C106" i="4"/>
  <c r="C105" i="4"/>
  <c r="J91" i="1"/>
  <c r="C108" i="1"/>
  <c r="J91" i="3"/>
  <c r="J91" i="2"/>
  <c r="C110" i="3"/>
  <c r="K91" i="3" s="1"/>
  <c r="C109" i="3"/>
  <c r="C108" i="3"/>
  <c r="C107" i="3"/>
  <c r="C106" i="3"/>
  <c r="C105" i="3"/>
  <c r="C108" i="2"/>
  <c r="C98" i="4"/>
  <c r="C97" i="4"/>
  <c r="C96" i="4"/>
  <c r="C95" i="4"/>
  <c r="C94" i="4"/>
  <c r="C93" i="4"/>
  <c r="I67" i="4"/>
  <c r="J67" i="4"/>
  <c r="K67" i="4"/>
  <c r="L67" i="4"/>
  <c r="M67" i="4"/>
  <c r="L65" i="4"/>
  <c r="J65" i="4" s="1"/>
  <c r="G65" i="4" s="1"/>
  <c r="L64" i="4"/>
  <c r="J64" i="4" s="1"/>
  <c r="G64" i="4" s="1"/>
  <c r="G58" i="4"/>
  <c r="G62" i="4"/>
  <c r="J61" i="4"/>
  <c r="G61" i="4" s="1"/>
  <c r="J57" i="4"/>
  <c r="G57" i="4" s="1"/>
  <c r="J58" i="4"/>
  <c r="J59" i="4"/>
  <c r="G59" i="4" s="1"/>
  <c r="J60" i="4"/>
  <c r="G60" i="4" s="1"/>
  <c r="J62" i="4"/>
  <c r="J63" i="4"/>
  <c r="G63" i="4" s="1"/>
  <c r="J66" i="4"/>
  <c r="J56" i="4"/>
  <c r="L62" i="4"/>
  <c r="K65" i="4"/>
  <c r="K64" i="4"/>
  <c r="K63" i="4"/>
  <c r="K57" i="4"/>
  <c r="K58" i="4"/>
  <c r="K59" i="4"/>
  <c r="K60" i="4"/>
  <c r="I91" i="3"/>
  <c r="H91" i="3"/>
  <c r="C98" i="3"/>
  <c r="C97" i="3"/>
  <c r="C96" i="3"/>
  <c r="C95" i="3"/>
  <c r="C94" i="3"/>
  <c r="C93" i="3"/>
  <c r="K67" i="3"/>
  <c r="L67" i="3"/>
  <c r="M67" i="3"/>
  <c r="L65" i="3"/>
  <c r="L64" i="3"/>
  <c r="L65" i="1"/>
  <c r="L64" i="1"/>
  <c r="K64" i="1"/>
  <c r="J64" i="3"/>
  <c r="K65" i="3"/>
  <c r="K64" i="3"/>
  <c r="L62" i="3"/>
  <c r="J62" i="3" s="1"/>
  <c r="J57" i="3"/>
  <c r="J58" i="3"/>
  <c r="J59" i="3"/>
  <c r="J60" i="3"/>
  <c r="J61" i="3"/>
  <c r="J63" i="3"/>
  <c r="J66" i="3"/>
  <c r="L57" i="3"/>
  <c r="K63" i="3"/>
  <c r="K57" i="3"/>
  <c r="K58" i="3"/>
  <c r="K59" i="3"/>
  <c r="K60" i="3"/>
  <c r="K91" i="2"/>
  <c r="I91" i="2"/>
  <c r="H91" i="2"/>
  <c r="C111" i="2"/>
  <c r="C110" i="2"/>
  <c r="C109" i="2"/>
  <c r="C107" i="2"/>
  <c r="C106" i="2"/>
  <c r="C98" i="2"/>
  <c r="C97" i="2"/>
  <c r="C96" i="2"/>
  <c r="C95" i="2"/>
  <c r="C94" i="2"/>
  <c r="C93" i="2"/>
  <c r="L67" i="2"/>
  <c r="K67" i="2"/>
  <c r="M67" i="2"/>
  <c r="K58" i="2"/>
  <c r="L51" i="2"/>
  <c r="N50" i="2" s="1"/>
  <c r="G52" i="2"/>
  <c r="J66" i="2"/>
  <c r="E65" i="2"/>
  <c r="E64" i="2"/>
  <c r="J61" i="2"/>
  <c r="G61" i="2" s="1"/>
  <c r="I61" i="2"/>
  <c r="E61" i="2"/>
  <c r="C61" i="2"/>
  <c r="D59" i="2"/>
  <c r="K59" i="2" s="1"/>
  <c r="J59" i="2" s="1"/>
  <c r="I59" i="2" s="1"/>
  <c r="D58" i="2"/>
  <c r="L58" i="2" s="1"/>
  <c r="D57" i="2"/>
  <c r="L57" i="2" s="1"/>
  <c r="J57" i="2" s="1"/>
  <c r="I57" i="2" s="1"/>
  <c r="K91" i="1"/>
  <c r="M91" i="1"/>
  <c r="I91" i="1"/>
  <c r="J18" i="1"/>
  <c r="C110" i="1"/>
  <c r="C105" i="1"/>
  <c r="C109" i="1"/>
  <c r="K65" i="1"/>
  <c r="L62" i="1"/>
  <c r="L57" i="1"/>
  <c r="K57" i="1"/>
  <c r="M23" i="1"/>
  <c r="K58" i="1"/>
  <c r="K59" i="1"/>
  <c r="K60" i="1"/>
  <c r="J91" i="7"/>
  <c r="I91" i="7"/>
  <c r="C109" i="7"/>
  <c r="C108" i="7"/>
  <c r="C107" i="7"/>
  <c r="C106" i="7"/>
  <c r="C105" i="7"/>
  <c r="C104" i="7"/>
  <c r="K65" i="7"/>
  <c r="K64" i="7"/>
  <c r="K57" i="7"/>
  <c r="K58" i="7"/>
  <c r="K59" i="7"/>
  <c r="K60" i="7"/>
  <c r="L67" i="6"/>
  <c r="J66" i="7"/>
  <c r="E65" i="7"/>
  <c r="E64" i="7"/>
  <c r="J61" i="7"/>
  <c r="G61" i="7" s="1"/>
  <c r="I61" i="7"/>
  <c r="F61" i="7"/>
  <c r="E61" i="7"/>
  <c r="C61" i="7"/>
  <c r="L51" i="7"/>
  <c r="N50" i="7" s="1"/>
  <c r="C40" i="7"/>
  <c r="C39" i="7"/>
  <c r="C38" i="7"/>
  <c r="C49" i="7" s="1"/>
  <c r="C37" i="7"/>
  <c r="C36" i="7"/>
  <c r="C35" i="7"/>
  <c r="C34" i="7"/>
  <c r="F29" i="7"/>
  <c r="D21" i="7" s="1"/>
  <c r="N26" i="7"/>
  <c r="I26" i="7"/>
  <c r="C25" i="7"/>
  <c r="C24" i="7"/>
  <c r="D18" i="7"/>
  <c r="E12" i="7"/>
  <c r="M67" i="5"/>
  <c r="K67" i="6"/>
  <c r="K65" i="6"/>
  <c r="K64" i="6"/>
  <c r="K63" i="6"/>
  <c r="K56" i="6"/>
  <c r="K57" i="6"/>
  <c r="K58" i="6"/>
  <c r="K59" i="6"/>
  <c r="K60" i="6"/>
  <c r="J66" i="5"/>
  <c r="J57" i="5"/>
  <c r="J58" i="5"/>
  <c r="J59" i="5"/>
  <c r="J60" i="5"/>
  <c r="J61" i="5"/>
  <c r="G61" i="5" s="1"/>
  <c r="J62" i="5"/>
  <c r="G18" i="6"/>
  <c r="J66" i="6"/>
  <c r="E65" i="6"/>
  <c r="E64" i="6"/>
  <c r="J61" i="6"/>
  <c r="G61" i="6" s="1"/>
  <c r="I61" i="6"/>
  <c r="F61" i="6"/>
  <c r="E61" i="6"/>
  <c r="C61" i="6"/>
  <c r="L51" i="6"/>
  <c r="N50" i="6" s="1"/>
  <c r="C49" i="6"/>
  <c r="C48" i="6"/>
  <c r="C40" i="6"/>
  <c r="C39" i="6"/>
  <c r="C38" i="6"/>
  <c r="C37" i="6"/>
  <c r="C36" i="6"/>
  <c r="C35" i="6"/>
  <c r="C34" i="6"/>
  <c r="F29" i="6"/>
  <c r="N26" i="6"/>
  <c r="I26" i="6"/>
  <c r="C25" i="6"/>
  <c r="C24" i="6"/>
  <c r="D23" i="6"/>
  <c r="C23" i="6"/>
  <c r="D21" i="6"/>
  <c r="C21" i="6"/>
  <c r="D20" i="6"/>
  <c r="C20" i="6"/>
  <c r="D18" i="6"/>
  <c r="E12" i="6"/>
  <c r="E65" i="5"/>
  <c r="E64" i="5"/>
  <c r="I61" i="5"/>
  <c r="E61" i="5"/>
  <c r="C61" i="5"/>
  <c r="F61" i="5" s="1"/>
  <c r="G52" i="5"/>
  <c r="L51" i="5"/>
  <c r="N50" i="5"/>
  <c r="C46" i="5"/>
  <c r="C40" i="5"/>
  <c r="C39" i="5"/>
  <c r="C38" i="5"/>
  <c r="C37" i="5"/>
  <c r="C36" i="5"/>
  <c r="C35" i="5"/>
  <c r="C34" i="5"/>
  <c r="F29" i="5"/>
  <c r="N26" i="5"/>
  <c r="I26" i="5"/>
  <c r="C25" i="5"/>
  <c r="C24" i="5"/>
  <c r="D22" i="5"/>
  <c r="C22" i="5"/>
  <c r="D20" i="5"/>
  <c r="J20" i="5" s="1"/>
  <c r="I20" i="5" s="1"/>
  <c r="M19" i="5"/>
  <c r="N19" i="5" s="1"/>
  <c r="D19" i="5"/>
  <c r="C19" i="5"/>
  <c r="D18" i="5"/>
  <c r="E12" i="5"/>
  <c r="E65" i="4"/>
  <c r="E64" i="4"/>
  <c r="I61" i="4"/>
  <c r="F61" i="4"/>
  <c r="E61" i="4"/>
  <c r="C61" i="4"/>
  <c r="L51" i="4"/>
  <c r="N50" i="4"/>
  <c r="C40" i="4"/>
  <c r="C39" i="4"/>
  <c r="C38" i="4"/>
  <c r="C37" i="4"/>
  <c r="C36" i="4"/>
  <c r="C35" i="4"/>
  <c r="C34" i="4"/>
  <c r="F29" i="4"/>
  <c r="N26" i="4"/>
  <c r="I26" i="4"/>
  <c r="C25" i="4"/>
  <c r="C24" i="4"/>
  <c r="M21" i="4"/>
  <c r="O21" i="4" s="1"/>
  <c r="J21" i="4"/>
  <c r="I21" i="4" s="1"/>
  <c r="F21" i="4" s="1"/>
  <c r="D21" i="4"/>
  <c r="C21" i="4"/>
  <c r="M20" i="4"/>
  <c r="O20" i="4" s="1"/>
  <c r="G20" i="4"/>
  <c r="D20" i="4"/>
  <c r="J20" i="4" s="1"/>
  <c r="I20" i="4" s="1"/>
  <c r="C20" i="4"/>
  <c r="F20" i="4" s="1"/>
  <c r="J19" i="4"/>
  <c r="I19" i="4"/>
  <c r="D19" i="4"/>
  <c r="C19" i="4"/>
  <c r="E12" i="4"/>
  <c r="E65" i="3"/>
  <c r="E64" i="3"/>
  <c r="G61" i="3"/>
  <c r="I61" i="3"/>
  <c r="F61" i="3" s="1"/>
  <c r="E61" i="3"/>
  <c r="C61" i="3"/>
  <c r="L51" i="3"/>
  <c r="N50" i="3"/>
  <c r="C40" i="3"/>
  <c r="C39" i="3"/>
  <c r="C38" i="3"/>
  <c r="C45" i="3" s="1"/>
  <c r="C37" i="3"/>
  <c r="C36" i="3"/>
  <c r="C35" i="3"/>
  <c r="C34" i="3"/>
  <c r="F29" i="3"/>
  <c r="N26" i="3"/>
  <c r="I26" i="3"/>
  <c r="C25" i="3"/>
  <c r="C24" i="3"/>
  <c r="D18" i="3"/>
  <c r="E12" i="3"/>
  <c r="C40" i="2"/>
  <c r="C39" i="2"/>
  <c r="C47" i="2" s="1"/>
  <c r="C38" i="2"/>
  <c r="C37" i="2"/>
  <c r="C36" i="2"/>
  <c r="C35" i="2"/>
  <c r="C34" i="2"/>
  <c r="F29" i="2"/>
  <c r="D21" i="2" s="1"/>
  <c r="C21" i="2" s="1"/>
  <c r="N26" i="2"/>
  <c r="I26" i="2"/>
  <c r="C25" i="2"/>
  <c r="C24" i="2"/>
  <c r="E12" i="2"/>
  <c r="C107" i="1"/>
  <c r="C98" i="1"/>
  <c r="C97" i="1"/>
  <c r="C96" i="1"/>
  <c r="C95" i="1"/>
  <c r="C94" i="1"/>
  <c r="C93" i="1"/>
  <c r="C106" i="1" s="1"/>
  <c r="K77" i="1"/>
  <c r="N75" i="1"/>
  <c r="J66" i="1"/>
  <c r="E65" i="1"/>
  <c r="E64" i="1"/>
  <c r="J61" i="1"/>
  <c r="G61" i="1" s="1"/>
  <c r="I61" i="1"/>
  <c r="E61" i="1"/>
  <c r="C61" i="1"/>
  <c r="D59" i="1"/>
  <c r="G72" i="1" s="1"/>
  <c r="G52" i="1"/>
  <c r="L51" i="1"/>
  <c r="N50" i="1"/>
  <c r="C46" i="1"/>
  <c r="C40" i="1"/>
  <c r="C39" i="1"/>
  <c r="C49" i="1" s="1"/>
  <c r="C38" i="1"/>
  <c r="C48" i="1" s="1"/>
  <c r="C37" i="1"/>
  <c r="C36" i="1"/>
  <c r="C45" i="1" s="1"/>
  <c r="C35" i="1"/>
  <c r="C34" i="1"/>
  <c r="F29" i="1"/>
  <c r="N26" i="1"/>
  <c r="I26" i="1"/>
  <c r="D26" i="1"/>
  <c r="G26" i="1" s="1"/>
  <c r="C26" i="1"/>
  <c r="F26" i="1" s="1"/>
  <c r="C25" i="1"/>
  <c r="C24" i="1"/>
  <c r="D23" i="1"/>
  <c r="C23" i="1"/>
  <c r="M22" i="1"/>
  <c r="O22" i="1" s="1"/>
  <c r="G22" i="1"/>
  <c r="D22" i="1"/>
  <c r="J22" i="1" s="1"/>
  <c r="C22" i="1"/>
  <c r="O21" i="1"/>
  <c r="M21" i="1"/>
  <c r="N21" i="1" s="1"/>
  <c r="J21" i="1"/>
  <c r="G21" i="1" s="1"/>
  <c r="I21" i="1"/>
  <c r="F21" i="1" s="1"/>
  <c r="D21" i="1"/>
  <c r="C21" i="1"/>
  <c r="M20" i="1"/>
  <c r="O20" i="1" s="1"/>
  <c r="D20" i="1"/>
  <c r="C20" i="1"/>
  <c r="D19" i="1"/>
  <c r="M18" i="1"/>
  <c r="D18" i="1"/>
  <c r="C18" i="1"/>
  <c r="E12" i="1"/>
  <c r="L67" i="5" l="1"/>
  <c r="M91" i="4"/>
  <c r="M91" i="3"/>
  <c r="C104" i="4"/>
  <c r="J67" i="3"/>
  <c r="J65" i="3"/>
  <c r="M91" i="2"/>
  <c r="L65" i="2"/>
  <c r="L64" i="2"/>
  <c r="L62" i="2"/>
  <c r="J62" i="2" s="1"/>
  <c r="I62" i="2" s="1"/>
  <c r="D18" i="2"/>
  <c r="F61" i="2"/>
  <c r="C49" i="2"/>
  <c r="C58" i="2"/>
  <c r="C66" i="2"/>
  <c r="F66" i="2" s="1"/>
  <c r="D60" i="2"/>
  <c r="C57" i="2"/>
  <c r="F57" i="2" s="1"/>
  <c r="C59" i="2"/>
  <c r="F59" i="2" s="1"/>
  <c r="G57" i="2"/>
  <c r="G59" i="2"/>
  <c r="J21" i="7"/>
  <c r="I21" i="7" s="1"/>
  <c r="C21" i="7"/>
  <c r="F21" i="7" s="1"/>
  <c r="G21" i="7"/>
  <c r="M21" i="7"/>
  <c r="D19" i="7"/>
  <c r="D22" i="7"/>
  <c r="G52" i="7"/>
  <c r="C48" i="7"/>
  <c r="C45" i="7"/>
  <c r="D20" i="7"/>
  <c r="C46" i="7"/>
  <c r="C18" i="7"/>
  <c r="M18" i="7"/>
  <c r="D23" i="7"/>
  <c r="C47" i="7"/>
  <c r="C18" i="6"/>
  <c r="M18" i="6"/>
  <c r="M18" i="2"/>
  <c r="M18" i="3"/>
  <c r="C18" i="3"/>
  <c r="N21" i="4"/>
  <c r="N22" i="1"/>
  <c r="M21" i="2"/>
  <c r="I22" i="1"/>
  <c r="F22" i="1" s="1"/>
  <c r="E23" i="1"/>
  <c r="O26" i="1"/>
  <c r="F61" i="1"/>
  <c r="C45" i="2"/>
  <c r="O19" i="4"/>
  <c r="G19" i="4"/>
  <c r="M18" i="5"/>
  <c r="C18" i="5"/>
  <c r="J20" i="6"/>
  <c r="I20" i="6" s="1"/>
  <c r="M20" i="6"/>
  <c r="K74" i="1"/>
  <c r="M69" i="1"/>
  <c r="J59" i="1"/>
  <c r="I59" i="1" s="1"/>
  <c r="C59" i="1"/>
  <c r="J76" i="1"/>
  <c r="N20" i="1"/>
  <c r="M22" i="5"/>
  <c r="J22" i="5"/>
  <c r="E26" i="1"/>
  <c r="C46" i="4"/>
  <c r="C49" i="4"/>
  <c r="C48" i="4"/>
  <c r="G20" i="5"/>
  <c r="C20" i="5"/>
  <c r="F20" i="5" s="1"/>
  <c r="M20" i="5"/>
  <c r="D22" i="2"/>
  <c r="D19" i="2"/>
  <c r="D23" i="2"/>
  <c r="C66" i="5"/>
  <c r="F66" i="5" s="1"/>
  <c r="F20" i="6"/>
  <c r="D26" i="6"/>
  <c r="E18" i="1"/>
  <c r="D58" i="1"/>
  <c r="D57" i="1"/>
  <c r="C46" i="2"/>
  <c r="D23" i="3"/>
  <c r="D21" i="3"/>
  <c r="D22" i="3"/>
  <c r="G52" i="3"/>
  <c r="D19" i="3"/>
  <c r="D20" i="3"/>
  <c r="C45" i="4"/>
  <c r="G20" i="6"/>
  <c r="O18" i="1"/>
  <c r="N18" i="1"/>
  <c r="K75" i="1"/>
  <c r="C47" i="3"/>
  <c r="C49" i="3"/>
  <c r="C48" i="3"/>
  <c r="C46" i="3"/>
  <c r="N20" i="4"/>
  <c r="M19" i="1"/>
  <c r="N19" i="1" s="1"/>
  <c r="C19" i="1"/>
  <c r="J19" i="1"/>
  <c r="G19" i="1"/>
  <c r="J20" i="1"/>
  <c r="D27" i="1"/>
  <c r="E20" i="1" s="1"/>
  <c r="D60" i="1"/>
  <c r="C66" i="1"/>
  <c r="F66" i="1" s="1"/>
  <c r="C18" i="2"/>
  <c r="D20" i="2"/>
  <c r="J21" i="2"/>
  <c r="I21" i="2" s="1"/>
  <c r="F21" i="2" s="1"/>
  <c r="C47" i="4"/>
  <c r="C49" i="5"/>
  <c r="C48" i="5"/>
  <c r="C47" i="5"/>
  <c r="C45" i="5"/>
  <c r="C47" i="1"/>
  <c r="C48" i="2"/>
  <c r="F19" i="4"/>
  <c r="J19" i="5"/>
  <c r="G19" i="5"/>
  <c r="J21" i="6"/>
  <c r="I21" i="6" s="1"/>
  <c r="F21" i="6" s="1"/>
  <c r="D59" i="5"/>
  <c r="D58" i="5"/>
  <c r="D57" i="5"/>
  <c r="D60" i="5"/>
  <c r="M21" i="6"/>
  <c r="C46" i="6"/>
  <c r="C45" i="6"/>
  <c r="C47" i="6"/>
  <c r="G21" i="4"/>
  <c r="G52" i="4"/>
  <c r="D22" i="4"/>
  <c r="D23" i="4"/>
  <c r="D18" i="4"/>
  <c r="D21" i="5"/>
  <c r="D23" i="5"/>
  <c r="M19" i="4"/>
  <c r="N19" i="4" s="1"/>
  <c r="G52" i="6"/>
  <c r="D22" i="6"/>
  <c r="D19" i="6"/>
  <c r="C60" i="2" l="1"/>
  <c r="K60" i="2"/>
  <c r="G60" i="2"/>
  <c r="M20" i="7"/>
  <c r="C20" i="7"/>
  <c r="J20" i="7"/>
  <c r="I20" i="7" s="1"/>
  <c r="D60" i="7"/>
  <c r="D59" i="7"/>
  <c r="D57" i="7"/>
  <c r="D58" i="7"/>
  <c r="O18" i="7"/>
  <c r="N18" i="7"/>
  <c r="D26" i="7"/>
  <c r="D27" i="7" s="1"/>
  <c r="C23" i="7"/>
  <c r="J22" i="7"/>
  <c r="G22" i="7"/>
  <c r="M22" i="7"/>
  <c r="C22" i="7"/>
  <c r="M19" i="7"/>
  <c r="N19" i="7" s="1"/>
  <c r="C19" i="7"/>
  <c r="J19" i="7"/>
  <c r="G19" i="7" s="1"/>
  <c r="O21" i="7"/>
  <c r="N21" i="7"/>
  <c r="O20" i="5"/>
  <c r="N20" i="5"/>
  <c r="G59" i="1"/>
  <c r="O18" i="5"/>
  <c r="N18" i="5"/>
  <c r="D60" i="6"/>
  <c r="D59" i="6"/>
  <c r="D58" i="6"/>
  <c r="D57" i="6"/>
  <c r="J20" i="2"/>
  <c r="I20" i="2" s="1"/>
  <c r="M20" i="2"/>
  <c r="C20" i="2"/>
  <c r="G20" i="3"/>
  <c r="C20" i="3"/>
  <c r="F20" i="3" s="1"/>
  <c r="M20" i="3"/>
  <c r="J20" i="3"/>
  <c r="I20" i="3" s="1"/>
  <c r="J78" i="1"/>
  <c r="C57" i="1"/>
  <c r="C23" i="2"/>
  <c r="D26" i="2"/>
  <c r="M24" i="1"/>
  <c r="C22" i="4"/>
  <c r="M22" i="4"/>
  <c r="J22" i="4"/>
  <c r="I19" i="5"/>
  <c r="F19" i="5" s="1"/>
  <c r="O19" i="5"/>
  <c r="J19" i="3"/>
  <c r="G19" i="3" s="1"/>
  <c r="C19" i="3"/>
  <c r="M19" i="3"/>
  <c r="N19" i="3" s="1"/>
  <c r="J58" i="1"/>
  <c r="I58" i="1" s="1"/>
  <c r="C58" i="1"/>
  <c r="J77" i="1"/>
  <c r="M19" i="2"/>
  <c r="N19" i="2" s="1"/>
  <c r="C19" i="2"/>
  <c r="J19" i="2"/>
  <c r="G19" i="2"/>
  <c r="M25" i="1"/>
  <c r="E19" i="1"/>
  <c r="G60" i="5"/>
  <c r="C60" i="5"/>
  <c r="I22" i="5"/>
  <c r="F22" i="5" s="1"/>
  <c r="N18" i="3"/>
  <c r="O18" i="3"/>
  <c r="O18" i="6"/>
  <c r="N18" i="6"/>
  <c r="M19" i="6"/>
  <c r="N19" i="6" s="1"/>
  <c r="C19" i="6"/>
  <c r="J19" i="6"/>
  <c r="G19" i="6" s="1"/>
  <c r="I20" i="1"/>
  <c r="F20" i="1" s="1"/>
  <c r="M22" i="6"/>
  <c r="C22" i="6"/>
  <c r="J22" i="6"/>
  <c r="G22" i="6"/>
  <c r="D27" i="4"/>
  <c r="E22" i="4" s="1"/>
  <c r="C18" i="4"/>
  <c r="M18" i="4"/>
  <c r="D26" i="4"/>
  <c r="C23" i="4"/>
  <c r="D60" i="4"/>
  <c r="D58" i="4"/>
  <c r="D57" i="4"/>
  <c r="D59" i="4"/>
  <c r="I19" i="1"/>
  <c r="F19" i="1" s="1"/>
  <c r="O19" i="1"/>
  <c r="D57" i="3"/>
  <c r="D59" i="3"/>
  <c r="D58" i="3"/>
  <c r="D60" i="3"/>
  <c r="J22" i="2"/>
  <c r="M22" i="2"/>
  <c r="C22" i="2"/>
  <c r="O20" i="6"/>
  <c r="N20" i="6"/>
  <c r="I57" i="5"/>
  <c r="C57" i="5"/>
  <c r="C27" i="1"/>
  <c r="M22" i="3"/>
  <c r="C22" i="3"/>
  <c r="J22" i="3"/>
  <c r="G22" i="3" s="1"/>
  <c r="O26" i="6"/>
  <c r="C26" i="6"/>
  <c r="F26" i="6" s="1"/>
  <c r="G26" i="6"/>
  <c r="O22" i="5"/>
  <c r="N22" i="5"/>
  <c r="O21" i="2"/>
  <c r="N21" i="2"/>
  <c r="D27" i="6"/>
  <c r="G20" i="1"/>
  <c r="G21" i="2"/>
  <c r="D27" i="2"/>
  <c r="C27" i="6"/>
  <c r="O23" i="1"/>
  <c r="O16" i="1" s="1"/>
  <c r="G18" i="1" s="1"/>
  <c r="N23" i="1"/>
  <c r="O21" i="6"/>
  <c r="N21" i="6"/>
  <c r="D26" i="5"/>
  <c r="C23" i="5"/>
  <c r="I58" i="5"/>
  <c r="C58" i="5"/>
  <c r="G60" i="1"/>
  <c r="C60" i="1"/>
  <c r="K73" i="1"/>
  <c r="J21" i="3"/>
  <c r="I21" i="3" s="1"/>
  <c r="M21" i="3"/>
  <c r="C21" i="3"/>
  <c r="J21" i="5"/>
  <c r="I21" i="5" s="1"/>
  <c r="C21" i="5"/>
  <c r="F21" i="5" s="1"/>
  <c r="M21" i="5"/>
  <c r="M23" i="5" s="1"/>
  <c r="M69" i="5"/>
  <c r="C59" i="5"/>
  <c r="G21" i="6"/>
  <c r="E24" i="1"/>
  <c r="E21" i="1"/>
  <c r="E27" i="1" s="1"/>
  <c r="E22" i="1"/>
  <c r="E25" i="1"/>
  <c r="C23" i="3"/>
  <c r="D26" i="3"/>
  <c r="D27" i="3" s="1"/>
  <c r="G22" i="5"/>
  <c r="F59" i="1"/>
  <c r="O18" i="2"/>
  <c r="N18" i="2"/>
  <c r="E20" i="7" l="1"/>
  <c r="E19" i="7"/>
  <c r="J60" i="2"/>
  <c r="I60" i="2" s="1"/>
  <c r="K65" i="2"/>
  <c r="J65" i="2" s="1"/>
  <c r="K64" i="2"/>
  <c r="J64" i="2" s="1"/>
  <c r="F60" i="2"/>
  <c r="F58" i="1"/>
  <c r="G58" i="1"/>
  <c r="C66" i="7"/>
  <c r="F66" i="7" s="1"/>
  <c r="E22" i="7"/>
  <c r="O19" i="7"/>
  <c r="I19" i="7"/>
  <c r="F19" i="7"/>
  <c r="I22" i="7"/>
  <c r="F22" i="7" s="1"/>
  <c r="J58" i="7"/>
  <c r="I58" i="7" s="1"/>
  <c r="C58" i="7"/>
  <c r="O20" i="7"/>
  <c r="N20" i="7"/>
  <c r="M25" i="7"/>
  <c r="M24" i="7"/>
  <c r="M23" i="7"/>
  <c r="O22" i="7"/>
  <c r="N22" i="7"/>
  <c r="F20" i="7"/>
  <c r="G26" i="7"/>
  <c r="E26" i="7"/>
  <c r="O26" i="7"/>
  <c r="C26" i="7"/>
  <c r="F26" i="7" s="1"/>
  <c r="M69" i="7"/>
  <c r="J59" i="7"/>
  <c r="I59" i="7" s="1"/>
  <c r="C59" i="7"/>
  <c r="E24" i="7"/>
  <c r="E25" i="7"/>
  <c r="E18" i="7"/>
  <c r="E21" i="7"/>
  <c r="C60" i="7"/>
  <c r="G60" i="7"/>
  <c r="E23" i="7"/>
  <c r="J57" i="7"/>
  <c r="I57" i="7" s="1"/>
  <c r="C57" i="7"/>
  <c r="G20" i="7"/>
  <c r="G57" i="5"/>
  <c r="F57" i="5"/>
  <c r="F58" i="5"/>
  <c r="G58" i="5"/>
  <c r="N23" i="5"/>
  <c r="O23" i="5"/>
  <c r="O16" i="5" s="1"/>
  <c r="G18" i="5" s="1"/>
  <c r="E24" i="3"/>
  <c r="E25" i="3"/>
  <c r="E18" i="3"/>
  <c r="E19" i="3"/>
  <c r="E22" i="3"/>
  <c r="E23" i="3"/>
  <c r="E21" i="3"/>
  <c r="E20" i="3"/>
  <c r="C27" i="3"/>
  <c r="I22" i="2"/>
  <c r="F22" i="2" s="1"/>
  <c r="M77" i="1"/>
  <c r="K78" i="1"/>
  <c r="C57" i="6"/>
  <c r="I22" i="4"/>
  <c r="N21" i="5"/>
  <c r="O21" i="5"/>
  <c r="C60" i="4"/>
  <c r="N22" i="4"/>
  <c r="M25" i="4"/>
  <c r="O22" i="4"/>
  <c r="M24" i="4"/>
  <c r="M23" i="4"/>
  <c r="M25" i="2"/>
  <c r="N22" i="2"/>
  <c r="M23" i="2"/>
  <c r="M24" i="2"/>
  <c r="O22" i="2"/>
  <c r="O25" i="1"/>
  <c r="N25" i="1"/>
  <c r="E25" i="6"/>
  <c r="E24" i="6"/>
  <c r="E21" i="6"/>
  <c r="E20" i="6"/>
  <c r="E18" i="6"/>
  <c r="E23" i="6"/>
  <c r="M24" i="3"/>
  <c r="M23" i="3"/>
  <c r="O22" i="3"/>
  <c r="N22" i="3"/>
  <c r="M25" i="3"/>
  <c r="E22" i="6"/>
  <c r="G21" i="5"/>
  <c r="K76" i="1"/>
  <c r="J74" i="1"/>
  <c r="M74" i="1" s="1"/>
  <c r="C66" i="4"/>
  <c r="F66" i="4" s="1"/>
  <c r="O26" i="4"/>
  <c r="C26" i="4"/>
  <c r="F26" i="4" s="1"/>
  <c r="E26" i="4"/>
  <c r="G26" i="4"/>
  <c r="I22" i="6"/>
  <c r="F22" i="6" s="1"/>
  <c r="G20" i="2"/>
  <c r="J58" i="6"/>
  <c r="I58" i="6" s="1"/>
  <c r="C58" i="6"/>
  <c r="O21" i="3"/>
  <c r="N21" i="3"/>
  <c r="E24" i="2"/>
  <c r="E25" i="2"/>
  <c r="E21" i="2"/>
  <c r="E18" i="2"/>
  <c r="M69" i="3"/>
  <c r="C59" i="3"/>
  <c r="E25" i="4"/>
  <c r="E24" i="4"/>
  <c r="E21" i="4"/>
  <c r="E20" i="4"/>
  <c r="E19" i="4"/>
  <c r="B42" i="1"/>
  <c r="F36" i="1" s="1"/>
  <c r="C57" i="3"/>
  <c r="E18" i="4"/>
  <c r="I19" i="3"/>
  <c r="F19" i="3" s="1"/>
  <c r="O19" i="3"/>
  <c r="M24" i="5"/>
  <c r="O19" i="6"/>
  <c r="I19" i="6"/>
  <c r="F19" i="6" s="1"/>
  <c r="F22" i="4"/>
  <c r="D56" i="1"/>
  <c r="C66" i="3"/>
  <c r="F66" i="3" s="1"/>
  <c r="C59" i="4"/>
  <c r="M69" i="4"/>
  <c r="E23" i="4"/>
  <c r="I60" i="5"/>
  <c r="F60" i="5" s="1"/>
  <c r="O19" i="2"/>
  <c r="I19" i="2"/>
  <c r="O24" i="1"/>
  <c r="O27" i="1" s="1"/>
  <c r="N24" i="1"/>
  <c r="N27" i="1" s="1"/>
  <c r="E20" i="2"/>
  <c r="C66" i="6"/>
  <c r="F66" i="6" s="1"/>
  <c r="I22" i="3"/>
  <c r="G26" i="2"/>
  <c r="O26" i="2"/>
  <c r="E26" i="2"/>
  <c r="C26" i="2"/>
  <c r="F26" i="2" s="1"/>
  <c r="F20" i="2"/>
  <c r="M69" i="6"/>
  <c r="C59" i="6"/>
  <c r="J59" i="6"/>
  <c r="I59" i="6" s="1"/>
  <c r="E22" i="2"/>
  <c r="I58" i="4"/>
  <c r="C58" i="4"/>
  <c r="E23" i="2"/>
  <c r="O20" i="3"/>
  <c r="N20" i="3"/>
  <c r="E26" i="3"/>
  <c r="G26" i="3"/>
  <c r="C26" i="3"/>
  <c r="F26" i="3" s="1"/>
  <c r="O26" i="3"/>
  <c r="F22" i="3"/>
  <c r="F21" i="3"/>
  <c r="C60" i="3"/>
  <c r="G60" i="3"/>
  <c r="C57" i="4"/>
  <c r="I57" i="4"/>
  <c r="O18" i="4"/>
  <c r="N18" i="4"/>
  <c r="N22" i="6"/>
  <c r="M25" i="6"/>
  <c r="M23" i="6"/>
  <c r="O22" i="6"/>
  <c r="M24" i="6"/>
  <c r="E19" i="6"/>
  <c r="E19" i="2"/>
  <c r="G21" i="3"/>
  <c r="J60" i="1"/>
  <c r="I60" i="1" s="1"/>
  <c r="F60" i="1" s="1"/>
  <c r="G26" i="5"/>
  <c r="E26" i="5"/>
  <c r="O26" i="5"/>
  <c r="C26" i="5"/>
  <c r="F26" i="5" s="1"/>
  <c r="D27" i="5"/>
  <c r="M25" i="5"/>
  <c r="E26" i="6"/>
  <c r="G22" i="2"/>
  <c r="I58" i="3"/>
  <c r="C58" i="3"/>
  <c r="F19" i="2"/>
  <c r="G22" i="4"/>
  <c r="O20" i="2"/>
  <c r="N20" i="2"/>
  <c r="C60" i="6"/>
  <c r="G60" i="6"/>
  <c r="F58" i="4" l="1"/>
  <c r="F58" i="3"/>
  <c r="G64" i="2"/>
  <c r="I64" i="2"/>
  <c r="F64" i="2" s="1"/>
  <c r="G65" i="2"/>
  <c r="I65" i="2"/>
  <c r="F65" i="2" s="1"/>
  <c r="F58" i="7"/>
  <c r="F59" i="7"/>
  <c r="G59" i="7"/>
  <c r="F57" i="7"/>
  <c r="C27" i="7"/>
  <c r="J60" i="7"/>
  <c r="I60" i="7" s="1"/>
  <c r="F60" i="7" s="1"/>
  <c r="N23" i="7"/>
  <c r="O23" i="7"/>
  <c r="G57" i="7"/>
  <c r="O24" i="7"/>
  <c r="N24" i="7"/>
  <c r="O25" i="7"/>
  <c r="N25" i="7"/>
  <c r="E27" i="7"/>
  <c r="B42" i="7"/>
  <c r="G58" i="7"/>
  <c r="G59" i="6"/>
  <c r="F58" i="6"/>
  <c r="H36" i="1"/>
  <c r="H91" i="1" s="1"/>
  <c r="N24" i="4"/>
  <c r="N27" i="4" s="1"/>
  <c r="O24" i="4"/>
  <c r="C27" i="2"/>
  <c r="F59" i="6"/>
  <c r="N23" i="6"/>
  <c r="O23" i="6"/>
  <c r="N23" i="3"/>
  <c r="N27" i="3" s="1"/>
  <c r="O23" i="3"/>
  <c r="O16" i="3" s="1"/>
  <c r="G18" i="3" s="1"/>
  <c r="O23" i="2"/>
  <c r="O16" i="2" s="1"/>
  <c r="G18" i="2" s="1"/>
  <c r="D56" i="2" s="1"/>
  <c r="N23" i="2"/>
  <c r="O25" i="4"/>
  <c r="N25" i="4"/>
  <c r="B42" i="4"/>
  <c r="F36" i="4" s="1"/>
  <c r="E27" i="4"/>
  <c r="O25" i="3"/>
  <c r="N25" i="3"/>
  <c r="O23" i="4"/>
  <c r="O16" i="4" s="1"/>
  <c r="G18" i="4" s="1"/>
  <c r="N23" i="4"/>
  <c r="O24" i="6"/>
  <c r="N24" i="6"/>
  <c r="F57" i="4"/>
  <c r="O24" i="2"/>
  <c r="N24" i="2"/>
  <c r="C27" i="4"/>
  <c r="E25" i="5"/>
  <c r="E19" i="5"/>
  <c r="E24" i="5"/>
  <c r="E22" i="5"/>
  <c r="E18" i="5"/>
  <c r="E20" i="5"/>
  <c r="E23" i="5"/>
  <c r="E21" i="5"/>
  <c r="O25" i="6"/>
  <c r="N25" i="6"/>
  <c r="N24" i="5"/>
  <c r="O24" i="5"/>
  <c r="O27" i="5" s="1"/>
  <c r="O24" i="3"/>
  <c r="N24" i="3"/>
  <c r="O27" i="4"/>
  <c r="I60" i="4"/>
  <c r="F60" i="4" s="1"/>
  <c r="O25" i="5"/>
  <c r="N25" i="5"/>
  <c r="B42" i="2"/>
  <c r="F36" i="2" s="1"/>
  <c r="E27" i="2"/>
  <c r="O25" i="2"/>
  <c r="N25" i="2"/>
  <c r="J18" i="5"/>
  <c r="D56" i="5"/>
  <c r="C56" i="1"/>
  <c r="I18" i="1"/>
  <c r="J25" i="1"/>
  <c r="J23" i="1"/>
  <c r="J27" i="1" s="1"/>
  <c r="J24" i="1"/>
  <c r="G36" i="1"/>
  <c r="J60" i="6"/>
  <c r="I60" i="6" s="1"/>
  <c r="F60" i="6" s="1"/>
  <c r="G58" i="3"/>
  <c r="C27" i="5"/>
  <c r="G58" i="6"/>
  <c r="B42" i="6"/>
  <c r="F36" i="6" s="1"/>
  <c r="E27" i="6"/>
  <c r="B42" i="3"/>
  <c r="F36" i="3" s="1"/>
  <c r="E27" i="3"/>
  <c r="I60" i="3" l="1"/>
  <c r="N27" i="2"/>
  <c r="C56" i="2"/>
  <c r="I69" i="2"/>
  <c r="N27" i="7"/>
  <c r="O16" i="7"/>
  <c r="G18" i="7" s="1"/>
  <c r="O27" i="7"/>
  <c r="I24" i="1"/>
  <c r="F24" i="1" s="1"/>
  <c r="G24" i="1"/>
  <c r="B42" i="5"/>
  <c r="F36" i="5" s="1"/>
  <c r="H36" i="5" s="1"/>
  <c r="E27" i="5"/>
  <c r="I18" i="5"/>
  <c r="J23" i="5"/>
  <c r="J25" i="5"/>
  <c r="J24" i="5"/>
  <c r="G36" i="5"/>
  <c r="N27" i="6"/>
  <c r="O27" i="2"/>
  <c r="O27" i="3"/>
  <c r="J18" i="3"/>
  <c r="D56" i="3"/>
  <c r="O16" i="6"/>
  <c r="O27" i="6"/>
  <c r="J18" i="2"/>
  <c r="I23" i="1"/>
  <c r="F23" i="1" s="1"/>
  <c r="G23" i="1"/>
  <c r="N27" i="5"/>
  <c r="I25" i="1"/>
  <c r="F25" i="1" s="1"/>
  <c r="G25" i="1"/>
  <c r="F18" i="1"/>
  <c r="C56" i="5"/>
  <c r="J18" i="4"/>
  <c r="D56" i="4"/>
  <c r="F60" i="3" l="1"/>
  <c r="J18" i="7"/>
  <c r="D56" i="7"/>
  <c r="L56" i="7" s="1"/>
  <c r="G25" i="5"/>
  <c r="I25" i="5"/>
  <c r="F25" i="5" s="1"/>
  <c r="G27" i="1"/>
  <c r="I18" i="4"/>
  <c r="J23" i="4"/>
  <c r="G36" i="4"/>
  <c r="H36" i="4" s="1"/>
  <c r="J24" i="4"/>
  <c r="J25" i="4"/>
  <c r="I18" i="3"/>
  <c r="J25" i="3"/>
  <c r="J23" i="3"/>
  <c r="G36" i="3"/>
  <c r="H36" i="3" s="1"/>
  <c r="J24" i="3"/>
  <c r="F18" i="5"/>
  <c r="C56" i="3"/>
  <c r="I23" i="5"/>
  <c r="F23" i="5" s="1"/>
  <c r="G23" i="5"/>
  <c r="J27" i="5"/>
  <c r="I18" i="2"/>
  <c r="J25" i="2"/>
  <c r="G36" i="2"/>
  <c r="H36" i="2" s="1"/>
  <c r="J23" i="2"/>
  <c r="J24" i="2"/>
  <c r="F27" i="1"/>
  <c r="D62" i="1"/>
  <c r="C56" i="4"/>
  <c r="I27" i="1"/>
  <c r="D63" i="1"/>
  <c r="H25" i="1"/>
  <c r="G24" i="5"/>
  <c r="I24" i="5"/>
  <c r="F24" i="5" s="1"/>
  <c r="L64" i="7" l="1"/>
  <c r="L65" i="7"/>
  <c r="L62" i="7"/>
  <c r="J62" i="7" s="1"/>
  <c r="I62" i="7" s="1"/>
  <c r="K91" i="7"/>
  <c r="C56" i="7"/>
  <c r="I18" i="7"/>
  <c r="J24" i="7"/>
  <c r="J23" i="7"/>
  <c r="J25" i="7"/>
  <c r="H91" i="7"/>
  <c r="I24" i="3"/>
  <c r="F24" i="3" s="1"/>
  <c r="G24" i="3"/>
  <c r="I23" i="2"/>
  <c r="F23" i="2" s="1"/>
  <c r="G23" i="2"/>
  <c r="G25" i="3"/>
  <c r="I25" i="3"/>
  <c r="F25" i="3" s="1"/>
  <c r="I27" i="4"/>
  <c r="F18" i="4"/>
  <c r="F27" i="4" s="1"/>
  <c r="I23" i="3"/>
  <c r="F23" i="3" s="1"/>
  <c r="G23" i="3"/>
  <c r="I25" i="2"/>
  <c r="F25" i="2" s="1"/>
  <c r="G25" i="2"/>
  <c r="D63" i="2" s="1"/>
  <c r="J27" i="3"/>
  <c r="H21" i="1"/>
  <c r="H26" i="1"/>
  <c r="H22" i="1"/>
  <c r="H19" i="1"/>
  <c r="H20" i="1"/>
  <c r="H18" i="1"/>
  <c r="G27" i="5"/>
  <c r="I27" i="3"/>
  <c r="F18" i="3"/>
  <c r="F27" i="3" s="1"/>
  <c r="H23" i="1"/>
  <c r="I23" i="4"/>
  <c r="F23" i="4" s="1"/>
  <c r="G23" i="4"/>
  <c r="F18" i="2"/>
  <c r="F27" i="5"/>
  <c r="I25" i="4"/>
  <c r="F25" i="4" s="1"/>
  <c r="G25" i="4"/>
  <c r="D62" i="5"/>
  <c r="H24" i="5"/>
  <c r="G24" i="2"/>
  <c r="D62" i="2" s="1"/>
  <c r="I24" i="2"/>
  <c r="F24" i="2" s="1"/>
  <c r="C63" i="1"/>
  <c r="P63" i="1"/>
  <c r="P59" i="1"/>
  <c r="P60" i="1" s="1"/>
  <c r="P61" i="1" s="1"/>
  <c r="J27" i="4"/>
  <c r="J27" i="2"/>
  <c r="C62" i="1"/>
  <c r="K69" i="1"/>
  <c r="D67" i="1"/>
  <c r="E62" i="1" s="1"/>
  <c r="H24" i="1"/>
  <c r="I27" i="5"/>
  <c r="G24" i="4"/>
  <c r="I24" i="4"/>
  <c r="F24" i="4" s="1"/>
  <c r="H25" i="5"/>
  <c r="D63" i="5"/>
  <c r="M91" i="7" l="1"/>
  <c r="C62" i="2"/>
  <c r="G62" i="2"/>
  <c r="D67" i="2"/>
  <c r="E62" i="2" s="1"/>
  <c r="C63" i="2"/>
  <c r="I24" i="7"/>
  <c r="F24" i="7" s="1"/>
  <c r="G24" i="7"/>
  <c r="F18" i="7"/>
  <c r="G25" i="7"/>
  <c r="I25" i="7"/>
  <c r="F25" i="7" s="1"/>
  <c r="J27" i="7"/>
  <c r="I23" i="7"/>
  <c r="F23" i="7" s="1"/>
  <c r="G23" i="7"/>
  <c r="D63" i="3"/>
  <c r="C63" i="5"/>
  <c r="C62" i="5"/>
  <c r="K69" i="5"/>
  <c r="D67" i="5"/>
  <c r="H19" i="5"/>
  <c r="H20" i="5"/>
  <c r="H22" i="5"/>
  <c r="H18" i="5"/>
  <c r="H26" i="5"/>
  <c r="H21" i="5"/>
  <c r="H23" i="4"/>
  <c r="G27" i="4"/>
  <c r="H23" i="5"/>
  <c r="G27" i="2"/>
  <c r="H24" i="2" s="1"/>
  <c r="D63" i="4"/>
  <c r="H25" i="4"/>
  <c r="E66" i="1"/>
  <c r="E59" i="1"/>
  <c r="E57" i="1"/>
  <c r="E60" i="1"/>
  <c r="E58" i="1"/>
  <c r="E56" i="1"/>
  <c r="B102" i="1" s="1"/>
  <c r="C67" i="1"/>
  <c r="D62" i="4"/>
  <c r="H24" i="4"/>
  <c r="B43" i="1"/>
  <c r="H27" i="1"/>
  <c r="E63" i="1"/>
  <c r="F27" i="2"/>
  <c r="H23" i="3"/>
  <c r="G27" i="3"/>
  <c r="H24" i="3" s="1"/>
  <c r="D62" i="3"/>
  <c r="I27" i="2"/>
  <c r="E63" i="2" l="1"/>
  <c r="H25" i="2"/>
  <c r="H23" i="2"/>
  <c r="E60" i="2"/>
  <c r="E57" i="2"/>
  <c r="E66" i="2"/>
  <c r="E59" i="2"/>
  <c r="E58" i="2"/>
  <c r="E56" i="2"/>
  <c r="F62" i="2"/>
  <c r="C67" i="2"/>
  <c r="G27" i="7"/>
  <c r="H24" i="7" s="1"/>
  <c r="D63" i="7"/>
  <c r="H25" i="7"/>
  <c r="F27" i="7"/>
  <c r="I27" i="7"/>
  <c r="D62" i="7"/>
  <c r="E66" i="5"/>
  <c r="E58" i="5"/>
  <c r="E57" i="5"/>
  <c r="E59" i="5"/>
  <c r="E60" i="5"/>
  <c r="E56" i="5"/>
  <c r="I62" i="5"/>
  <c r="F62" i="5" s="1"/>
  <c r="G62" i="5"/>
  <c r="C62" i="3"/>
  <c r="E62" i="3"/>
  <c r="K69" i="3"/>
  <c r="D67" i="3"/>
  <c r="E63" i="3" s="1"/>
  <c r="H20" i="4"/>
  <c r="H19" i="4"/>
  <c r="H21" i="4"/>
  <c r="H22" i="4"/>
  <c r="H26" i="4"/>
  <c r="H18" i="4"/>
  <c r="E63" i="5"/>
  <c r="H19" i="3"/>
  <c r="H20" i="3"/>
  <c r="H22" i="3"/>
  <c r="H21" i="3"/>
  <c r="H26" i="3"/>
  <c r="H18" i="3"/>
  <c r="C62" i="4"/>
  <c r="K69" i="4"/>
  <c r="D67" i="4"/>
  <c r="E62" i="4" s="1"/>
  <c r="B43" i="5"/>
  <c r="H27" i="5"/>
  <c r="J64" i="1"/>
  <c r="E62" i="5"/>
  <c r="C63" i="3"/>
  <c r="E63" i="4"/>
  <c r="C63" i="4"/>
  <c r="E67" i="1"/>
  <c r="H21" i="2"/>
  <c r="H19" i="2"/>
  <c r="H22" i="2"/>
  <c r="H20" i="2"/>
  <c r="H26" i="2"/>
  <c r="H18" i="2"/>
  <c r="J65" i="1"/>
  <c r="C67" i="5"/>
  <c r="H25" i="3"/>
  <c r="E67" i="2" l="1"/>
  <c r="B102" i="2"/>
  <c r="C63" i="7"/>
  <c r="H21" i="7"/>
  <c r="H19" i="7"/>
  <c r="H22" i="7"/>
  <c r="H26" i="7"/>
  <c r="H20" i="7"/>
  <c r="H18" i="7"/>
  <c r="O69" i="7"/>
  <c r="C62" i="7"/>
  <c r="O66" i="7"/>
  <c r="G62" i="7"/>
  <c r="K69" i="7"/>
  <c r="D67" i="7"/>
  <c r="H23" i="7"/>
  <c r="G64" i="1"/>
  <c r="I64" i="1"/>
  <c r="C67" i="3"/>
  <c r="I62" i="3"/>
  <c r="F62" i="3" s="1"/>
  <c r="G62" i="3"/>
  <c r="J62" i="1"/>
  <c r="O66" i="1"/>
  <c r="I62" i="4"/>
  <c r="F62" i="4" s="1"/>
  <c r="B43" i="3"/>
  <c r="H27" i="3"/>
  <c r="B43" i="4"/>
  <c r="H27" i="4"/>
  <c r="G65" i="1"/>
  <c r="I65" i="1"/>
  <c r="F65" i="1" s="1"/>
  <c r="B43" i="2"/>
  <c r="H27" i="2"/>
  <c r="C67" i="4"/>
  <c r="E58" i="4"/>
  <c r="E66" i="4"/>
  <c r="E57" i="4"/>
  <c r="E60" i="4"/>
  <c r="E59" i="4"/>
  <c r="E56" i="4"/>
  <c r="B102" i="4" s="1"/>
  <c r="E60" i="3"/>
  <c r="E58" i="3"/>
  <c r="E66" i="3"/>
  <c r="E57" i="3"/>
  <c r="E59" i="3"/>
  <c r="E56" i="3"/>
  <c r="B102" i="3" s="1"/>
  <c r="E67" i="5"/>
  <c r="I59" i="5"/>
  <c r="G59" i="5"/>
  <c r="F64" i="1" l="1"/>
  <c r="B43" i="7"/>
  <c r="H27" i="7"/>
  <c r="E59" i="7"/>
  <c r="E60" i="7"/>
  <c r="E66" i="7"/>
  <c r="E57" i="7"/>
  <c r="E58" i="7"/>
  <c r="E56" i="7"/>
  <c r="E62" i="7"/>
  <c r="F62" i="7"/>
  <c r="C67" i="7"/>
  <c r="E63" i="7"/>
  <c r="F59" i="5"/>
  <c r="I65" i="3"/>
  <c r="F65" i="3" s="1"/>
  <c r="G65" i="3"/>
  <c r="I63" i="4"/>
  <c r="F63" i="4" s="1"/>
  <c r="I59" i="4"/>
  <c r="F59" i="4" s="1"/>
  <c r="G62" i="1"/>
  <c r="I62" i="1"/>
  <c r="F62" i="1" s="1"/>
  <c r="I59" i="3"/>
  <c r="G59" i="3"/>
  <c r="E67" i="4"/>
  <c r="I64" i="4"/>
  <c r="F64" i="4" s="1"/>
  <c r="I65" i="4"/>
  <c r="F65" i="4" s="1"/>
  <c r="E67" i="3"/>
  <c r="I69" i="1"/>
  <c r="B102" i="7" l="1"/>
  <c r="F59" i="3"/>
  <c r="E67" i="7"/>
  <c r="I69" i="4"/>
  <c r="G64" i="3"/>
  <c r="I69" i="3" s="1"/>
  <c r="I64" i="3"/>
  <c r="F64" i="3" s="1"/>
  <c r="I63" i="3"/>
  <c r="F63" i="3" s="1"/>
  <c r="G63" i="3"/>
  <c r="J62" i="6" l="1"/>
  <c r="I62" i="6" l="1"/>
  <c r="J64" i="6"/>
  <c r="G64" i="6" s="1"/>
  <c r="J65" i="6"/>
  <c r="J57" i="6"/>
  <c r="I57" i="6" s="1"/>
  <c r="F57" i="6" s="1"/>
  <c r="G65" i="6" l="1"/>
  <c r="I65" i="6"/>
  <c r="F65" i="6" s="1"/>
  <c r="I64" i="6"/>
  <c r="F64" i="6" s="1"/>
  <c r="G57" i="6"/>
  <c r="I69" i="6" l="1"/>
  <c r="J63" i="6"/>
  <c r="J56" i="6"/>
  <c r="D56" i="6"/>
  <c r="C56" i="6"/>
  <c r="J24" i="6"/>
  <c r="I24" i="6" s="1"/>
  <c r="F24" i="6" s="1"/>
  <c r="J23" i="6"/>
  <c r="G23" i="6" s="1"/>
  <c r="I23" i="6"/>
  <c r="F23" i="6" s="1"/>
  <c r="J25" i="6"/>
  <c r="G25" i="6" s="1"/>
  <c r="I18" i="6"/>
  <c r="F18" i="6"/>
  <c r="J18" i="6"/>
  <c r="J27" i="6" s="1"/>
  <c r="G36" i="6"/>
  <c r="H36" i="6" s="1"/>
  <c r="J67" i="6" l="1"/>
  <c r="F27" i="6"/>
  <c r="I63" i="6"/>
  <c r="D63" i="6"/>
  <c r="I25" i="6"/>
  <c r="F25" i="6" s="1"/>
  <c r="G24" i="6"/>
  <c r="I56" i="6"/>
  <c r="G56" i="6"/>
  <c r="F56" i="6" l="1"/>
  <c r="I67" i="6"/>
  <c r="C63" i="6"/>
  <c r="F63" i="6" s="1"/>
  <c r="D62" i="6"/>
  <c r="H24" i="6"/>
  <c r="G63" i="6"/>
  <c r="I27" i="6"/>
  <c r="G27" i="6"/>
  <c r="C62" i="6" l="1"/>
  <c r="K69" i="6"/>
  <c r="G62" i="6"/>
  <c r="D67" i="6"/>
  <c r="E62" i="6"/>
  <c r="O66" i="6"/>
  <c r="O69" i="6"/>
  <c r="H18" i="6"/>
  <c r="H26" i="6"/>
  <c r="H20" i="6"/>
  <c r="H21" i="6"/>
  <c r="H19" i="6"/>
  <c r="H22" i="6"/>
  <c r="H23" i="6"/>
  <c r="H25" i="6"/>
  <c r="E58" i="6" l="1"/>
  <c r="E60" i="6"/>
  <c r="E57" i="6"/>
  <c r="E66" i="6"/>
  <c r="E59" i="6"/>
  <c r="E56" i="6"/>
  <c r="B102" i="6" s="1"/>
  <c r="E63" i="6"/>
  <c r="G67" i="6"/>
  <c r="B43" i="6"/>
  <c r="H27" i="6"/>
  <c r="F62" i="6"/>
  <c r="F67" i="6" s="1"/>
  <c r="C67" i="6"/>
  <c r="H62" i="6" l="1"/>
  <c r="E67" i="6"/>
  <c r="H59" i="6"/>
  <c r="H60" i="6"/>
  <c r="H58" i="6"/>
  <c r="H61" i="6"/>
  <c r="H57" i="6"/>
  <c r="H65" i="6"/>
  <c r="H64" i="6"/>
  <c r="H56" i="6"/>
  <c r="H63" i="6"/>
  <c r="B103" i="6" l="1"/>
  <c r="I94" i="6" s="1"/>
  <c r="H67" i="6"/>
  <c r="J65" i="5"/>
  <c r="J64" i="5"/>
  <c r="G64" i="5" s="1"/>
  <c r="I64" i="5" l="1"/>
  <c r="F64" i="5" s="1"/>
  <c r="G65" i="5"/>
  <c r="I65" i="5"/>
  <c r="F65" i="5" s="1"/>
  <c r="I69" i="5" l="1"/>
  <c r="J63" i="5"/>
  <c r="I63" i="5" l="1"/>
  <c r="F63" i="5" s="1"/>
  <c r="G63" i="5"/>
  <c r="J65" i="7" l="1"/>
  <c r="I65" i="7" s="1"/>
  <c r="F65" i="7" s="1"/>
  <c r="J64" i="7"/>
  <c r="G64" i="7" l="1"/>
  <c r="I64" i="7"/>
  <c r="F64" i="7" s="1"/>
  <c r="G65" i="7"/>
  <c r="I69" i="7" l="1"/>
  <c r="K63" i="7"/>
  <c r="K67" i="7" s="1"/>
  <c r="J63" i="7"/>
  <c r="G63" i="7" s="1"/>
  <c r="J56" i="7"/>
  <c r="J67" i="7" l="1"/>
  <c r="G56" i="7"/>
  <c r="G67" i="7" s="1"/>
  <c r="H66" i="7" s="1"/>
  <c r="I56" i="7"/>
  <c r="I63" i="7"/>
  <c r="F63" i="7" s="1"/>
  <c r="H64" i="7" l="1"/>
  <c r="H62" i="7"/>
  <c r="H57" i="7"/>
  <c r="H61" i="7"/>
  <c r="H58" i="7"/>
  <c r="H60" i="7"/>
  <c r="H59" i="7"/>
  <c r="H56" i="7"/>
  <c r="H63" i="7"/>
  <c r="H65" i="7"/>
  <c r="I67" i="7"/>
  <c r="F56" i="7"/>
  <c r="F67" i="7" s="1"/>
  <c r="B103" i="7" l="1"/>
  <c r="I94" i="7" s="1"/>
  <c r="H67" i="7"/>
  <c r="K63" i="1"/>
  <c r="A29" i="1" s="1"/>
  <c r="J63" i="1" l="1"/>
  <c r="G63" i="1" l="1"/>
  <c r="I63" i="1"/>
  <c r="F63" i="1" s="1"/>
  <c r="O69" i="1"/>
  <c r="J57" i="1"/>
  <c r="G57" i="1" s="1"/>
  <c r="I57" i="1" l="1"/>
  <c r="F57" i="1" s="1"/>
  <c r="J56" i="1"/>
  <c r="I56" i="1" s="1"/>
  <c r="F56" i="1" l="1"/>
  <c r="F67" i="1" s="1"/>
  <c r="I67" i="1"/>
  <c r="J67" i="1"/>
  <c r="G56" i="1"/>
  <c r="G67" i="1" l="1"/>
  <c r="H66" i="1" s="1"/>
  <c r="H58" i="1" l="1"/>
  <c r="H57" i="1"/>
  <c r="H65" i="1"/>
  <c r="H63" i="1"/>
  <c r="H61" i="1"/>
  <c r="H62" i="1"/>
  <c r="H60" i="1"/>
  <c r="H64" i="1"/>
  <c r="H59" i="1"/>
  <c r="H56" i="1"/>
  <c r="B103" i="1" l="1"/>
  <c r="H67" i="1"/>
  <c r="I94" i="1"/>
  <c r="K63" i="2"/>
  <c r="J63" i="2" s="1"/>
  <c r="I63" i="2" l="1"/>
  <c r="F63" i="2" s="1"/>
  <c r="G63" i="2"/>
  <c r="A15" i="2"/>
  <c r="J58" i="2"/>
  <c r="I58" i="2" s="1"/>
  <c r="F58" i="2" l="1"/>
  <c r="G58" i="2"/>
  <c r="J56" i="2"/>
  <c r="G56" i="2" s="1"/>
  <c r="G67" i="2" l="1"/>
  <c r="I56" i="2"/>
  <c r="J67" i="2"/>
  <c r="H56" i="2" l="1"/>
  <c r="H66" i="2"/>
  <c r="F56" i="2"/>
  <c r="F67" i="2" s="1"/>
  <c r="I67" i="2"/>
  <c r="H57" i="2"/>
  <c r="H65" i="2"/>
  <c r="H59" i="2"/>
  <c r="H61" i="2"/>
  <c r="H60" i="2"/>
  <c r="H63" i="2"/>
  <c r="H62" i="2"/>
  <c r="H64" i="2"/>
  <c r="H58" i="2"/>
  <c r="B103" i="2" l="1"/>
  <c r="I94" i="2" s="1"/>
  <c r="H67" i="2"/>
  <c r="G57" i="3"/>
  <c r="I57" i="3" l="1"/>
  <c r="F57" i="3" l="1"/>
  <c r="J56" i="3"/>
  <c r="I56" i="3" s="1"/>
  <c r="I67" i="3" l="1"/>
  <c r="F56" i="3"/>
  <c r="F67" i="3" s="1"/>
  <c r="G56" i="3"/>
  <c r="G67" i="3" l="1"/>
  <c r="H66" i="3" l="1"/>
  <c r="H58" i="3"/>
  <c r="H63" i="3"/>
  <c r="H57" i="3"/>
  <c r="H60" i="3"/>
  <c r="H61" i="3"/>
  <c r="H62" i="3"/>
  <c r="H65" i="3"/>
  <c r="H59" i="3"/>
  <c r="H64" i="3"/>
  <c r="H56" i="3"/>
  <c r="B103" i="3" l="1"/>
  <c r="I94" i="3" s="1"/>
  <c r="H67" i="3"/>
  <c r="I56" i="4"/>
  <c r="F56" i="4" s="1"/>
  <c r="F67" i="4" s="1"/>
  <c r="G56" i="4" l="1"/>
  <c r="G67" i="4"/>
  <c r="H66" i="4" s="1"/>
  <c r="H63" i="4" l="1"/>
  <c r="H57" i="4"/>
  <c r="H62" i="4"/>
  <c r="H60" i="4"/>
  <c r="H58" i="4"/>
  <c r="H65" i="4"/>
  <c r="H61" i="4"/>
  <c r="H59" i="4"/>
  <c r="H64" i="4"/>
  <c r="H56" i="4"/>
  <c r="B103" i="4" l="1"/>
  <c r="I94" i="4" s="1"/>
  <c r="H67" i="4"/>
  <c r="K67" i="5"/>
  <c r="J56" i="5"/>
  <c r="G56" i="5" s="1"/>
  <c r="G67" i="5" l="1"/>
  <c r="J67" i="5"/>
  <c r="I56" i="5"/>
  <c r="H56" i="5" l="1"/>
  <c r="H66" i="5"/>
  <c r="F56" i="5"/>
  <c r="F67" i="5" s="1"/>
  <c r="I67" i="5"/>
  <c r="H57" i="5"/>
  <c r="H65" i="5"/>
  <c r="H60" i="5"/>
  <c r="H63" i="5"/>
  <c r="H59" i="5"/>
  <c r="H61" i="5"/>
  <c r="H64" i="5"/>
  <c r="H58" i="5"/>
  <c r="H62" i="5"/>
  <c r="B103" i="5" l="1"/>
  <c r="I94" i="5" s="1"/>
  <c r="H67" i="5"/>
</calcChain>
</file>

<file path=xl/sharedStrings.xml><?xml version="1.0" encoding="utf-8"?>
<sst xmlns="http://schemas.openxmlformats.org/spreadsheetml/2006/main" count="1597" uniqueCount="449">
  <si>
    <t xml:space="preserve">Зона горения </t>
  </si>
  <si>
    <t>Половникова К.В., Смирнова Е.Е. ВАРИАНТ 14</t>
  </si>
  <si>
    <t xml:space="preserve">При доли газа на горение равной 0,15 и коэффициенте избытка 1,4 недостаток кислорода минимальный. </t>
  </si>
  <si>
    <t>Расчет зоны горения</t>
  </si>
  <si>
    <t>Исходные данные</t>
  </si>
  <si>
    <t>Расход природного газа</t>
  </si>
  <si>
    <t>м3/ч</t>
  </si>
  <si>
    <t>Доля газа на горение</t>
  </si>
  <si>
    <t>состав</t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</si>
  <si>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</si>
  <si>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t>Коэффициент избытка</t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</si>
  <si>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</si>
  <si>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t>последовательность протекания реакций в зоне горения</t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</si>
  <si>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</si>
  <si>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t>СН4 + 2О2 = СО2 + 2Н2О</t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</si>
  <si>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</si>
  <si>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t>С2Н6 + 3,5О2 = 2СО2 + 3Н2О</t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</si>
  <si>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</si>
  <si>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t>С3Н8 + 5О2 = 3СО2 + 4Н2О</t>
  </si>
  <si>
    <t>азот</t>
  </si>
  <si>
    <t>С4Н10 + 6,5О2 = 4СО2 + 5Н2О</t>
  </si>
  <si>
    <t>С5Н12 + 8Н2О = 5СО2 + 6Н2О</t>
  </si>
  <si>
    <t>Материальный баланс зоны горения энерготехнологичного реактора</t>
  </si>
  <si>
    <t>Исходный поток</t>
  </si>
  <si>
    <t>Конечный поток</t>
  </si>
  <si>
    <t>Производительность</t>
  </si>
  <si>
    <t>Вещество</t>
  </si>
  <si>
    <t>ММ</t>
  </si>
  <si>
    <t>GN</t>
  </si>
  <si>
    <t>VN</t>
  </si>
  <si>
    <t>ZN</t>
  </si>
  <si>
    <t>GK</t>
  </si>
  <si>
    <t>VK</t>
  </si>
  <si>
    <t>ZK</t>
  </si>
  <si>
    <t>GR</t>
  </si>
  <si>
    <t>VR</t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</si>
  <si>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</si>
  <si>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t>Ch4</t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</si>
  <si>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</si>
  <si>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t>c2h6</t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</si>
  <si>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</si>
  <si>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t>c3h8</t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</si>
  <si>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</si>
  <si>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t>c4h10</t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</si>
  <si>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</si>
  <si>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t>c5h12</t>
  </si>
  <si>
    <r>
      <rPr>
        <sz val="10"/>
        <color rgb="FF333333"/>
        <rFont val="Arial"/>
      </rPr>
      <t>O</t>
    </r>
    <r>
      <rPr>
        <vertAlign val="subscript"/>
        <sz val="10"/>
        <color rgb="FF333333"/>
        <rFont val="Arial"/>
      </rPr>
      <t>2</t>
    </r>
  </si>
  <si>
    <r>
      <rPr>
        <sz val="10"/>
        <color theme="1"/>
        <rFont val="Arial"/>
      </rPr>
      <t>O</t>
    </r>
    <r>
      <rPr>
        <vertAlign val="subscript"/>
        <sz val="10"/>
        <color theme="1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</si>
  <si>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</si>
  <si>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theme="1"/>
        <rFont val="Arial"/>
      </rPr>
      <t>CO</t>
    </r>
    <r>
      <rPr>
        <vertAlign val="subscript"/>
        <sz val="10"/>
        <color theme="1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</si>
  <si>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</si>
  <si>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theme="1"/>
        <rFont val="Arial"/>
      </rPr>
      <t>H</t>
    </r>
    <r>
      <rPr>
        <vertAlign val="subscript"/>
        <sz val="10"/>
        <color theme="1"/>
        <rFont val="Arial"/>
      </rPr>
      <t>2</t>
    </r>
    <r>
      <rPr>
        <sz val="10"/>
        <color theme="1"/>
        <rFont val="Arial"/>
      </rPr>
      <t>O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</si>
  <si>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</si>
  <si>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sz val="10"/>
        <color theme="1"/>
        <rFont val="Arial"/>
      </rPr>
      <t>N</t>
    </r>
    <r>
      <rPr>
        <vertAlign val="subscript"/>
        <sz val="10"/>
        <color theme="1"/>
        <rFont val="Arial"/>
      </rPr>
      <t>2</t>
    </r>
  </si>
  <si>
    <t>Сумма</t>
  </si>
  <si>
    <t>Расход природного газа в зону горения</t>
  </si>
  <si>
    <t>Твх=</t>
  </si>
  <si>
    <t>С</t>
  </si>
  <si>
    <t>Дж/(моль/К)</t>
  </si>
  <si>
    <t>кДж/моль</t>
  </si>
  <si>
    <t>Ср</t>
  </si>
  <si>
    <r>
      <rPr>
        <b/>
        <sz val="12"/>
        <color theme="1"/>
        <rFont val="Arial"/>
      </rPr>
      <t>∆H</t>
    </r>
    <r>
      <rPr>
        <b/>
        <vertAlign val="subscript"/>
        <sz val="12"/>
        <color theme="1"/>
        <rFont val="Arial"/>
      </rPr>
      <t>обр</t>
    </r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</si>
  <si>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</si>
  <si>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</si>
  <si>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t>Тепловой баланс зоны горения</t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</si>
  <si>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</si>
  <si>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</si>
  <si>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t>Q вх</t>
  </si>
  <si>
    <t>Q хр</t>
  </si>
  <si>
    <t>Q вых</t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</si>
  <si>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</si>
  <si>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t>Дж/с</t>
  </si>
  <si>
    <r>
      <rPr>
        <sz val="10"/>
        <color rgb="FF333333"/>
        <rFont val="Arial"/>
      </rPr>
      <t>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</si>
  <si>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</si>
  <si>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</si>
  <si>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</si>
  <si>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sz val="12"/>
        <color rgb="FF333333"/>
        <rFont val="Arial"/>
      </rPr>
      <t>С</t>
    </r>
    <r>
      <rPr>
        <vertAlign val="subscript"/>
        <sz val="12"/>
        <color rgb="FF333333"/>
        <rFont val="Arial"/>
      </rPr>
      <t>p вх</t>
    </r>
  </si>
  <si>
    <r>
      <rPr>
        <sz val="12"/>
        <color rgb="FF333333"/>
        <rFont val="Arial"/>
      </rPr>
      <t>С</t>
    </r>
    <r>
      <rPr>
        <vertAlign val="subscript"/>
        <sz val="12"/>
        <color rgb="FF333333"/>
        <rFont val="Arial"/>
      </rPr>
      <t>p вых</t>
    </r>
  </si>
  <si>
    <t>∆H1</t>
  </si>
  <si>
    <t>кДж</t>
  </si>
  <si>
    <t>Ср, Дж/(моль/К)</t>
  </si>
  <si>
    <t>∆H2</t>
  </si>
  <si>
    <t>СН4</t>
  </si>
  <si>
    <t>∆H3</t>
  </si>
  <si>
    <t>С2Н6</t>
  </si>
  <si>
    <t>∆H4</t>
  </si>
  <si>
    <t>С3Н8</t>
  </si>
  <si>
    <t>∆H5</t>
  </si>
  <si>
    <t>С4Н10</t>
  </si>
  <si>
    <t>Ср ПГ</t>
  </si>
  <si>
    <t>С5Н12</t>
  </si>
  <si>
    <t>Расчёт зоны конверсии</t>
  </si>
  <si>
    <t>Расход ПГ в зону конверсии</t>
  </si>
  <si>
    <t>Материальный баланс зоны конверсии энерготехнологичного реактора</t>
  </si>
  <si>
    <t>ПК</t>
  </si>
  <si>
    <t>УК</t>
  </si>
  <si>
    <t>ПО</t>
  </si>
  <si>
    <t>VR1</t>
  </si>
  <si>
    <t>VR2</t>
  </si>
  <si>
    <t>VR3</t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</si>
  <si>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</si>
  <si>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</si>
  <si>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</si>
  <si>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</si>
  <si>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</si>
  <si>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О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</si>
  <si>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</si>
  <si>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</si>
  <si>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t>CO</t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</si>
  <si>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</si>
  <si>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</si>
  <si>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t>Соотношение Н2/СО</t>
  </si>
  <si>
    <t>со2</t>
  </si>
  <si>
    <t>CH4+H2O=CO+3H2</t>
  </si>
  <si>
    <t>нет</t>
  </si>
  <si>
    <t>C2H6+2H2O=2CO+5H2</t>
  </si>
  <si>
    <t>да</t>
  </si>
  <si>
    <t>C3H8+3H2O=3CO+7H2</t>
  </si>
  <si>
    <t>вода</t>
  </si>
  <si>
    <t>ПГ</t>
  </si>
  <si>
    <t>C4H10+4H2O=4CO+9H2</t>
  </si>
  <si>
    <t>ХВАТАЕТ</t>
  </si>
  <si>
    <t>C5H12+5H2O=5CO+11H2</t>
  </si>
  <si>
    <t>ост после пк с пент</t>
  </si>
  <si>
    <t>не хватает</t>
  </si>
  <si>
    <t>CH4+CO2=2CO+2H2</t>
  </si>
  <si>
    <t>пк бутана</t>
  </si>
  <si>
    <t>хватает</t>
  </si>
  <si>
    <t>C2H6+2CO2=4CO+3H2</t>
  </si>
  <si>
    <t>пк пропана</t>
  </si>
  <si>
    <t>C3H8+3CO2=6CO+4H2</t>
  </si>
  <si>
    <t>пк этана</t>
  </si>
  <si>
    <t>C4H10+4CO2=8CO+5H2</t>
  </si>
  <si>
    <t>C5H12+5CO2=10CO+6H2</t>
  </si>
  <si>
    <t>2CH4+O2=2CO+4H2</t>
  </si>
  <si>
    <t>C2H6+O2=2CO+3H2</t>
  </si>
  <si>
    <t>2C3H8+3O2=6CO+8H2</t>
  </si>
  <si>
    <t>C4H10+2O2=4CO+5H2</t>
  </si>
  <si>
    <t>2C5H12+5O2=10CO+12H2</t>
  </si>
  <si>
    <t>Совместный тепловой баланс зон горения и конверсии</t>
  </si>
  <si>
    <t>Дж/(моль*/К)</t>
  </si>
  <si>
    <r>
      <rPr>
        <b/>
        <sz val="12"/>
        <color theme="1"/>
        <rFont val="Arial"/>
      </rPr>
      <t>∆H</t>
    </r>
    <r>
      <rPr>
        <b/>
        <vertAlign val="subscript"/>
        <sz val="12"/>
        <color theme="1"/>
        <rFont val="Arial"/>
      </rPr>
      <t>обр</t>
    </r>
  </si>
  <si>
    <t>Q вых гор</t>
  </si>
  <si>
    <t>Q вх пг</t>
  </si>
  <si>
    <t>Q пк</t>
  </si>
  <si>
    <t>Q ук</t>
  </si>
  <si>
    <t>Q по</t>
  </si>
  <si>
    <t>Q вых кон</t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</si>
  <si>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</si>
  <si>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</si>
  <si>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</si>
  <si>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</si>
  <si>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t>Т вых</t>
  </si>
  <si>
    <t>°С</t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</si>
  <si>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</si>
  <si>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О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</si>
  <si>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</si>
  <si>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</si>
  <si>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</si>
  <si>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</si>
  <si>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b/>
        <sz val="12"/>
        <color rgb="FF333333"/>
        <rFont val="Arial"/>
      </rPr>
      <t>С</t>
    </r>
    <r>
      <rPr>
        <b/>
        <vertAlign val="subscript"/>
        <sz val="12"/>
        <color rgb="FF333333"/>
        <rFont val="Arial"/>
      </rPr>
      <t>p вх</t>
    </r>
  </si>
  <si>
    <r>
      <rPr>
        <b/>
        <sz val="12"/>
        <color rgb="FF333333"/>
        <rFont val="Arial"/>
      </rPr>
      <t>С</t>
    </r>
    <r>
      <rPr>
        <b/>
        <vertAlign val="subscript"/>
        <sz val="12"/>
        <color rgb="FF333333"/>
        <rFont val="Arial"/>
      </rPr>
      <t>p вых</t>
    </r>
  </si>
  <si>
    <t>∆H11</t>
  </si>
  <si>
    <t>∆H12</t>
  </si>
  <si>
    <t>∆H13</t>
  </si>
  <si>
    <t>∆H14</t>
  </si>
  <si>
    <t>∆H15</t>
  </si>
  <si>
    <t>∆H21</t>
  </si>
  <si>
    <t>∆H22</t>
  </si>
  <si>
    <t>∆H23</t>
  </si>
  <si>
    <t>∆H24</t>
  </si>
  <si>
    <t>∆H25</t>
  </si>
  <si>
    <t>∆H31</t>
  </si>
  <si>
    <t>∆H32</t>
  </si>
  <si>
    <t>∆H33</t>
  </si>
  <si>
    <t>∆H34</t>
  </si>
  <si>
    <t>∆H35</t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</si>
  <si>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</si>
  <si>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</si>
  <si>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</si>
  <si>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</si>
  <si>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</si>
  <si>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</si>
  <si>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</si>
  <si>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</si>
  <si>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</si>
  <si>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</si>
  <si>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O</t>
    </r>
    <r>
      <rPr>
        <vertAlign val="subscript"/>
        <sz val="10"/>
        <color rgb="FF333333"/>
        <rFont val="Arial"/>
      </rPr>
      <t>2</t>
    </r>
  </si>
  <si>
    <r>
      <rPr>
        <sz val="10"/>
        <color theme="1"/>
        <rFont val="Arial"/>
      </rPr>
      <t>O</t>
    </r>
    <r>
      <rPr>
        <vertAlign val="subscript"/>
        <sz val="10"/>
        <color theme="1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</si>
  <si>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</si>
  <si>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theme="1"/>
        <rFont val="Arial"/>
      </rPr>
      <t>CO</t>
    </r>
    <r>
      <rPr>
        <vertAlign val="subscript"/>
        <sz val="10"/>
        <color theme="1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</si>
  <si>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</si>
  <si>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theme="1"/>
        <rFont val="Arial"/>
      </rPr>
      <t>H</t>
    </r>
    <r>
      <rPr>
        <vertAlign val="subscript"/>
        <sz val="10"/>
        <color theme="1"/>
        <rFont val="Arial"/>
      </rPr>
      <t>2</t>
    </r>
    <r>
      <rPr>
        <sz val="10"/>
        <color theme="1"/>
        <rFont val="Arial"/>
      </rPr>
      <t>O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</si>
  <si>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</si>
  <si>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sz val="10"/>
        <color theme="1"/>
        <rFont val="Arial"/>
      </rPr>
      <t>N</t>
    </r>
    <r>
      <rPr>
        <vertAlign val="subscript"/>
        <sz val="10"/>
        <color theme="1"/>
        <rFont val="Arial"/>
      </rPr>
      <t>2</t>
    </r>
  </si>
  <si>
    <r>
      <rPr>
        <b/>
        <sz val="12"/>
        <color theme="1"/>
        <rFont val="Arial"/>
      </rPr>
      <t>∆H</t>
    </r>
    <r>
      <rPr>
        <b/>
        <vertAlign val="subscript"/>
        <sz val="12"/>
        <color theme="1"/>
        <rFont val="Arial"/>
      </rPr>
      <t>обр</t>
    </r>
  </si>
  <si>
    <t>В данных условиях наблюдается большой недостаток кислорода, поэтому рассмотрим другие условия.</t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</si>
  <si>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</si>
  <si>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</si>
  <si>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</si>
  <si>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</si>
  <si>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</si>
  <si>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</si>
  <si>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</si>
  <si>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</si>
  <si>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</si>
  <si>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sz val="12"/>
        <color rgb="FF333333"/>
        <rFont val="Arial"/>
      </rPr>
      <t>С</t>
    </r>
    <r>
      <rPr>
        <vertAlign val="subscript"/>
        <sz val="12"/>
        <color rgb="FF333333"/>
        <rFont val="Arial"/>
      </rPr>
      <t>p вх</t>
    </r>
  </si>
  <si>
    <r>
      <rPr>
        <sz val="12"/>
        <color rgb="FF333333"/>
        <rFont val="Arial"/>
      </rPr>
      <t>С</t>
    </r>
    <r>
      <rPr>
        <vertAlign val="subscript"/>
        <sz val="12"/>
        <color rgb="FF333333"/>
        <rFont val="Arial"/>
      </rPr>
      <t>p вых</t>
    </r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</si>
  <si>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</si>
  <si>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</si>
  <si>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</si>
  <si>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</si>
  <si>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</si>
  <si>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О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</si>
  <si>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</si>
  <si>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</si>
  <si>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</si>
  <si>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</si>
  <si>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b/>
        <sz val="12"/>
        <color theme="1"/>
        <rFont val="Arial"/>
      </rPr>
      <t>∆H</t>
    </r>
    <r>
      <rPr>
        <b/>
        <vertAlign val="subscript"/>
        <sz val="12"/>
        <color theme="1"/>
        <rFont val="Arial"/>
      </rPr>
      <t>обр</t>
    </r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</si>
  <si>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</si>
  <si>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</si>
  <si>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</si>
  <si>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</si>
  <si>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</si>
  <si>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О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</si>
  <si>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</si>
  <si>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</si>
  <si>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</si>
  <si>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</si>
  <si>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b/>
        <sz val="12"/>
        <color rgb="FF333333"/>
        <rFont val="Arial"/>
      </rPr>
      <t>С</t>
    </r>
    <r>
      <rPr>
        <b/>
        <vertAlign val="subscript"/>
        <sz val="12"/>
        <color rgb="FF333333"/>
        <rFont val="Arial"/>
      </rPr>
      <t>p вх</t>
    </r>
  </si>
  <si>
    <r>
      <rPr>
        <b/>
        <sz val="12"/>
        <color rgb="FF333333"/>
        <rFont val="Arial"/>
      </rPr>
      <t>С</t>
    </r>
    <r>
      <rPr>
        <b/>
        <vertAlign val="subscript"/>
        <sz val="12"/>
        <color rgb="FF333333"/>
        <rFont val="Arial"/>
      </rPr>
      <t>p вых</t>
    </r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</si>
  <si>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</si>
  <si>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</si>
  <si>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</si>
  <si>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</si>
  <si>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</si>
  <si>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</si>
  <si>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</si>
  <si>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</si>
  <si>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</si>
  <si>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</si>
  <si>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O</t>
    </r>
    <r>
      <rPr>
        <vertAlign val="subscript"/>
        <sz val="10"/>
        <color rgb="FF333333"/>
        <rFont val="Arial"/>
      </rPr>
      <t>2</t>
    </r>
  </si>
  <si>
    <r>
      <rPr>
        <sz val="10"/>
        <color theme="1"/>
        <rFont val="Arial"/>
      </rPr>
      <t>O</t>
    </r>
    <r>
      <rPr>
        <vertAlign val="subscript"/>
        <sz val="10"/>
        <color theme="1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</si>
  <si>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</si>
  <si>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theme="1"/>
        <rFont val="Arial"/>
      </rPr>
      <t>CO</t>
    </r>
    <r>
      <rPr>
        <vertAlign val="subscript"/>
        <sz val="10"/>
        <color theme="1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</si>
  <si>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</si>
  <si>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theme="1"/>
        <rFont val="Arial"/>
      </rPr>
      <t>H</t>
    </r>
    <r>
      <rPr>
        <vertAlign val="subscript"/>
        <sz val="10"/>
        <color theme="1"/>
        <rFont val="Arial"/>
      </rPr>
      <t>2</t>
    </r>
    <r>
      <rPr>
        <sz val="10"/>
        <color theme="1"/>
        <rFont val="Arial"/>
      </rPr>
      <t>O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</si>
  <si>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</si>
  <si>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sz val="10"/>
        <color theme="1"/>
        <rFont val="Arial"/>
      </rPr>
      <t>N</t>
    </r>
    <r>
      <rPr>
        <vertAlign val="subscript"/>
        <sz val="10"/>
        <color theme="1"/>
        <rFont val="Arial"/>
      </rPr>
      <t>2</t>
    </r>
  </si>
  <si>
    <r>
      <rPr>
        <b/>
        <sz val="12"/>
        <color theme="1"/>
        <rFont val="Arial"/>
      </rPr>
      <t>∆H</t>
    </r>
    <r>
      <rPr>
        <b/>
        <vertAlign val="subscript"/>
        <sz val="12"/>
        <color theme="1"/>
        <rFont val="Arial"/>
      </rPr>
      <t>обр</t>
    </r>
  </si>
  <si>
    <t>В данных условиях наблюдается недостаток кислорода. С увеличением коэффициента избытка, недостаток кислорода уменьшается.</t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</si>
  <si>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</si>
  <si>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</si>
  <si>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</si>
  <si>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</si>
  <si>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</si>
  <si>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</si>
  <si>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</si>
  <si>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</si>
  <si>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</si>
  <si>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sz val="12"/>
        <color rgb="FF333333"/>
        <rFont val="Arial"/>
      </rPr>
      <t>С</t>
    </r>
    <r>
      <rPr>
        <vertAlign val="subscript"/>
        <sz val="12"/>
        <color rgb="FF333333"/>
        <rFont val="Arial"/>
      </rPr>
      <t>p вх</t>
    </r>
  </si>
  <si>
    <r>
      <rPr>
        <sz val="12"/>
        <color rgb="FF333333"/>
        <rFont val="Arial"/>
      </rPr>
      <t>С</t>
    </r>
    <r>
      <rPr>
        <vertAlign val="subscript"/>
        <sz val="12"/>
        <color rgb="FF333333"/>
        <rFont val="Arial"/>
      </rPr>
      <t>p вых</t>
    </r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</si>
  <si>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</si>
  <si>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</si>
  <si>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</si>
  <si>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</si>
  <si>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</si>
  <si>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О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</si>
  <si>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</si>
  <si>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</si>
  <si>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</si>
  <si>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</si>
  <si>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b/>
        <sz val="12"/>
        <color theme="1"/>
        <rFont val="Arial"/>
      </rPr>
      <t>∆H</t>
    </r>
    <r>
      <rPr>
        <b/>
        <vertAlign val="subscript"/>
        <sz val="12"/>
        <color theme="1"/>
        <rFont val="Arial"/>
      </rPr>
      <t>обр</t>
    </r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</si>
  <si>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</si>
  <si>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</si>
  <si>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</si>
  <si>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</si>
  <si>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</si>
  <si>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О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</si>
  <si>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</si>
  <si>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</si>
  <si>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</si>
  <si>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</si>
  <si>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b/>
        <sz val="12"/>
        <color rgb="FF333333"/>
        <rFont val="Arial"/>
      </rPr>
      <t>С</t>
    </r>
    <r>
      <rPr>
        <b/>
        <vertAlign val="subscript"/>
        <sz val="12"/>
        <color rgb="FF333333"/>
        <rFont val="Arial"/>
      </rPr>
      <t>p вх</t>
    </r>
  </si>
  <si>
    <r>
      <rPr>
        <b/>
        <sz val="12"/>
        <color rgb="FF333333"/>
        <rFont val="Arial"/>
      </rPr>
      <t>С</t>
    </r>
    <r>
      <rPr>
        <b/>
        <vertAlign val="subscript"/>
        <sz val="12"/>
        <color rgb="FF333333"/>
        <rFont val="Arial"/>
      </rPr>
      <t>p вых</t>
    </r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</si>
  <si>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</si>
  <si>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</si>
  <si>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</si>
  <si>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</si>
  <si>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</si>
  <si>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</si>
  <si>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</si>
  <si>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</si>
  <si>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</si>
  <si>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</si>
  <si>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O</t>
    </r>
    <r>
      <rPr>
        <vertAlign val="subscript"/>
        <sz val="10"/>
        <color rgb="FF333333"/>
        <rFont val="Arial"/>
      </rPr>
      <t>2</t>
    </r>
  </si>
  <si>
    <r>
      <rPr>
        <sz val="10"/>
        <color theme="1"/>
        <rFont val="Arial"/>
      </rPr>
      <t>O</t>
    </r>
    <r>
      <rPr>
        <vertAlign val="subscript"/>
        <sz val="10"/>
        <color theme="1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</si>
  <si>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</si>
  <si>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theme="1"/>
        <rFont val="Arial"/>
      </rPr>
      <t>CO</t>
    </r>
    <r>
      <rPr>
        <vertAlign val="subscript"/>
        <sz val="10"/>
        <color theme="1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</si>
  <si>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</si>
  <si>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theme="1"/>
        <rFont val="Arial"/>
      </rPr>
      <t>H</t>
    </r>
    <r>
      <rPr>
        <vertAlign val="subscript"/>
        <sz val="10"/>
        <color theme="1"/>
        <rFont val="Arial"/>
      </rPr>
      <t>2</t>
    </r>
    <r>
      <rPr>
        <sz val="10"/>
        <color theme="1"/>
        <rFont val="Arial"/>
      </rPr>
      <t>O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</si>
  <si>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</si>
  <si>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sz val="10"/>
        <color theme="1"/>
        <rFont val="Arial"/>
      </rPr>
      <t>N</t>
    </r>
    <r>
      <rPr>
        <vertAlign val="subscript"/>
        <sz val="10"/>
        <color theme="1"/>
        <rFont val="Arial"/>
      </rPr>
      <t>2</t>
    </r>
  </si>
  <si>
    <r>
      <rPr>
        <b/>
        <sz val="12"/>
        <color theme="1"/>
        <rFont val="Arial"/>
      </rPr>
      <t>∆H</t>
    </r>
    <r>
      <rPr>
        <b/>
        <vertAlign val="subscript"/>
        <sz val="12"/>
        <color theme="1"/>
        <rFont val="Arial"/>
      </rPr>
      <t>обр</t>
    </r>
  </si>
  <si>
    <t>В данных условиях наблюдается недостаток кислорода, поэтому рассмотрим другие условия.</t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</si>
  <si>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</si>
  <si>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</si>
  <si>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</si>
  <si>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</si>
  <si>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</si>
  <si>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</si>
  <si>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</si>
  <si>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</si>
  <si>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</si>
  <si>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sz val="12"/>
        <color rgb="FF333333"/>
        <rFont val="Arial"/>
      </rPr>
      <t>С</t>
    </r>
    <r>
      <rPr>
        <vertAlign val="subscript"/>
        <sz val="12"/>
        <color rgb="FF333333"/>
        <rFont val="Arial"/>
      </rPr>
      <t>p вх</t>
    </r>
  </si>
  <si>
    <r>
      <rPr>
        <sz val="12"/>
        <color rgb="FF333333"/>
        <rFont val="Arial"/>
      </rPr>
      <t>С</t>
    </r>
    <r>
      <rPr>
        <vertAlign val="subscript"/>
        <sz val="12"/>
        <color rgb="FF333333"/>
        <rFont val="Arial"/>
      </rPr>
      <t>p вых</t>
    </r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</si>
  <si>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</si>
  <si>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</si>
  <si>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</si>
  <si>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</si>
  <si>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</si>
  <si>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О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</si>
  <si>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</si>
  <si>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</si>
  <si>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</si>
  <si>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</si>
  <si>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b/>
        <sz val="12"/>
        <color theme="1"/>
        <rFont val="Arial"/>
      </rPr>
      <t>∆H</t>
    </r>
    <r>
      <rPr>
        <b/>
        <vertAlign val="subscript"/>
        <sz val="12"/>
        <color theme="1"/>
        <rFont val="Arial"/>
      </rPr>
      <t>обр</t>
    </r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</si>
  <si>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</si>
  <si>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</si>
  <si>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</si>
  <si>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</si>
  <si>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</si>
  <si>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О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</si>
  <si>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</si>
  <si>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</si>
  <si>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</si>
  <si>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</si>
  <si>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b/>
        <sz val="12"/>
        <color rgb="FF333333"/>
        <rFont val="Arial"/>
      </rPr>
      <t>С</t>
    </r>
    <r>
      <rPr>
        <b/>
        <vertAlign val="subscript"/>
        <sz val="12"/>
        <color rgb="FF333333"/>
        <rFont val="Arial"/>
      </rPr>
      <t>p вх</t>
    </r>
  </si>
  <si>
    <r>
      <rPr>
        <b/>
        <sz val="12"/>
        <color rgb="FF333333"/>
        <rFont val="Arial"/>
      </rPr>
      <t>С</t>
    </r>
    <r>
      <rPr>
        <b/>
        <vertAlign val="subscript"/>
        <sz val="12"/>
        <color rgb="FF333333"/>
        <rFont val="Arial"/>
      </rPr>
      <t>p вых</t>
    </r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</si>
  <si>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</si>
  <si>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</si>
  <si>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</si>
  <si>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</si>
  <si>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</si>
  <si>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</si>
  <si>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</si>
  <si>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</si>
  <si>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</si>
  <si>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</si>
  <si>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O</t>
    </r>
    <r>
      <rPr>
        <vertAlign val="subscript"/>
        <sz val="10"/>
        <color rgb="FF333333"/>
        <rFont val="Arial"/>
      </rPr>
      <t>2</t>
    </r>
  </si>
  <si>
    <r>
      <rPr>
        <sz val="10"/>
        <color theme="1"/>
        <rFont val="Arial"/>
      </rPr>
      <t>O</t>
    </r>
    <r>
      <rPr>
        <vertAlign val="subscript"/>
        <sz val="10"/>
        <color theme="1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</si>
  <si>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</si>
  <si>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theme="1"/>
        <rFont val="Arial"/>
      </rPr>
      <t>CO</t>
    </r>
    <r>
      <rPr>
        <vertAlign val="subscript"/>
        <sz val="10"/>
        <color theme="1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</si>
  <si>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</si>
  <si>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theme="1"/>
        <rFont val="Arial"/>
      </rPr>
      <t>H</t>
    </r>
    <r>
      <rPr>
        <vertAlign val="subscript"/>
        <sz val="10"/>
        <color theme="1"/>
        <rFont val="Arial"/>
      </rPr>
      <t>2</t>
    </r>
    <r>
      <rPr>
        <sz val="10"/>
        <color theme="1"/>
        <rFont val="Arial"/>
      </rPr>
      <t>O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</si>
  <si>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</si>
  <si>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sz val="10"/>
        <color theme="1"/>
        <rFont val="Arial"/>
      </rPr>
      <t>N</t>
    </r>
    <r>
      <rPr>
        <vertAlign val="subscript"/>
        <sz val="10"/>
        <color theme="1"/>
        <rFont val="Arial"/>
      </rPr>
      <t>2</t>
    </r>
  </si>
  <si>
    <r>
      <rPr>
        <b/>
        <sz val="12"/>
        <color theme="1"/>
        <rFont val="Arial"/>
      </rPr>
      <t>∆H</t>
    </r>
    <r>
      <rPr>
        <b/>
        <vertAlign val="subscript"/>
        <sz val="12"/>
        <color theme="1"/>
        <rFont val="Arial"/>
      </rPr>
      <t>обр</t>
    </r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</si>
  <si>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</si>
  <si>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</si>
  <si>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</si>
  <si>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</si>
  <si>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</si>
  <si>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</si>
  <si>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</si>
  <si>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</si>
  <si>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</si>
  <si>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sz val="12"/>
        <color rgb="FF333333"/>
        <rFont val="Arial"/>
      </rPr>
      <t>С</t>
    </r>
    <r>
      <rPr>
        <vertAlign val="subscript"/>
        <sz val="12"/>
        <color rgb="FF333333"/>
        <rFont val="Arial"/>
      </rPr>
      <t>p вх</t>
    </r>
  </si>
  <si>
    <r>
      <rPr>
        <sz val="12"/>
        <color rgb="FF333333"/>
        <rFont val="Arial"/>
      </rPr>
      <t>С</t>
    </r>
    <r>
      <rPr>
        <vertAlign val="subscript"/>
        <sz val="12"/>
        <color rgb="FF333333"/>
        <rFont val="Arial"/>
      </rPr>
      <t>p вых</t>
    </r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</si>
  <si>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</si>
  <si>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</si>
  <si>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</si>
  <si>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</si>
  <si>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</si>
  <si>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О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</si>
  <si>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</si>
  <si>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</si>
  <si>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</si>
  <si>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</si>
  <si>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b/>
        <sz val="12"/>
        <color theme="1"/>
        <rFont val="Arial"/>
      </rPr>
      <t>∆H</t>
    </r>
    <r>
      <rPr>
        <b/>
        <vertAlign val="subscript"/>
        <sz val="12"/>
        <color theme="1"/>
        <rFont val="Arial"/>
      </rPr>
      <t>обр</t>
    </r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</si>
  <si>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</si>
  <si>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</si>
  <si>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</si>
  <si>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</si>
  <si>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</si>
  <si>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О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</si>
  <si>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</si>
  <si>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</si>
  <si>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</si>
  <si>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</si>
  <si>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b/>
        <sz val="12"/>
        <color rgb="FF333333"/>
        <rFont val="Arial"/>
      </rPr>
      <t>С</t>
    </r>
    <r>
      <rPr>
        <b/>
        <vertAlign val="subscript"/>
        <sz val="12"/>
        <color rgb="FF333333"/>
        <rFont val="Arial"/>
      </rPr>
      <t>p вх</t>
    </r>
  </si>
  <si>
    <r>
      <rPr>
        <b/>
        <sz val="12"/>
        <color rgb="FF333333"/>
        <rFont val="Arial"/>
      </rPr>
      <t>С</t>
    </r>
    <r>
      <rPr>
        <b/>
        <vertAlign val="subscript"/>
        <sz val="12"/>
        <color rgb="FF333333"/>
        <rFont val="Arial"/>
      </rPr>
      <t>p вых</t>
    </r>
  </si>
  <si>
    <t>1.1-1.4</t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</si>
  <si>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</si>
  <si>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t>0.15-0.4</t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</si>
  <si>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</si>
  <si>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</si>
  <si>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</si>
  <si>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</si>
  <si>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</si>
  <si>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</si>
  <si>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</si>
  <si>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</si>
  <si>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</si>
  <si>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O</t>
    </r>
    <r>
      <rPr>
        <vertAlign val="subscript"/>
        <sz val="10"/>
        <color rgb="FF333333"/>
        <rFont val="Arial"/>
      </rPr>
      <t>2</t>
    </r>
  </si>
  <si>
    <r>
      <rPr>
        <sz val="10"/>
        <color theme="1"/>
        <rFont val="Arial"/>
      </rPr>
      <t>O</t>
    </r>
    <r>
      <rPr>
        <vertAlign val="subscript"/>
        <sz val="10"/>
        <color theme="1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</si>
  <si>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</si>
  <si>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theme="1"/>
        <rFont val="Arial"/>
      </rPr>
      <t>CO</t>
    </r>
    <r>
      <rPr>
        <vertAlign val="subscript"/>
        <sz val="10"/>
        <color theme="1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</si>
  <si>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</si>
  <si>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theme="1"/>
        <rFont val="Arial"/>
      </rPr>
      <t>H</t>
    </r>
    <r>
      <rPr>
        <vertAlign val="subscript"/>
        <sz val="10"/>
        <color theme="1"/>
        <rFont val="Arial"/>
      </rPr>
      <t>2</t>
    </r>
    <r>
      <rPr>
        <sz val="10"/>
        <color theme="1"/>
        <rFont val="Arial"/>
      </rPr>
      <t>O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</si>
  <si>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</si>
  <si>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sz val="10"/>
        <color theme="1"/>
        <rFont val="Arial"/>
      </rPr>
      <t>N</t>
    </r>
    <r>
      <rPr>
        <vertAlign val="subscript"/>
        <sz val="10"/>
        <color theme="1"/>
        <rFont val="Arial"/>
      </rPr>
      <t>2</t>
    </r>
  </si>
  <si>
    <r>
      <rPr>
        <b/>
        <sz val="12"/>
        <color theme="1"/>
        <rFont val="Arial"/>
      </rPr>
      <t>∆H</t>
    </r>
    <r>
      <rPr>
        <b/>
        <vertAlign val="subscript"/>
        <sz val="12"/>
        <color theme="1"/>
        <rFont val="Arial"/>
      </rPr>
      <t>обр</t>
    </r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</si>
  <si>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</si>
  <si>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</si>
  <si>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</si>
  <si>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</si>
  <si>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</si>
  <si>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</si>
  <si>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</si>
  <si>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</si>
  <si>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</si>
  <si>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sz val="12"/>
        <color rgb="FF333333"/>
        <rFont val="Arial"/>
      </rPr>
      <t>С</t>
    </r>
    <r>
      <rPr>
        <vertAlign val="subscript"/>
        <sz val="12"/>
        <color rgb="FF333333"/>
        <rFont val="Arial"/>
      </rPr>
      <t>p вх</t>
    </r>
  </si>
  <si>
    <r>
      <rPr>
        <sz val="12"/>
        <color rgb="FF333333"/>
        <rFont val="Arial"/>
      </rPr>
      <t>С</t>
    </r>
    <r>
      <rPr>
        <vertAlign val="subscript"/>
        <sz val="12"/>
        <color rgb="FF333333"/>
        <rFont val="Arial"/>
      </rPr>
      <t>p вых</t>
    </r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</si>
  <si>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</si>
  <si>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</si>
  <si>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</si>
  <si>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</si>
  <si>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</si>
  <si>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О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</si>
  <si>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</si>
  <si>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</si>
  <si>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</si>
  <si>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</si>
  <si>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b/>
        <sz val="12"/>
        <color theme="1"/>
        <rFont val="Arial"/>
      </rPr>
      <t>∆H</t>
    </r>
    <r>
      <rPr>
        <b/>
        <vertAlign val="subscript"/>
        <sz val="12"/>
        <color theme="1"/>
        <rFont val="Arial"/>
      </rPr>
      <t>обр</t>
    </r>
  </si>
  <si>
    <r>
      <rPr>
        <sz val="10"/>
        <color rgb="FF333333"/>
        <rFont val="Arial"/>
      </rPr>
      <t>СН</t>
    </r>
    <r>
      <rPr>
        <vertAlign val="subscript"/>
        <sz val="10"/>
        <color rgb="FF333333"/>
        <rFont val="Arial"/>
      </rPr>
      <t>4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</si>
  <si>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6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</si>
  <si>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3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8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</si>
  <si>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4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10</t>
    </r>
  </si>
  <si>
    <r>
      <rPr>
        <sz val="10"/>
        <color rgb="FF333333"/>
        <rFont val="Arial"/>
      </rPr>
      <t>C</t>
    </r>
    <r>
      <rPr>
        <vertAlign val="subscript"/>
        <sz val="10"/>
        <color rgb="FF333333"/>
        <rFont val="Arial"/>
      </rPr>
      <t>5</t>
    </r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12</t>
    </r>
  </si>
  <si>
    <r>
      <rPr>
        <sz val="10"/>
        <color rgb="FF333333"/>
        <rFont val="Arial"/>
      </rPr>
      <t>О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</si>
  <si>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CO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</si>
  <si>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  <r>
      <rPr>
        <sz val="10"/>
        <color rgb="FF333333"/>
        <rFont val="Arial"/>
      </rPr>
      <t>O</t>
    </r>
  </si>
  <si>
    <r>
      <rPr>
        <sz val="10"/>
        <color rgb="FF333333"/>
        <rFont val="Arial"/>
      </rPr>
      <t>H</t>
    </r>
    <r>
      <rPr>
        <vertAlign val="subscript"/>
        <sz val="10"/>
        <color rgb="FF333333"/>
        <rFont val="Arial"/>
      </rPr>
      <t>2</t>
    </r>
  </si>
  <si>
    <r>
      <rPr>
        <sz val="10"/>
        <color rgb="FF333333"/>
        <rFont val="Arial"/>
      </rPr>
      <t>N</t>
    </r>
    <r>
      <rPr>
        <vertAlign val="subscript"/>
        <sz val="10"/>
        <color rgb="FF333333"/>
        <rFont val="Arial"/>
      </rPr>
      <t>2</t>
    </r>
  </si>
  <si>
    <r>
      <rPr>
        <b/>
        <sz val="12"/>
        <color rgb="FF333333"/>
        <rFont val="Arial"/>
      </rPr>
      <t>С</t>
    </r>
    <r>
      <rPr>
        <b/>
        <vertAlign val="subscript"/>
        <sz val="12"/>
        <color rgb="FF333333"/>
        <rFont val="Arial"/>
      </rPr>
      <t>p вх</t>
    </r>
  </si>
  <si>
    <r>
      <rPr>
        <b/>
        <sz val="12"/>
        <color rgb="FF333333"/>
        <rFont val="Arial"/>
      </rPr>
      <t>С</t>
    </r>
    <r>
      <rPr>
        <b/>
        <vertAlign val="subscript"/>
        <sz val="12"/>
        <color rgb="FF333333"/>
        <rFont val="Arial"/>
      </rPr>
      <t>p вых</t>
    </r>
  </si>
  <si>
    <t xml:space="preserve"> </t>
  </si>
  <si>
    <t>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</si>
</sst>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#,##0.00000"/>
    <numFmt numFmtId="166" formatCode="0.000"/>
    <numFmt numFmtId="167" formatCode="#,##0.0"/>
  </numFmts>
  <fonts count="31">
    <font>
      <sz val="10"/>
      <color rgb="FF000000"/>
      <name val="Arial"/>
      <scheme val="minor"/>
    </font>
    <font>
      <sz val="10"/>
      <color theme="1"/>
      <name val="Arial"/>
    </font>
    <font>
      <sz val="14"/>
      <color rgb="FF333333"/>
      <name val="Arial"/>
    </font>
    <font>
      <b/>
      <sz val="12"/>
      <color rgb="FF800000"/>
      <name val="Arial"/>
    </font>
    <font>
      <sz val="12"/>
      <color theme="1"/>
      <name val="Arial"/>
    </font>
    <font>
      <sz val="10"/>
      <color rgb="FF333333"/>
      <name val="Arial"/>
    </font>
    <font>
      <sz val="10"/>
      <color rgb="FF000000"/>
      <name val="Arial"/>
    </font>
    <font>
      <sz val="12"/>
      <color rgb="FF800000"/>
      <name val="Arial"/>
    </font>
    <font>
      <sz val="10"/>
      <name val="Arial"/>
    </font>
    <font>
      <b/>
      <sz val="10"/>
      <color rgb="FF333333"/>
      <name val="Arial"/>
    </font>
    <font>
      <sz val="9"/>
      <color rgb="FF000000"/>
      <name val="&quot;Google Sans Mono&quot;"/>
    </font>
    <font>
      <sz val="10"/>
      <color rgb="FF800000"/>
      <name val="Arial"/>
    </font>
    <font>
      <b/>
      <sz val="12"/>
      <color theme="1"/>
      <name val="Arial"/>
    </font>
    <font>
      <b/>
      <sz val="12"/>
      <color rgb="FF333333"/>
      <name val="Arial"/>
    </font>
    <font>
      <sz val="12"/>
      <color rgb="FF333333"/>
      <name val="Arial"/>
    </font>
    <font>
      <b/>
      <sz val="10"/>
      <color theme="1"/>
      <name val="Arial"/>
    </font>
    <font>
      <b/>
      <sz val="14"/>
      <color rgb="FF800000"/>
      <name val="Arial"/>
    </font>
    <font>
      <sz val="10"/>
      <color rgb="FF980000"/>
      <name val="Arial"/>
    </font>
    <font>
      <sz val="9"/>
      <color rgb="FF1155CC"/>
      <name val="&quot;Google Sans Mono&quot;"/>
    </font>
    <font>
      <sz val="9"/>
      <color rgb="FF7E3794"/>
      <name val="&quot;Google Sans Mono&quot;"/>
    </font>
    <font>
      <b/>
      <sz val="14"/>
      <color theme="1"/>
      <name val="Arial"/>
    </font>
    <font>
      <vertAlign val="subscript"/>
      <sz val="10"/>
      <color rgb="FF333333"/>
      <name val="Arial"/>
    </font>
    <font>
      <vertAlign val="subscript"/>
      <sz val="10"/>
      <color theme="1"/>
      <name val="Arial"/>
    </font>
    <font>
      <b/>
      <vertAlign val="subscript"/>
      <sz val="12"/>
      <color theme="1"/>
      <name val="Arial"/>
    </font>
    <font>
      <vertAlign val="subscript"/>
      <sz val="12"/>
      <color rgb="FF333333"/>
      <name val="Arial"/>
    </font>
    <font>
      <b/>
      <vertAlign val="subscript"/>
      <sz val="12"/>
      <color rgb="FF333333"/>
      <name val="Arial"/>
    </font>
    <font>
      <sz val="10"/>
      <color theme="1"/>
      <name val="Arial"/>
      <family val="2"/>
      <charset val="204"/>
    </font>
    <font>
      <sz val="12"/>
      <name val="Arial"/>
      <family val="2"/>
    </font>
    <font>
      <b/>
      <sz val="14"/>
      <color indexed="16"/>
      <name val="Arial"/>
      <family val="2"/>
      <charset val="204"/>
    </font>
    <font>
      <sz val="10"/>
      <name val="Arial"/>
      <family val="2"/>
    </font>
    <font>
      <sz val="10"/>
      <color rgb="FF000000"/>
      <name val="Arial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3">
    <border>
      <left/>
      <right/>
      <top/>
      <bottom/>
      <diagonal/>
    </border>
    <border>
      <left/>
      <right/>
      <top/>
      <bottom style="thick">
        <color rgb="FF808080"/>
      </bottom>
      <diagonal/>
    </border>
    <border>
      <left/>
      <right/>
      <top/>
      <bottom style="thick">
        <color rgb="FF800000"/>
      </bottom>
      <diagonal/>
    </border>
    <border>
      <left/>
      <right style="thick">
        <color rgb="FF808080"/>
      </right>
      <top/>
      <bottom/>
      <diagonal/>
    </border>
    <border>
      <left/>
      <right style="thick">
        <color rgb="FF800000"/>
      </right>
      <top/>
      <bottom style="thick">
        <color rgb="FF808080"/>
      </bottom>
      <diagonal/>
    </border>
    <border>
      <left/>
      <right style="thick">
        <color rgb="FF800000"/>
      </right>
      <top/>
      <bottom style="thick">
        <color rgb="FF800000"/>
      </bottom>
      <diagonal/>
    </border>
    <border>
      <left/>
      <right style="thick">
        <color rgb="FF808080"/>
      </right>
      <top/>
      <bottom style="thick">
        <color rgb="FF808080"/>
      </bottom>
      <diagonal/>
    </border>
    <border>
      <left/>
      <right/>
      <top/>
      <bottom/>
      <diagonal/>
    </border>
    <border>
      <left style="thick">
        <color rgb="FF808080"/>
      </left>
      <right style="thick">
        <color rgb="FF808080"/>
      </right>
      <top/>
      <bottom style="thick">
        <color rgb="FF808080"/>
      </bottom>
      <diagonal/>
    </border>
    <border>
      <left/>
      <right style="thick">
        <color rgb="FF808080"/>
      </right>
      <top/>
      <bottom style="thick">
        <color rgb="FF800000"/>
      </bottom>
      <diagonal/>
    </border>
    <border>
      <left style="thick">
        <color rgb="FF808080"/>
      </left>
      <right style="thick">
        <color rgb="FF808080"/>
      </right>
      <top style="thick">
        <color rgb="FF808080"/>
      </top>
      <bottom style="thick">
        <color rgb="FF808080"/>
      </bottom>
      <diagonal/>
    </border>
    <border>
      <left style="hair">
        <color rgb="FF000000"/>
      </left>
      <right/>
      <top/>
      <bottom style="thick">
        <color rgb="FF808080"/>
      </bottom>
      <diagonal/>
    </border>
    <border>
      <left/>
      <right/>
      <top/>
      <bottom style="thick">
        <color rgb="FF808080"/>
      </bottom>
      <diagonal/>
    </border>
    <border>
      <left style="thick">
        <color rgb="FF808080"/>
      </left>
      <right style="thick">
        <color rgb="FF800000"/>
      </right>
      <top/>
      <bottom style="thick">
        <color rgb="FF80808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thick">
        <color rgb="FF808080"/>
      </bottom>
      <diagonal/>
    </border>
    <border>
      <left style="thick">
        <color rgb="FF808080"/>
      </left>
      <right style="thick">
        <color rgb="FF808080"/>
      </right>
      <top/>
      <bottom style="thick">
        <color rgb="FF800000"/>
      </bottom>
      <diagonal/>
    </border>
    <border>
      <left style="thick">
        <color rgb="FF800000"/>
      </left>
      <right style="thick">
        <color rgb="FF800000"/>
      </right>
      <top/>
      <bottom style="thick">
        <color rgb="FF800000"/>
      </bottom>
      <diagonal/>
    </border>
    <border>
      <left/>
      <right style="hair">
        <color rgb="FF000000"/>
      </right>
      <top/>
      <bottom style="thick">
        <color rgb="FF800000"/>
      </bottom>
      <diagonal/>
    </border>
    <border>
      <left style="thin">
        <color theme="0" tint="-0.14999847407452621"/>
      </left>
      <right/>
      <top/>
      <bottom/>
      <diagonal/>
    </border>
    <border>
      <left style="thick">
        <color rgb="FF808080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 style="thick">
        <color rgb="FF808080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ck">
        <color theme="0" tint="-0.499984740745262"/>
      </left>
      <right/>
      <top style="thin">
        <color theme="0" tint="-0.14999847407452621"/>
      </top>
      <bottom/>
      <diagonal/>
    </border>
    <border>
      <left style="thick">
        <color rgb="FF808080"/>
      </left>
      <right style="thick">
        <color theme="0" tint="-0.499984740745262"/>
      </right>
      <top style="thick">
        <color rgb="FF808080"/>
      </top>
      <bottom style="thick">
        <color theme="0" tint="-0.499984740745262"/>
      </bottom>
      <diagonal/>
    </border>
    <border>
      <left style="thick">
        <color indexed="23"/>
      </left>
      <right style="thick">
        <color indexed="23"/>
      </right>
      <top style="thick">
        <color indexed="23"/>
      </top>
      <bottom style="thick">
        <color indexed="23"/>
      </bottom>
      <diagonal/>
    </border>
    <border>
      <left style="thick">
        <color indexed="23"/>
      </left>
      <right style="thick">
        <color indexed="23"/>
      </right>
      <top style="thick">
        <color indexed="23"/>
      </top>
      <bottom style="thick">
        <color indexed="16"/>
      </bottom>
      <diagonal/>
    </border>
    <border>
      <left style="thick">
        <color indexed="16"/>
      </left>
      <right style="thick">
        <color rgb="FF800000"/>
      </right>
      <top style="thick">
        <color indexed="16"/>
      </top>
      <bottom style="thick">
        <color indexed="16"/>
      </bottom>
      <diagonal/>
    </border>
    <border>
      <left style="thick">
        <color indexed="16"/>
      </left>
      <right style="thick">
        <color indexed="16"/>
      </right>
      <top style="thick">
        <color indexed="16"/>
      </top>
      <bottom style="thick">
        <color indexed="16"/>
      </bottom>
      <diagonal/>
    </border>
    <border>
      <left style="thick">
        <color indexed="16"/>
      </left>
      <right style="thick">
        <color indexed="16"/>
      </right>
      <top style="thick">
        <color indexed="16"/>
      </top>
      <bottom style="thick">
        <color indexed="23"/>
      </bottom>
      <diagonal/>
    </border>
    <border>
      <left style="thick">
        <color indexed="16"/>
      </left>
      <right style="thick">
        <color indexed="16"/>
      </right>
      <top style="thick">
        <color indexed="23"/>
      </top>
      <bottom style="thick">
        <color indexed="16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3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1" xfId="0" applyFont="1" applyBorder="1"/>
    <xf numFmtId="0" fontId="1" fillId="0" borderId="4" xfId="0" applyFont="1" applyBorder="1"/>
    <xf numFmtId="0" fontId="1" fillId="0" borderId="5" xfId="0" applyFont="1" applyBorder="1"/>
    <xf numFmtId="0" fontId="4" fillId="0" borderId="6" xfId="0" applyFont="1" applyBorder="1"/>
    <xf numFmtId="0" fontId="5" fillId="0" borderId="4" xfId="0" applyFont="1" applyBorder="1" applyAlignment="1">
      <alignment horizontal="center"/>
    </xf>
    <xf numFmtId="0" fontId="6" fillId="2" borderId="7" xfId="0" applyFont="1" applyFill="1" applyBorder="1" applyAlignment="1">
      <alignment horizontal="left"/>
    </xf>
    <xf numFmtId="0" fontId="7" fillId="0" borderId="1" xfId="0" applyFont="1" applyBorder="1"/>
    <xf numFmtId="0" fontId="1" fillId="0" borderId="6" xfId="0" applyFont="1" applyBorder="1"/>
    <xf numFmtId="0" fontId="1" fillId="0" borderId="0" xfId="0" applyFont="1" applyAlignment="1">
      <alignment horizontal="right"/>
    </xf>
    <xf numFmtId="0" fontId="1" fillId="0" borderId="8" xfId="0" applyFont="1" applyBorder="1"/>
    <xf numFmtId="0" fontId="9" fillId="0" borderId="8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3" fontId="1" fillId="0" borderId="6" xfId="0" applyNumberFormat="1" applyFont="1" applyBorder="1"/>
    <xf numFmtId="164" fontId="1" fillId="0" borderId="6" xfId="0" applyNumberFormat="1" applyFont="1" applyBorder="1"/>
    <xf numFmtId="3" fontId="1" fillId="0" borderId="0" xfId="0" applyNumberFormat="1" applyFont="1"/>
    <xf numFmtId="4" fontId="1" fillId="0" borderId="0" xfId="0" applyNumberFormat="1" applyFont="1"/>
    <xf numFmtId="3" fontId="1" fillId="0" borderId="9" xfId="0" applyNumberFormat="1" applyFont="1" applyBorder="1"/>
    <xf numFmtId="0" fontId="1" fillId="0" borderId="6" xfId="0" applyFont="1" applyBorder="1" applyAlignment="1">
      <alignment horizontal="center"/>
    </xf>
    <xf numFmtId="3" fontId="1" fillId="0" borderId="4" xfId="0" applyNumberFormat="1" applyFont="1" applyBorder="1"/>
    <xf numFmtId="3" fontId="1" fillId="0" borderId="5" xfId="0" applyNumberFormat="1" applyFont="1" applyBorder="1"/>
    <xf numFmtId="0" fontId="1" fillId="0" borderId="10" xfId="0" applyFont="1" applyBorder="1" applyAlignment="1">
      <alignment horizontal="center"/>
    </xf>
    <xf numFmtId="165" fontId="1" fillId="0" borderId="0" xfId="0" applyNumberFormat="1" applyFont="1"/>
    <xf numFmtId="0" fontId="1" fillId="0" borderId="8" xfId="0" applyFont="1" applyBorder="1" applyAlignment="1">
      <alignment horizontal="center"/>
    </xf>
    <xf numFmtId="164" fontId="1" fillId="0" borderId="9" xfId="0" applyNumberFormat="1" applyFont="1" applyBorder="1"/>
    <xf numFmtId="0" fontId="5" fillId="0" borderId="8" xfId="0" applyFont="1" applyBorder="1"/>
    <xf numFmtId="164" fontId="1" fillId="0" borderId="5" xfId="0" applyNumberFormat="1" applyFont="1" applyBorder="1"/>
    <xf numFmtId="164" fontId="1" fillId="0" borderId="0" xfId="0" applyNumberFormat="1" applyFont="1"/>
    <xf numFmtId="4" fontId="10" fillId="2" borderId="0" xfId="0" applyNumberFormat="1" applyFont="1" applyFill="1"/>
    <xf numFmtId="0" fontId="11" fillId="0" borderId="0" xfId="0" applyFont="1"/>
    <xf numFmtId="0" fontId="1" fillId="0" borderId="11" xfId="0" applyFont="1" applyBorder="1"/>
    <xf numFmtId="0" fontId="1" fillId="2" borderId="12" xfId="0" applyFont="1" applyFill="1" applyBorder="1"/>
    <xf numFmtId="0" fontId="1" fillId="2" borderId="12" xfId="0" applyFont="1" applyFill="1" applyBorder="1" applyAlignment="1">
      <alignment horizontal="right"/>
    </xf>
    <xf numFmtId="0" fontId="12" fillId="0" borderId="8" xfId="0" applyFont="1" applyBorder="1"/>
    <xf numFmtId="0" fontId="12" fillId="0" borderId="6" xfId="0" applyFont="1" applyBorder="1"/>
    <xf numFmtId="4" fontId="1" fillId="0" borderId="6" xfId="0" applyNumberFormat="1" applyFont="1" applyBorder="1"/>
    <xf numFmtId="0" fontId="13" fillId="0" borderId="6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4" fontId="1" fillId="0" borderId="4" xfId="0" applyNumberFormat="1" applyFont="1" applyBorder="1"/>
    <xf numFmtId="4" fontId="1" fillId="0" borderId="5" xfId="0" applyNumberFormat="1" applyFont="1" applyBorder="1"/>
    <xf numFmtId="4" fontId="1" fillId="0" borderId="2" xfId="0" applyNumberFormat="1" applyFont="1" applyBorder="1"/>
    <xf numFmtId="0" fontId="14" fillId="0" borderId="13" xfId="0" applyFont="1" applyBorder="1" applyAlignment="1">
      <alignment horizontal="center"/>
    </xf>
    <xf numFmtId="4" fontId="1" fillId="0" borderId="14" xfId="0" applyNumberFormat="1" applyFont="1" applyBorder="1"/>
    <xf numFmtId="4" fontId="1" fillId="0" borderId="15" xfId="0" applyNumberFormat="1" applyFont="1" applyBorder="1"/>
    <xf numFmtId="4" fontId="1" fillId="0" borderId="1" xfId="0" applyNumberFormat="1" applyFont="1" applyBorder="1"/>
    <xf numFmtId="0" fontId="14" fillId="0" borderId="4" xfId="0" applyFont="1" applyBorder="1" applyAlignment="1">
      <alignment horizontal="center"/>
    </xf>
    <xf numFmtId="0" fontId="13" fillId="0" borderId="1" xfId="0" applyFont="1" applyBorder="1"/>
    <xf numFmtId="0" fontId="5" fillId="0" borderId="6" xfId="0" applyFont="1" applyBorder="1" applyAlignment="1">
      <alignment horizontal="center"/>
    </xf>
    <xf numFmtId="2" fontId="1" fillId="0" borderId="6" xfId="0" applyNumberFormat="1" applyFont="1" applyBorder="1"/>
    <xf numFmtId="0" fontId="1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0" fillId="2" borderId="0" xfId="0" applyFont="1" applyFill="1"/>
    <xf numFmtId="1" fontId="1" fillId="0" borderId="6" xfId="0" applyNumberFormat="1" applyFont="1" applyBorder="1"/>
    <xf numFmtId="3" fontId="15" fillId="0" borderId="6" xfId="0" applyNumberFormat="1" applyFont="1" applyBorder="1"/>
    <xf numFmtId="0" fontId="16" fillId="0" borderId="0" xfId="0" applyFont="1"/>
    <xf numFmtId="0" fontId="6" fillId="0" borderId="1" xfId="0" applyFont="1" applyBorder="1"/>
    <xf numFmtId="0" fontId="1" fillId="0" borderId="0" xfId="0" applyFont="1" applyAlignment="1">
      <alignment horizontal="left"/>
    </xf>
    <xf numFmtId="0" fontId="3" fillId="0" borderId="3" xfId="0" applyFont="1" applyBorder="1" applyAlignment="1">
      <alignment horizontal="center"/>
    </xf>
    <xf numFmtId="0" fontId="17" fillId="0" borderId="1" xfId="0" applyFont="1" applyBorder="1"/>
    <xf numFmtId="4" fontId="18" fillId="2" borderId="0" xfId="0" applyNumberFormat="1" applyFont="1" applyFill="1"/>
    <xf numFmtId="1" fontId="1" fillId="0" borderId="0" xfId="0" applyNumberFormat="1" applyFont="1"/>
    <xf numFmtId="4" fontId="19" fillId="2" borderId="0" xfId="0" applyNumberFormat="1" applyFont="1" applyFill="1"/>
    <xf numFmtId="0" fontId="1" fillId="0" borderId="16" xfId="0" applyFont="1" applyBorder="1"/>
    <xf numFmtId="0" fontId="1" fillId="0" borderId="15" xfId="0" applyFont="1" applyBorder="1"/>
    <xf numFmtId="0" fontId="1" fillId="0" borderId="17" xfId="0" applyFont="1" applyBorder="1"/>
    <xf numFmtId="3" fontId="1" fillId="0" borderId="17" xfId="0" applyNumberFormat="1" applyFont="1" applyBorder="1"/>
    <xf numFmtId="0" fontId="1" fillId="0" borderId="14" xfId="0" applyFont="1" applyBorder="1"/>
    <xf numFmtId="0" fontId="12" fillId="0" borderId="8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13" fillId="0" borderId="6" xfId="0" applyFont="1" applyBorder="1"/>
    <xf numFmtId="3" fontId="1" fillId="0" borderId="14" xfId="0" applyNumberFormat="1" applyFont="1" applyBorder="1"/>
    <xf numFmtId="0" fontId="6" fillId="0" borderId="0" xfId="0" applyFont="1"/>
    <xf numFmtId="0" fontId="20" fillId="0" borderId="6" xfId="0" applyFont="1" applyBorder="1"/>
    <xf numFmtId="0" fontId="17" fillId="0" borderId="0" xfId="0" applyFont="1"/>
    <xf numFmtId="0" fontId="5" fillId="0" borderId="18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1" fillId="0" borderId="20" xfId="0" applyFont="1" applyBorder="1"/>
    <xf numFmtId="3" fontId="10" fillId="2" borderId="0" xfId="0" applyNumberFormat="1" applyFont="1" applyFill="1"/>
    <xf numFmtId="4" fontId="1" fillId="0" borderId="9" xfId="0" applyNumberFormat="1" applyFont="1" applyBorder="1"/>
    <xf numFmtId="0" fontId="11" fillId="0" borderId="1" xfId="0" applyFont="1" applyBorder="1"/>
    <xf numFmtId="166" fontId="9" fillId="0" borderId="6" xfId="0" applyNumberFormat="1" applyFont="1" applyBorder="1" applyAlignment="1">
      <alignment horizontal="center"/>
    </xf>
    <xf numFmtId="166" fontId="1" fillId="0" borderId="6" xfId="0" applyNumberFormat="1" applyFont="1" applyBorder="1"/>
    <xf numFmtId="166" fontId="1" fillId="0" borderId="9" xfId="0" applyNumberFormat="1" applyFont="1" applyBorder="1"/>
    <xf numFmtId="166" fontId="1" fillId="0" borderId="5" xfId="0" applyNumberFormat="1" applyFont="1" applyBorder="1"/>
    <xf numFmtId="167" fontId="1" fillId="0" borderId="6" xfId="0" applyNumberFormat="1" applyFont="1" applyBorder="1"/>
    <xf numFmtId="0" fontId="1" fillId="0" borderId="7" xfId="0" applyFont="1" applyBorder="1"/>
    <xf numFmtId="0" fontId="1" fillId="0" borderId="22" xfId="0" applyFont="1" applyBorder="1"/>
    <xf numFmtId="0" fontId="1" fillId="0" borderId="21" xfId="0" applyFont="1" applyBorder="1"/>
    <xf numFmtId="0" fontId="1" fillId="0" borderId="23" xfId="0" applyFont="1" applyBorder="1"/>
    <xf numFmtId="0" fontId="10" fillId="2" borderId="24" xfId="0" applyFont="1" applyFill="1" applyBorder="1"/>
    <xf numFmtId="0" fontId="1" fillId="0" borderId="25" xfId="0" applyFont="1" applyBorder="1"/>
    <xf numFmtId="0" fontId="0" fillId="0" borderId="26" xfId="0" applyBorder="1"/>
    <xf numFmtId="4" fontId="0" fillId="0" borderId="27" xfId="0" applyNumberFormat="1" applyBorder="1" applyAlignment="1">
      <alignment horizontal="center"/>
    </xf>
    <xf numFmtId="4" fontId="0" fillId="0" borderId="28" xfId="0" applyNumberFormat="1" applyBorder="1" applyAlignment="1">
      <alignment horizontal="center"/>
    </xf>
    <xf numFmtId="2" fontId="0" fillId="0" borderId="29" xfId="0" applyNumberFormat="1" applyBorder="1" applyAlignment="1">
      <alignment horizontal="center"/>
    </xf>
    <xf numFmtId="2" fontId="0" fillId="0" borderId="30" xfId="0" applyNumberFormat="1" applyBorder="1" applyAlignment="1">
      <alignment horizontal="center"/>
    </xf>
    <xf numFmtId="4" fontId="27" fillId="0" borderId="31" xfId="0" applyNumberFormat="1" applyFont="1" applyBorder="1"/>
    <xf numFmtId="4" fontId="27" fillId="0" borderId="32" xfId="0" applyNumberFormat="1" applyFont="1" applyBorder="1"/>
    <xf numFmtId="4" fontId="27" fillId="0" borderId="30" xfId="0" applyNumberFormat="1" applyFont="1" applyBorder="1"/>
    <xf numFmtId="3" fontId="0" fillId="0" borderId="27" xfId="0" applyNumberFormat="1" applyBorder="1" applyAlignment="1">
      <alignment horizontal="center"/>
    </xf>
    <xf numFmtId="3" fontId="28" fillId="0" borderId="27" xfId="0" applyNumberFormat="1" applyFont="1" applyBorder="1"/>
    <xf numFmtId="4" fontId="29" fillId="0" borderId="30" xfId="0" applyNumberFormat="1" applyFont="1" applyBorder="1"/>
    <xf numFmtId="0" fontId="26" fillId="0" borderId="0" xfId="0" applyFont="1"/>
    <xf numFmtId="2" fontId="30" fillId="0" borderId="29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6" xfId="0" applyFont="1" applyBorder="1"/>
    <xf numFmtId="0" fontId="3" fillId="0" borderId="0" xfId="0" applyFont="1"/>
    <xf numFmtId="0" fontId="0" fillId="0" borderId="0" xfId="0"/>
    <xf numFmtId="0" fontId="3" fillId="0" borderId="0" xfId="0" applyFont="1" applyAlignment="1">
      <alignment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00"/>
  <sheetViews>
    <sheetView topLeftCell="A81" workbookViewId="0">
      <selection activeCell="D66" sqref="D66"/>
    </sheetView>
  </sheetViews>
  <sheetFormatPr defaultColWidth="12.5703125" defaultRowHeight="15" customHeight="1"/>
  <cols>
    <col min="1" max="19" width="12.5703125" customWidth="1"/>
    <col min="20" max="26" width="11.42578125" customWidth="1"/>
  </cols>
  <sheetData>
    <row r="1" spans="1:17" ht="15.75" customHeight="1">
      <c r="A1" s="1" t="s">
        <v>0</v>
      </c>
    </row>
    <row r="2" spans="1:17" ht="15.75" customHeight="1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.75" customHeight="1">
      <c r="A4" s="3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.75" customHeight="1">
      <c r="A5" s="1"/>
      <c r="B5" s="1"/>
      <c r="C5" s="4"/>
      <c r="D5" s="5" t="s">
        <v>4</v>
      </c>
      <c r="E5" s="6"/>
      <c r="F5" s="1"/>
      <c r="G5" s="4"/>
      <c r="H5" s="4"/>
      <c r="I5" s="6"/>
      <c r="J5" s="1"/>
      <c r="K5" s="1"/>
      <c r="L5" s="1"/>
      <c r="M5" s="1"/>
      <c r="N5" s="1"/>
      <c r="O5" s="1"/>
      <c r="P5" s="1"/>
      <c r="Q5" s="1"/>
    </row>
    <row r="6" spans="1:17" ht="15.75" customHeight="1">
      <c r="A6" s="1"/>
      <c r="B6" s="7"/>
      <c r="C6" s="8" t="s">
        <v>5</v>
      </c>
      <c r="D6" s="9"/>
      <c r="E6" s="10">
        <v>7000</v>
      </c>
      <c r="F6" s="7" t="s">
        <v>6</v>
      </c>
      <c r="G6" s="8" t="s">
        <v>7</v>
      </c>
      <c r="H6" s="9"/>
      <c r="I6" s="10">
        <v>0.15</v>
      </c>
      <c r="J6" s="1"/>
      <c r="K6" s="1"/>
      <c r="L6" s="1"/>
      <c r="M6" s="1"/>
      <c r="N6" s="1"/>
      <c r="O6" s="1"/>
      <c r="P6" s="1"/>
      <c r="Q6" s="1"/>
    </row>
    <row r="7" spans="1:17" ht="15.75" customHeight="1">
      <c r="A7" s="1"/>
      <c r="B7" s="7"/>
      <c r="C7" s="11" t="s">
        <v>8</v>
      </c>
      <c r="D7" s="12" t="s">
        <v>177</v>
      </c>
      <c r="E7" s="10">
        <v>0.8</v>
      </c>
      <c r="F7" s="7"/>
      <c r="G7" s="8" t="s">
        <v>10</v>
      </c>
      <c r="H7" s="9"/>
      <c r="I7" s="13">
        <v>1.1000000000000001</v>
      </c>
      <c r="J7" s="1"/>
      <c r="K7" s="1"/>
      <c r="L7" s="1"/>
      <c r="M7" s="120"/>
      <c r="N7" s="118"/>
      <c r="O7" s="118"/>
      <c r="P7" s="1"/>
      <c r="Q7" s="1"/>
    </row>
    <row r="8" spans="1:17" ht="15.75" customHeight="1">
      <c r="A8" s="1"/>
      <c r="B8" s="1"/>
      <c r="C8" s="7"/>
      <c r="D8" s="12" t="s">
        <v>178</v>
      </c>
      <c r="E8" s="10">
        <v>0.03</v>
      </c>
      <c r="F8" s="1"/>
      <c r="G8" s="14" t="s">
        <v>12</v>
      </c>
      <c r="H8" s="4"/>
      <c r="I8" s="4"/>
      <c r="J8" s="1"/>
      <c r="K8" s="1"/>
      <c r="L8" s="1"/>
      <c r="M8" s="1"/>
      <c r="N8" s="1"/>
      <c r="O8" s="1"/>
      <c r="P8" s="1"/>
      <c r="Q8" s="1"/>
    </row>
    <row r="9" spans="1:17" ht="15.75" customHeight="1">
      <c r="A9" s="1"/>
      <c r="B9" s="1"/>
      <c r="C9" s="7"/>
      <c r="D9" s="12" t="s">
        <v>179</v>
      </c>
      <c r="E9" s="10">
        <v>0.04</v>
      </c>
      <c r="F9" s="7"/>
      <c r="G9" s="4" t="s">
        <v>14</v>
      </c>
      <c r="H9" s="15"/>
      <c r="I9" s="15">
        <v>5</v>
      </c>
      <c r="J9" s="1"/>
      <c r="K9" s="1"/>
      <c r="L9" s="1"/>
      <c r="M9" s="120"/>
      <c r="N9" s="118"/>
      <c r="O9" s="118"/>
      <c r="P9" s="1"/>
      <c r="Q9" s="1"/>
    </row>
    <row r="10" spans="1:17" ht="15.75" customHeight="1">
      <c r="A10" s="1"/>
      <c r="B10" s="1"/>
      <c r="C10" s="7"/>
      <c r="D10" s="12" t="s">
        <v>180</v>
      </c>
      <c r="E10" s="10">
        <v>0.05</v>
      </c>
      <c r="F10" s="7"/>
      <c r="G10" s="4" t="s">
        <v>16</v>
      </c>
      <c r="H10" s="15"/>
      <c r="I10" s="15">
        <v>4</v>
      </c>
      <c r="J10" s="1"/>
      <c r="K10" s="1"/>
      <c r="L10" s="1"/>
      <c r="M10" s="1"/>
      <c r="N10" s="1"/>
      <c r="O10" s="1"/>
      <c r="P10" s="1"/>
      <c r="Q10" s="1"/>
    </row>
    <row r="11" spans="1:17" ht="15.75" customHeight="1">
      <c r="A11" s="1"/>
      <c r="B11" s="1"/>
      <c r="C11" s="7"/>
      <c r="D11" s="12" t="s">
        <v>181</v>
      </c>
      <c r="E11" s="10">
        <v>3.0000000000000001E-3</v>
      </c>
      <c r="F11" s="7"/>
      <c r="G11" s="4" t="s">
        <v>18</v>
      </c>
      <c r="H11" s="15"/>
      <c r="I11" s="15">
        <v>3</v>
      </c>
      <c r="J11" s="1"/>
      <c r="K11" s="1"/>
      <c r="L11" s="1"/>
      <c r="M11" s="120"/>
      <c r="N11" s="118"/>
      <c r="O11" s="118"/>
      <c r="P11" s="1"/>
      <c r="Q11" s="1"/>
    </row>
    <row r="12" spans="1:17" ht="15.75" customHeight="1">
      <c r="A12" s="1"/>
      <c r="B12" s="1"/>
      <c r="C12" s="7"/>
      <c r="D12" s="12" t="s">
        <v>19</v>
      </c>
      <c r="E12" s="6">
        <f>1-(E7+E8+E9+E10+E11)</f>
        <v>7.6999999999999846E-2</v>
      </c>
      <c r="F12" s="7"/>
      <c r="G12" s="4" t="s">
        <v>20</v>
      </c>
      <c r="H12" s="15"/>
      <c r="I12" s="15">
        <v>2</v>
      </c>
      <c r="J12" s="1"/>
      <c r="K12" s="1"/>
      <c r="L12" s="1"/>
      <c r="M12" s="1"/>
      <c r="N12" s="1"/>
      <c r="O12" s="1"/>
      <c r="P12" s="1"/>
      <c r="Q12" s="1"/>
    </row>
    <row r="13" spans="1:17" ht="15.75" customHeight="1">
      <c r="A13" s="1"/>
      <c r="B13" s="1"/>
      <c r="C13" s="1"/>
      <c r="D13" s="16">
        <v>22.4</v>
      </c>
      <c r="E13" s="1"/>
      <c r="F13" s="7"/>
      <c r="G13" s="4" t="s">
        <v>21</v>
      </c>
      <c r="H13" s="15"/>
      <c r="I13" s="15">
        <v>1</v>
      </c>
      <c r="J13" s="1"/>
      <c r="K13" s="1"/>
      <c r="L13" s="1"/>
      <c r="M13" s="120"/>
      <c r="N13" s="118"/>
      <c r="O13" s="118"/>
      <c r="P13" s="1"/>
      <c r="Q13" s="1"/>
    </row>
    <row r="14" spans="1:17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.75" customHeight="1">
      <c r="A15" s="87">
        <f>-(D63+K63)</f>
        <v>-4.5474735088646412E-13</v>
      </c>
      <c r="B15" s="4"/>
      <c r="C15" s="4"/>
      <c r="D15" s="4"/>
      <c r="E15" s="5" t="s">
        <v>22</v>
      </c>
      <c r="F15" s="4"/>
      <c r="G15" s="4"/>
      <c r="H15" s="4"/>
      <c r="I15" s="4"/>
      <c r="J15" s="4"/>
      <c r="K15" s="1"/>
      <c r="L15" s="1"/>
      <c r="M15" s="120"/>
      <c r="N15" s="118"/>
      <c r="O15" s="118"/>
      <c r="P15" s="1"/>
      <c r="Q15" s="1"/>
    </row>
    <row r="16" spans="1:17" ht="15.75" customHeight="1">
      <c r="A16" s="17"/>
      <c r="B16" s="15"/>
      <c r="C16" s="114" t="s">
        <v>23</v>
      </c>
      <c r="D16" s="115"/>
      <c r="E16" s="116"/>
      <c r="F16" s="114" t="s">
        <v>24</v>
      </c>
      <c r="G16" s="115"/>
      <c r="H16" s="116"/>
      <c r="I16" s="8" t="s">
        <v>25</v>
      </c>
      <c r="J16" s="15"/>
      <c r="K16" s="1"/>
      <c r="L16" s="1"/>
      <c r="M16" s="1"/>
      <c r="N16" s="1"/>
      <c r="O16" s="1">
        <f>O23/2</f>
        <v>-259.3499999999998</v>
      </c>
      <c r="P16" s="1"/>
      <c r="Q16" s="1"/>
    </row>
    <row r="17" spans="1:19" ht="15.75" customHeight="1">
      <c r="A17" s="18" t="s">
        <v>26</v>
      </c>
      <c r="B17" s="19" t="s">
        <v>27</v>
      </c>
      <c r="C17" s="19" t="s">
        <v>28</v>
      </c>
      <c r="D17" s="19" t="s">
        <v>29</v>
      </c>
      <c r="E17" s="19" t="s">
        <v>30</v>
      </c>
      <c r="F17" s="19" t="s">
        <v>31</v>
      </c>
      <c r="G17" s="19" t="s">
        <v>32</v>
      </c>
      <c r="H17" s="19" t="s">
        <v>33</v>
      </c>
      <c r="I17" s="19" t="s">
        <v>34</v>
      </c>
      <c r="J17" s="19" t="s">
        <v>35</v>
      </c>
      <c r="K17" s="1"/>
      <c r="L17" s="1"/>
      <c r="M17" s="1" t="s">
        <v>35</v>
      </c>
      <c r="N17" s="1" t="s">
        <v>34</v>
      </c>
      <c r="O17" s="1" t="s">
        <v>32</v>
      </c>
      <c r="P17" s="1"/>
      <c r="Q17" s="1"/>
    </row>
    <row r="18" spans="1:19" ht="15.75" customHeight="1">
      <c r="A18" s="20" t="s">
        <v>182</v>
      </c>
      <c r="B18" s="15">
        <v>16</v>
      </c>
      <c r="C18" s="21">
        <f>D18/D13*B18</f>
        <v>600</v>
      </c>
      <c r="D18" s="21">
        <f>F29*E7</f>
        <v>840</v>
      </c>
      <c r="E18" s="43">
        <f>D18/D27</f>
        <v>8.5279187817258864E-2</v>
      </c>
      <c r="F18" s="21">
        <f t="shared" ref="F18:F26" si="0">C18+I18</f>
        <v>185.24999999999983</v>
      </c>
      <c r="G18" s="22">
        <f>-O16</f>
        <v>259.3499999999998</v>
      </c>
      <c r="H18" s="43">
        <f>G18/G27</f>
        <v>2.5953686654391135E-2</v>
      </c>
      <c r="I18" s="21">
        <f>J18/D13*B18</f>
        <v>-414.75000000000017</v>
      </c>
      <c r="J18" s="21">
        <f>G18-D18</f>
        <v>-580.6500000000002</v>
      </c>
      <c r="K18" s="1"/>
      <c r="L18" s="1" t="s">
        <v>37</v>
      </c>
      <c r="M18" s="23">
        <f t="shared" ref="M18:M22" si="1">-D18</f>
        <v>-840</v>
      </c>
      <c r="N18" s="1">
        <f>M18/22.4*B18</f>
        <v>-600</v>
      </c>
      <c r="O18" s="24">
        <f>M18+D18</f>
        <v>0</v>
      </c>
      <c r="Q18" s="24"/>
      <c r="R18" s="24"/>
    </row>
    <row r="19" spans="1:19" ht="15.75" customHeight="1">
      <c r="A19" s="20" t="s">
        <v>183</v>
      </c>
      <c r="B19" s="15">
        <v>30</v>
      </c>
      <c r="C19" s="21">
        <f>D19/D13*B19</f>
        <v>42.1875</v>
      </c>
      <c r="D19" s="21">
        <f>F29*E8</f>
        <v>31.5</v>
      </c>
      <c r="E19" s="43">
        <f>D19/D27</f>
        <v>3.1979695431472075E-3</v>
      </c>
      <c r="F19" s="21">
        <f t="shared" si="0"/>
        <v>0</v>
      </c>
      <c r="G19" s="21">
        <f>D19+(J19)</f>
        <v>0</v>
      </c>
      <c r="H19" s="43">
        <f>G19/G27</f>
        <v>0</v>
      </c>
      <c r="I19" s="21">
        <f>J19/D13*B19</f>
        <v>-42.1875</v>
      </c>
      <c r="J19" s="21">
        <f t="shared" ref="J19:J22" si="2">-D19</f>
        <v>-31.5</v>
      </c>
      <c r="K19" s="1"/>
      <c r="L19" s="1" t="s">
        <v>39</v>
      </c>
      <c r="M19" s="23">
        <f t="shared" si="1"/>
        <v>-31.5</v>
      </c>
      <c r="N19" s="1">
        <f>M19/D13*B19</f>
        <v>-42.1875</v>
      </c>
      <c r="O19" s="24">
        <f>J19+D19</f>
        <v>0</v>
      </c>
      <c r="Q19" s="24"/>
      <c r="R19" s="24"/>
    </row>
    <row r="20" spans="1:19" ht="15.75" customHeight="1">
      <c r="A20" s="20" t="s">
        <v>184</v>
      </c>
      <c r="B20" s="15">
        <v>44</v>
      </c>
      <c r="C20" s="21">
        <f>D20/D13*B20</f>
        <v>82.500000000000014</v>
      </c>
      <c r="D20" s="21">
        <f>F29*E9</f>
        <v>42</v>
      </c>
      <c r="E20" s="43">
        <f>D20/D27</f>
        <v>4.263959390862943E-3</v>
      </c>
      <c r="F20" s="21">
        <f t="shared" si="0"/>
        <v>0</v>
      </c>
      <c r="G20" s="21">
        <f t="shared" ref="G20:G26" si="3">D20+J20</f>
        <v>0</v>
      </c>
      <c r="H20" s="43">
        <f>G20/G27</f>
        <v>0</v>
      </c>
      <c r="I20" s="21">
        <f>J20/D13*B20</f>
        <v>-82.500000000000014</v>
      </c>
      <c r="J20" s="21">
        <f t="shared" si="2"/>
        <v>-42</v>
      </c>
      <c r="K20" s="1"/>
      <c r="L20" s="1" t="s">
        <v>41</v>
      </c>
      <c r="M20" s="23">
        <f t="shared" si="1"/>
        <v>-42</v>
      </c>
      <c r="N20" s="1">
        <f>M20/D13*B20</f>
        <v>-82.500000000000014</v>
      </c>
      <c r="O20" s="23">
        <f t="shared" ref="O20:O26" si="4">M20+D20</f>
        <v>0</v>
      </c>
      <c r="Q20" s="24"/>
      <c r="R20" s="24"/>
      <c r="S20" s="24"/>
    </row>
    <row r="21" spans="1:19" ht="15.75" customHeight="1">
      <c r="A21" s="20" t="s">
        <v>185</v>
      </c>
      <c r="B21" s="15">
        <v>58</v>
      </c>
      <c r="C21" s="21">
        <f>D21/D13*B21</f>
        <v>135.9375</v>
      </c>
      <c r="D21" s="21">
        <f>F29*E10</f>
        <v>52.5</v>
      </c>
      <c r="E21" s="43">
        <f>D21/D27</f>
        <v>5.329949238578679E-3</v>
      </c>
      <c r="F21" s="21">
        <f t="shared" si="0"/>
        <v>0</v>
      </c>
      <c r="G21" s="21">
        <f t="shared" si="3"/>
        <v>0</v>
      </c>
      <c r="H21" s="43">
        <f>G21/G27</f>
        <v>0</v>
      </c>
      <c r="I21" s="21">
        <f>J21/D13*B21</f>
        <v>-135.9375</v>
      </c>
      <c r="J21" s="21">
        <f t="shared" si="2"/>
        <v>-52.5</v>
      </c>
      <c r="K21" s="1"/>
      <c r="L21" s="4" t="s">
        <v>43</v>
      </c>
      <c r="M21" s="23">
        <f t="shared" si="1"/>
        <v>-52.5</v>
      </c>
      <c r="N21" s="1">
        <f>M21/D13*B21</f>
        <v>-135.9375</v>
      </c>
      <c r="O21" s="23">
        <f t="shared" si="4"/>
        <v>0</v>
      </c>
      <c r="Q21" s="24"/>
      <c r="R21" s="24"/>
    </row>
    <row r="22" spans="1:19" ht="15.75" customHeight="1">
      <c r="A22" s="20" t="s">
        <v>186</v>
      </c>
      <c r="B22" s="15">
        <v>72</v>
      </c>
      <c r="C22" s="21">
        <f>D22/D13*B22</f>
        <v>10.125</v>
      </c>
      <c r="D22" s="21">
        <f>F29*E11</f>
        <v>3.15</v>
      </c>
      <c r="E22" s="43">
        <f>D22/D27</f>
        <v>3.1979695431472074E-4</v>
      </c>
      <c r="F22" s="21">
        <f t="shared" si="0"/>
        <v>0</v>
      </c>
      <c r="G22" s="25">
        <f t="shared" si="3"/>
        <v>0</v>
      </c>
      <c r="H22" s="43">
        <f>G22/G27</f>
        <v>0</v>
      </c>
      <c r="I22" s="21">
        <f>J22/D13*B22</f>
        <v>-10.125</v>
      </c>
      <c r="J22" s="21">
        <f t="shared" si="2"/>
        <v>-3.15</v>
      </c>
      <c r="K22" s="7"/>
      <c r="L22" s="26" t="s">
        <v>45</v>
      </c>
      <c r="M22" s="23">
        <f t="shared" si="1"/>
        <v>-3.15</v>
      </c>
      <c r="N22" s="1">
        <f>M22/D13*B22</f>
        <v>-10.125</v>
      </c>
      <c r="O22" s="23">
        <f t="shared" si="4"/>
        <v>0</v>
      </c>
      <c r="R22" s="24"/>
      <c r="S22" s="1"/>
    </row>
    <row r="23" spans="1:19" ht="15.75" customHeight="1">
      <c r="A23" s="20" t="s">
        <v>187</v>
      </c>
      <c r="B23" s="15">
        <v>32</v>
      </c>
      <c r="C23" s="21">
        <f>D23/D13*B23</f>
        <v>2640.0000000000005</v>
      </c>
      <c r="D23" s="21">
        <f>F29*E7*I7*2</f>
        <v>1848.0000000000002</v>
      </c>
      <c r="E23" s="43">
        <f>D23/D27</f>
        <v>0.18761421319796953</v>
      </c>
      <c r="F23" s="27">
        <f t="shared" si="0"/>
        <v>0</v>
      </c>
      <c r="G23" s="28">
        <f t="shared" si="3"/>
        <v>0</v>
      </c>
      <c r="H23" s="43">
        <f>G23/G27</f>
        <v>0</v>
      </c>
      <c r="I23" s="21">
        <f>J23/D13*B23</f>
        <v>-2640.0000000000009</v>
      </c>
      <c r="J23" s="21">
        <f>J22*8+J21*6.5+J20*5+J19*3.5+J18*2</f>
        <v>-1848.0000000000005</v>
      </c>
      <c r="K23" s="7"/>
      <c r="L23" s="29" t="s">
        <v>188</v>
      </c>
      <c r="M23" s="1">
        <f>(M22*8+M21*6.5+M20*5+M19*3.5+M18*2)</f>
        <v>-2366.6999999999998</v>
      </c>
      <c r="N23" s="1">
        <f>M23/D13*B23</f>
        <v>-3381</v>
      </c>
      <c r="O23" s="30">
        <f t="shared" si="4"/>
        <v>-518.69999999999959</v>
      </c>
      <c r="Q23" s="24"/>
      <c r="R23" s="24"/>
      <c r="S23" s="1"/>
    </row>
    <row r="24" spans="1:19" ht="15.75" customHeight="1">
      <c r="A24" s="20" t="s">
        <v>189</v>
      </c>
      <c r="B24" s="15">
        <v>44</v>
      </c>
      <c r="C24" s="21">
        <f>D24/D13*B24</f>
        <v>0</v>
      </c>
      <c r="D24" s="21">
        <v>0</v>
      </c>
      <c r="E24" s="43">
        <f>D24/D27</f>
        <v>0</v>
      </c>
      <c r="F24" s="21">
        <f t="shared" si="0"/>
        <v>1955.2500000000007</v>
      </c>
      <c r="G24" s="21">
        <f t="shared" si="3"/>
        <v>995.4000000000002</v>
      </c>
      <c r="H24" s="43">
        <f>G24/G27</f>
        <v>9.961172043871587E-2</v>
      </c>
      <c r="I24" s="21">
        <f>J24/D13*B24</f>
        <v>1955.2500000000007</v>
      </c>
      <c r="J24" s="21">
        <f>-J22*5+(-J21*4)+(-J20*3)+(-J19*2)+(-J18*1)</f>
        <v>995.4000000000002</v>
      </c>
      <c r="K24" s="7"/>
      <c r="L24" s="31" t="s">
        <v>190</v>
      </c>
      <c r="M24" s="23">
        <f>-(M22*8+M21*4+M20*3+M19*2+M18)</f>
        <v>1264.2</v>
      </c>
      <c r="N24" s="1">
        <f>M24/D13*B24</f>
        <v>2483.2500000000005</v>
      </c>
      <c r="O24" s="23">
        <f t="shared" si="4"/>
        <v>1264.2</v>
      </c>
      <c r="Q24" s="24"/>
      <c r="R24" s="24"/>
      <c r="S24" s="1"/>
    </row>
    <row r="25" spans="1:19" ht="15.75" customHeight="1">
      <c r="A25" s="20" t="s">
        <v>191</v>
      </c>
      <c r="B25" s="15">
        <v>18</v>
      </c>
      <c r="C25" s="21">
        <f>D25/D13*B25</f>
        <v>0</v>
      </c>
      <c r="D25" s="21">
        <v>0</v>
      </c>
      <c r="E25" s="43">
        <f>D25/D27</f>
        <v>0</v>
      </c>
      <c r="F25" s="21">
        <f t="shared" si="0"/>
        <v>1370.2500000000002</v>
      </c>
      <c r="G25" s="21">
        <f t="shared" si="3"/>
        <v>1705.2000000000003</v>
      </c>
      <c r="H25" s="43">
        <f>G25/G27</f>
        <v>0.1706428628612601</v>
      </c>
      <c r="I25" s="21">
        <f>J25/D13*B25</f>
        <v>1370.2500000000002</v>
      </c>
      <c r="J25" s="21">
        <f>-J22*6+(-J21*5)+(-J20*4)+(-J19*3)+(-J18*2)</f>
        <v>1705.2000000000003</v>
      </c>
      <c r="K25" s="7"/>
      <c r="L25" s="31" t="s">
        <v>192</v>
      </c>
      <c r="M25" s="1">
        <f>-(M22*6+M21*5+M20*4+M19*3+M18*2)</f>
        <v>2223.9</v>
      </c>
      <c r="N25" s="1">
        <f>M25/D13*B25</f>
        <v>1787.0625000000002</v>
      </c>
      <c r="O25" s="23">
        <f t="shared" si="4"/>
        <v>2223.9</v>
      </c>
      <c r="Q25" s="24"/>
      <c r="R25" s="24"/>
      <c r="S25" s="1"/>
    </row>
    <row r="26" spans="1:19" ht="15.75" customHeight="1">
      <c r="A26" s="20" t="s">
        <v>193</v>
      </c>
      <c r="B26" s="15">
        <v>28</v>
      </c>
      <c r="C26" s="25">
        <f>D26/D13*B26</f>
        <v>8791.0625000000018</v>
      </c>
      <c r="D26" s="21">
        <f>D23*79/21+F29*(1-E7-E8-E9-E10-E11)</f>
        <v>7032.8500000000022</v>
      </c>
      <c r="E26" s="88">
        <f>D26/D27</f>
        <v>0.71399492385786811</v>
      </c>
      <c r="F26" s="25">
        <f t="shared" si="0"/>
        <v>8791.0625000000018</v>
      </c>
      <c r="G26" s="21">
        <f t="shared" si="3"/>
        <v>7032.8500000000022</v>
      </c>
      <c r="H26" s="88">
        <f>G26/G27</f>
        <v>0.70379173004563289</v>
      </c>
      <c r="I26" s="25">
        <f>J26/D13*B26</f>
        <v>0</v>
      </c>
      <c r="J26" s="21">
        <v>0</v>
      </c>
      <c r="K26" s="1"/>
      <c r="L26" s="31" t="s">
        <v>194</v>
      </c>
      <c r="M26" s="1">
        <v>0</v>
      </c>
      <c r="N26" s="1">
        <f>M26/D13*B26</f>
        <v>0</v>
      </c>
      <c r="O26" s="24">
        <f t="shared" si="4"/>
        <v>7032.8500000000022</v>
      </c>
      <c r="P26" s="24"/>
      <c r="Q26" s="24"/>
    </row>
    <row r="27" spans="1:19" ht="15.75" customHeight="1">
      <c r="A27" s="33" t="s">
        <v>54</v>
      </c>
      <c r="B27" s="9"/>
      <c r="C27" s="28">
        <f t="shared" ref="C27:J27" si="5">SUM(C18:C26)</f>
        <v>12301.812500000002</v>
      </c>
      <c r="D27" s="27">
        <f t="shared" si="5"/>
        <v>9850.0000000000018</v>
      </c>
      <c r="E27" s="47">
        <f t="shared" si="5"/>
        <v>1</v>
      </c>
      <c r="F27" s="28">
        <f t="shared" si="5"/>
        <v>12301.812500000004</v>
      </c>
      <c r="G27" s="27">
        <f t="shared" si="5"/>
        <v>9992.8000000000029</v>
      </c>
      <c r="H27" s="47">
        <f t="shared" si="5"/>
        <v>1</v>
      </c>
      <c r="I27" s="28">
        <f t="shared" si="5"/>
        <v>0</v>
      </c>
      <c r="J27" s="21">
        <f t="shared" si="5"/>
        <v>142.79999999999973</v>
      </c>
      <c r="K27" s="1"/>
      <c r="L27" s="1"/>
      <c r="M27" s="35"/>
      <c r="N27" s="1">
        <f t="shared" ref="N27:O27" si="6">SUM(N18:N26)</f>
        <v>18.562500000000682</v>
      </c>
      <c r="O27" s="24">
        <f t="shared" si="6"/>
        <v>10002.250000000004</v>
      </c>
      <c r="P27" s="24"/>
      <c r="Q27" s="24"/>
    </row>
    <row r="28" spans="1:19" ht="15.75" customHeight="1">
      <c r="A28" s="1"/>
      <c r="B28" s="1"/>
      <c r="C28" s="1"/>
      <c r="D28" s="1"/>
      <c r="E28" s="1"/>
      <c r="F28" s="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9" ht="15.75" customHeight="1">
      <c r="A29" s="71"/>
      <c r="B29" s="1"/>
      <c r="C29" s="37" t="s">
        <v>55</v>
      </c>
      <c r="D29" s="1"/>
      <c r="E29" s="7"/>
      <c r="F29" s="15">
        <f>E6*I6</f>
        <v>1050</v>
      </c>
      <c r="G29" s="1"/>
      <c r="H29" s="1" t="s">
        <v>56</v>
      </c>
      <c r="I29" s="1">
        <v>450</v>
      </c>
      <c r="J29" s="1" t="s">
        <v>57</v>
      </c>
      <c r="K29" s="1"/>
      <c r="L29" s="1"/>
      <c r="M29" s="1"/>
      <c r="N29" s="1"/>
      <c r="O29" s="1"/>
      <c r="P29" s="1"/>
      <c r="Q29" s="1"/>
    </row>
    <row r="30" spans="1:19" ht="15.75" customHeight="1">
      <c r="A30" s="38"/>
      <c r="B30" s="39" t="s">
        <v>58</v>
      </c>
      <c r="C30" s="40" t="s">
        <v>59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9" ht="15.75" customHeight="1">
      <c r="A31" s="41" t="s">
        <v>26</v>
      </c>
      <c r="B31" s="42" t="s">
        <v>60</v>
      </c>
      <c r="C31" s="42" t="s">
        <v>195</v>
      </c>
      <c r="D31" s="1"/>
      <c r="E31" s="1"/>
      <c r="F31" s="1"/>
      <c r="G31" s="1"/>
      <c r="H31" s="1"/>
      <c r="I31" s="1"/>
      <c r="J31" s="1"/>
      <c r="K31" s="1"/>
      <c r="L31" s="1" t="s">
        <v>196</v>
      </c>
      <c r="M31" s="1"/>
      <c r="N31" s="1"/>
      <c r="O31" s="1"/>
      <c r="P31" s="1"/>
      <c r="Q31" s="1"/>
    </row>
    <row r="32" spans="1:19" ht="15.75" customHeight="1">
      <c r="A32" s="20" t="s">
        <v>197</v>
      </c>
      <c r="B32" s="43">
        <v>35.700000000000003</v>
      </c>
      <c r="C32" s="43">
        <v>-74.599999999999994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>
      <c r="A33" s="20" t="s">
        <v>198</v>
      </c>
      <c r="B33" s="43">
        <v>52.49</v>
      </c>
      <c r="C33" s="43">
        <v>-84</v>
      </c>
      <c r="D33" s="1"/>
      <c r="E33" s="1"/>
      <c r="F33" s="3" t="s">
        <v>64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>
      <c r="A34" s="20" t="s">
        <v>199</v>
      </c>
      <c r="B34" s="43">
        <v>73.599999999999994</v>
      </c>
      <c r="C34" s="43">
        <f>-103.85</f>
        <v>-103.85</v>
      </c>
      <c r="D34" s="1"/>
      <c r="E34" s="1"/>
      <c r="F34" s="4"/>
      <c r="G34" s="4"/>
      <c r="H34" s="4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>
      <c r="A35" s="20" t="s">
        <v>200</v>
      </c>
      <c r="B35" s="43">
        <v>98.49</v>
      </c>
      <c r="C35" s="43">
        <f>-125.77</f>
        <v>-125.77</v>
      </c>
      <c r="D35" s="1"/>
      <c r="E35" s="7"/>
      <c r="F35" s="44" t="s">
        <v>67</v>
      </c>
      <c r="G35" s="44" t="s">
        <v>68</v>
      </c>
      <c r="H35" s="45" t="s">
        <v>69</v>
      </c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>
      <c r="A36" s="20" t="s">
        <v>201</v>
      </c>
      <c r="B36" s="43">
        <v>120.04</v>
      </c>
      <c r="C36" s="43">
        <f>-146.36</f>
        <v>-146.36000000000001</v>
      </c>
      <c r="D36" s="1"/>
      <c r="E36" s="7" t="s">
        <v>71</v>
      </c>
      <c r="F36" s="43">
        <f>I29*B42*D27/22.4*1000/3600</f>
        <v>1670604.4531250007</v>
      </c>
      <c r="G36" s="46">
        <f>(J22*C45/1+J21*C46/1+J20*C47/1+J19*C48/1+J18*C49/1)/22.4*(1000/3600)*1000</f>
        <v>9259427.3437500056</v>
      </c>
      <c r="H36" s="47">
        <f>F36+G36</f>
        <v>10930031.796875006</v>
      </c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>
      <c r="A37" s="20" t="s">
        <v>202</v>
      </c>
      <c r="B37" s="43">
        <v>29.38</v>
      </c>
      <c r="C37" s="43">
        <f>0</f>
        <v>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>
      <c r="A38" s="20" t="s">
        <v>203</v>
      </c>
      <c r="B38" s="43">
        <v>37.14</v>
      </c>
      <c r="C38" s="43">
        <f>-393.51</f>
        <v>-393.51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>
      <c r="A39" s="20" t="s">
        <v>204</v>
      </c>
      <c r="B39" s="43">
        <v>33.6</v>
      </c>
      <c r="C39" s="43">
        <f>-241.83</f>
        <v>-241.83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>
      <c r="A40" s="20" t="s">
        <v>205</v>
      </c>
      <c r="B40" s="43">
        <v>29.12</v>
      </c>
      <c r="C40" s="43">
        <f>0</f>
        <v>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>
      <c r="A41" s="4"/>
      <c r="B41" s="48"/>
      <c r="C41" s="2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>
      <c r="A42" s="49" t="s">
        <v>206</v>
      </c>
      <c r="B42" s="47">
        <f>B32*E18+B33*E19+B34*E20+B35*E21+B36*E22+B37*E23+B38*E24+B39*E25+B40*E26</f>
        <v>30.39312873096447</v>
      </c>
      <c r="C42" s="50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>
      <c r="A43" s="49" t="s">
        <v>207</v>
      </c>
      <c r="B43" s="47">
        <f>B32*H18+B33*H19+B34*H20+B35*H21+B36*H22+B37*H23+B38*H24+B39*H25+B40*H26</f>
        <v>30.854141281722839</v>
      </c>
      <c r="C43" s="5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>
      <c r="A44" s="1"/>
      <c r="B44" s="52"/>
      <c r="C44" s="4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>
      <c r="A45" s="7"/>
      <c r="B45" s="53" t="s">
        <v>78</v>
      </c>
      <c r="C45" s="47">
        <f>((5*C38+6*C39)-(C36+8*C37))</f>
        <v>-3272.1699999999996</v>
      </c>
      <c r="D45" s="1" t="s">
        <v>79</v>
      </c>
      <c r="E45" s="1"/>
      <c r="F45" s="1"/>
      <c r="G45" s="1"/>
      <c r="H45" s="1"/>
      <c r="I45" s="1"/>
      <c r="J45" s="1"/>
      <c r="K45" s="4"/>
      <c r="L45" s="54" t="s">
        <v>8</v>
      </c>
      <c r="M45" s="54" t="s">
        <v>80</v>
      </c>
      <c r="N45" s="1"/>
      <c r="O45" s="1"/>
      <c r="P45" s="1"/>
      <c r="Q45" s="1"/>
    </row>
    <row r="46" spans="1:17" ht="15.75" customHeight="1">
      <c r="A46" s="7"/>
      <c r="B46" s="53" t="s">
        <v>81</v>
      </c>
      <c r="C46" s="47">
        <f>((4*C38+5*C39)-(1*C35))</f>
        <v>-2657.42</v>
      </c>
      <c r="D46" s="1" t="s">
        <v>79</v>
      </c>
      <c r="E46" s="1"/>
      <c r="F46" s="1"/>
      <c r="G46" s="1"/>
      <c r="H46" s="1"/>
      <c r="I46" s="1"/>
      <c r="J46" s="7"/>
      <c r="K46" s="55" t="s">
        <v>82</v>
      </c>
      <c r="L46" s="10">
        <v>0.8</v>
      </c>
      <c r="M46" s="43">
        <v>35.700000000000003</v>
      </c>
      <c r="N46" s="1"/>
      <c r="O46" s="1"/>
      <c r="P46" s="1"/>
      <c r="Q46" s="1"/>
    </row>
    <row r="47" spans="1:17" ht="15.75" customHeight="1">
      <c r="A47" s="7"/>
      <c r="B47" s="53" t="s">
        <v>83</v>
      </c>
      <c r="C47" s="47">
        <f>((3*C38+4*C39)-(1*C34))</f>
        <v>-2044</v>
      </c>
      <c r="D47" s="1" t="s">
        <v>79</v>
      </c>
      <c r="E47" s="1"/>
      <c r="F47" s="1"/>
      <c r="G47" s="1"/>
      <c r="H47" s="1"/>
      <c r="I47" s="1"/>
      <c r="J47" s="7"/>
      <c r="K47" s="55" t="s">
        <v>84</v>
      </c>
      <c r="L47" s="10">
        <v>0.03</v>
      </c>
      <c r="M47" s="43">
        <v>52.49</v>
      </c>
      <c r="N47" s="1"/>
      <c r="O47" s="1"/>
      <c r="P47" s="1"/>
      <c r="Q47" s="1"/>
    </row>
    <row r="48" spans="1:17" ht="15.75" customHeight="1">
      <c r="A48" s="7"/>
      <c r="B48" s="53" t="s">
        <v>85</v>
      </c>
      <c r="C48" s="47">
        <f>((2*C38+3*C39)-(C33))</f>
        <v>-1428.51</v>
      </c>
      <c r="D48" s="1" t="s">
        <v>79</v>
      </c>
      <c r="E48" s="1"/>
      <c r="F48" s="1"/>
      <c r="G48" s="1"/>
      <c r="H48" s="1"/>
      <c r="I48" s="1"/>
      <c r="J48" s="7"/>
      <c r="K48" s="55" t="s">
        <v>86</v>
      </c>
      <c r="L48" s="10">
        <v>0.04</v>
      </c>
      <c r="M48" s="43">
        <v>73.599999999999994</v>
      </c>
      <c r="N48" s="1"/>
      <c r="O48" s="1"/>
      <c r="P48" s="1"/>
      <c r="Q48" s="1"/>
    </row>
    <row r="49" spans="1:17" ht="15.75" customHeight="1">
      <c r="A49" s="7"/>
      <c r="B49" s="53" t="s">
        <v>87</v>
      </c>
      <c r="C49" s="47">
        <f>((1*C38+2*C39)-(1*C32))</f>
        <v>-802.57</v>
      </c>
      <c r="D49" s="1" t="s">
        <v>79</v>
      </c>
      <c r="E49" s="1"/>
      <c r="F49" s="1"/>
      <c r="G49" s="1"/>
      <c r="H49" s="1"/>
      <c r="I49" s="1"/>
      <c r="J49" s="7"/>
      <c r="K49" s="55" t="s">
        <v>88</v>
      </c>
      <c r="L49" s="10">
        <v>0.05</v>
      </c>
      <c r="M49" s="43">
        <v>98.49</v>
      </c>
      <c r="N49" s="5" t="s">
        <v>89</v>
      </c>
      <c r="O49" s="1"/>
      <c r="P49" s="1"/>
      <c r="Q49" s="1"/>
    </row>
    <row r="50" spans="1:17" ht="15.75" customHeight="1">
      <c r="A50" s="1"/>
      <c r="B50" s="24"/>
      <c r="C50" s="24"/>
      <c r="D50" s="1"/>
      <c r="E50" s="1"/>
      <c r="F50" s="1"/>
      <c r="G50" s="1"/>
      <c r="H50" s="1"/>
      <c r="I50" s="1"/>
      <c r="J50" s="7"/>
      <c r="K50" s="55" t="s">
        <v>90</v>
      </c>
      <c r="L50" s="10">
        <v>3.0000000000000001E-3</v>
      </c>
      <c r="M50" s="43">
        <v>120.04</v>
      </c>
      <c r="N50" s="56">
        <f>L46*M46+L47*M47+L48*M48+L49*M49+L50*M50+L51*M51</f>
        <v>40.605560000000004</v>
      </c>
      <c r="O50" s="1"/>
      <c r="P50" s="1"/>
      <c r="Q50" s="1"/>
    </row>
    <row r="51" spans="1:17" ht="15.75" customHeight="1">
      <c r="A51" s="1"/>
      <c r="B51" s="1"/>
      <c r="C51" s="1"/>
      <c r="D51" s="1"/>
      <c r="E51" s="1"/>
      <c r="F51" s="1"/>
      <c r="G51" s="4"/>
      <c r="H51" s="1"/>
      <c r="I51" s="1"/>
      <c r="J51" s="7"/>
      <c r="K51" s="55" t="s">
        <v>19</v>
      </c>
      <c r="L51" s="6">
        <f>1-(L46+L47+L48+L49+L50)</f>
        <v>7.6999999999999846E-2</v>
      </c>
      <c r="M51" s="43">
        <v>29.12</v>
      </c>
      <c r="N51" s="1"/>
      <c r="O51" s="1"/>
      <c r="P51" s="1"/>
      <c r="Q51" s="1"/>
    </row>
    <row r="52" spans="1:17" ht="15.75" customHeight="1">
      <c r="A52" s="3" t="s">
        <v>91</v>
      </c>
      <c r="B52" s="1"/>
      <c r="C52" s="1"/>
      <c r="D52" s="1"/>
      <c r="E52" s="37" t="s">
        <v>92</v>
      </c>
      <c r="F52" s="7"/>
      <c r="G52" s="15">
        <f>E6*(1-I6)</f>
        <v>5950</v>
      </c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29.25" customHeight="1">
      <c r="A53" s="1"/>
      <c r="B53" s="1"/>
      <c r="C53" s="1"/>
      <c r="D53" s="119" t="s">
        <v>93</v>
      </c>
      <c r="E53" s="118"/>
      <c r="F53" s="118"/>
      <c r="G53" s="118"/>
      <c r="H53" s="118"/>
      <c r="I53" s="118"/>
      <c r="J53" s="1"/>
      <c r="K53" s="1"/>
      <c r="L53" s="1"/>
      <c r="M53" s="1"/>
      <c r="N53" s="1"/>
      <c r="O53" s="1"/>
      <c r="P53" s="1"/>
      <c r="Q53" s="1"/>
    </row>
    <row r="54" spans="1:17" ht="15.75" customHeight="1">
      <c r="A54" s="4"/>
      <c r="B54" s="4"/>
      <c r="C54" s="4"/>
      <c r="D54" s="4"/>
      <c r="E54" s="4"/>
      <c r="F54" s="4"/>
      <c r="G54" s="4"/>
      <c r="H54" s="4"/>
      <c r="I54" s="57">
        <v>22.4</v>
      </c>
      <c r="J54" s="4"/>
      <c r="K54" s="58" t="s">
        <v>94</v>
      </c>
      <c r="L54" s="58" t="s">
        <v>95</v>
      </c>
      <c r="M54" s="58" t="s">
        <v>96</v>
      </c>
      <c r="N54" s="1"/>
      <c r="O54" s="1"/>
      <c r="P54" s="1"/>
      <c r="Q54" s="1"/>
    </row>
    <row r="55" spans="1:17" ht="15.75" customHeight="1">
      <c r="A55" s="59" t="s">
        <v>26</v>
      </c>
      <c r="B55" s="44" t="s">
        <v>27</v>
      </c>
      <c r="C55" s="44" t="s">
        <v>28</v>
      </c>
      <c r="D55" s="44" t="s">
        <v>29</v>
      </c>
      <c r="E55" s="44" t="s">
        <v>30</v>
      </c>
      <c r="F55" s="44" t="s">
        <v>31</v>
      </c>
      <c r="G55" s="44" t="s">
        <v>32</v>
      </c>
      <c r="H55" s="44" t="s">
        <v>33</v>
      </c>
      <c r="I55" s="44" t="s">
        <v>34</v>
      </c>
      <c r="J55" s="44" t="s">
        <v>35</v>
      </c>
      <c r="K55" s="44" t="s">
        <v>97</v>
      </c>
      <c r="L55" s="44" t="s">
        <v>98</v>
      </c>
      <c r="M55" s="44" t="s">
        <v>99</v>
      </c>
      <c r="N55" s="1"/>
      <c r="O55" s="1"/>
      <c r="P55" s="1"/>
      <c r="Q55" s="1"/>
    </row>
    <row r="56" spans="1:17" ht="15.75" customHeight="1">
      <c r="A56" s="20" t="s">
        <v>208</v>
      </c>
      <c r="B56" s="61">
        <v>16</v>
      </c>
      <c r="C56" s="21">
        <f>D56/I54*B56</f>
        <v>3585.25</v>
      </c>
      <c r="D56" s="43">
        <f>G52*L46+G18</f>
        <v>5019.3499999999995</v>
      </c>
      <c r="E56" s="22">
        <f>D56/D67</f>
        <v>0.31483490980254403</v>
      </c>
      <c r="F56" s="21">
        <f t="shared" ref="F56:G65" si="7">C56+I56</f>
        <v>3335</v>
      </c>
      <c r="G56" s="21">
        <f t="shared" si="7"/>
        <v>4668.9999999999991</v>
      </c>
      <c r="H56" s="22">
        <f>G56/G67</f>
        <v>0.21856721210943805</v>
      </c>
      <c r="I56" s="21">
        <f>J56/I54*B56</f>
        <v>-250.25000000000003</v>
      </c>
      <c r="J56" s="43">
        <f t="shared" ref="J56:J66" si="8">SUM(K56:M56)</f>
        <v>-350.35</v>
      </c>
      <c r="K56" s="21">
        <v>0</v>
      </c>
      <c r="L56" s="21">
        <v>-350.35</v>
      </c>
      <c r="M56" s="21">
        <v>0</v>
      </c>
      <c r="N56" s="1"/>
      <c r="O56" s="1"/>
      <c r="P56" s="1"/>
      <c r="Q56" s="24"/>
    </row>
    <row r="57" spans="1:17" ht="15.75" customHeight="1">
      <c r="A57" s="20" t="s">
        <v>209</v>
      </c>
      <c r="B57" s="61">
        <v>30</v>
      </c>
      <c r="C57" s="21">
        <f>D57/I54*B57</f>
        <v>239.06250000000003</v>
      </c>
      <c r="D57" s="43">
        <f>G52*L47</f>
        <v>178.5</v>
      </c>
      <c r="E57" s="22">
        <f>D57/D67</f>
        <v>1.1196276689163759E-2</v>
      </c>
      <c r="F57" s="21">
        <f t="shared" si="7"/>
        <v>0</v>
      </c>
      <c r="G57" s="21">
        <f t="shared" si="7"/>
        <v>0</v>
      </c>
      <c r="H57" s="22">
        <f>G57/G67</f>
        <v>0</v>
      </c>
      <c r="I57" s="21">
        <f>J57/I54*B57</f>
        <v>-239.06250000000003</v>
      </c>
      <c r="J57" s="43">
        <f t="shared" si="8"/>
        <v>-178.5</v>
      </c>
      <c r="K57" s="21">
        <v>0</v>
      </c>
      <c r="L57" s="21">
        <f>-D57</f>
        <v>-178.5</v>
      </c>
      <c r="M57" s="21">
        <v>0</v>
      </c>
      <c r="N57" s="1"/>
      <c r="O57" s="1"/>
      <c r="P57" s="1"/>
      <c r="Q57" s="24"/>
    </row>
    <row r="58" spans="1:17" ht="15.75" customHeight="1">
      <c r="A58" s="20" t="s">
        <v>210</v>
      </c>
      <c r="B58" s="61">
        <v>44</v>
      </c>
      <c r="C58" s="21">
        <f>D58/I54*B58</f>
        <v>467.5</v>
      </c>
      <c r="D58" s="43">
        <f>G52*L48</f>
        <v>238</v>
      </c>
      <c r="E58" s="22">
        <f>D58/D67</f>
        <v>1.4928368918885011E-2</v>
      </c>
      <c r="F58" s="21">
        <f t="shared" si="7"/>
        <v>0</v>
      </c>
      <c r="G58" s="21">
        <f t="shared" si="7"/>
        <v>0</v>
      </c>
      <c r="H58" s="22">
        <f>G58/G67</f>
        <v>0</v>
      </c>
      <c r="I58" s="21">
        <f>J58/I54*B58</f>
        <v>-467.5</v>
      </c>
      <c r="J58" s="43">
        <f t="shared" si="8"/>
        <v>-238</v>
      </c>
      <c r="K58" s="21">
        <f>-425.95/3</f>
        <v>-141.98333333333332</v>
      </c>
      <c r="L58" s="21">
        <f>-D58-K58</f>
        <v>-96.01666666666668</v>
      </c>
      <c r="M58" s="21">
        <v>0</v>
      </c>
      <c r="N58" s="1"/>
      <c r="O58" s="1"/>
      <c r="P58" s="1"/>
      <c r="Q58" s="24"/>
    </row>
    <row r="59" spans="1:17" ht="15.75" customHeight="1" thickTop="1" thickBot="1">
      <c r="A59" s="20" t="s">
        <v>211</v>
      </c>
      <c r="B59" s="61">
        <v>58</v>
      </c>
      <c r="C59" s="21">
        <f>D59/I54*B59</f>
        <v>770.3125</v>
      </c>
      <c r="D59" s="43">
        <f>G52*L49</f>
        <v>297.5</v>
      </c>
      <c r="E59" s="22">
        <f>D59/D67</f>
        <v>1.8660461148606262E-2</v>
      </c>
      <c r="F59" s="21">
        <f t="shared" si="7"/>
        <v>0</v>
      </c>
      <c r="G59" s="21">
        <f t="shared" si="7"/>
        <v>0</v>
      </c>
      <c r="H59" s="22">
        <f>G59/G67</f>
        <v>0</v>
      </c>
      <c r="I59" s="21">
        <f>J59/I54*B59</f>
        <v>-770.3125</v>
      </c>
      <c r="J59" s="43">
        <f t="shared" si="8"/>
        <v>-297.5</v>
      </c>
      <c r="K59" s="21">
        <f>-D59</f>
        <v>-297.5</v>
      </c>
      <c r="L59" s="21">
        <v>0</v>
      </c>
      <c r="M59" s="21"/>
      <c r="N59" s="1"/>
      <c r="O59" s="1"/>
      <c r="P59" s="1"/>
      <c r="Q59" s="24"/>
    </row>
    <row r="60" spans="1:17" ht="15.75" customHeight="1" thickTop="1" thickBot="1">
      <c r="A60" s="20" t="s">
        <v>212</v>
      </c>
      <c r="B60" s="61">
        <v>72</v>
      </c>
      <c r="C60" s="21">
        <f>D60/I54*B60</f>
        <v>57.375000000000007</v>
      </c>
      <c r="D60" s="43">
        <f>G52*L50</f>
        <v>17.850000000000001</v>
      </c>
      <c r="E60" s="22">
        <f>D60/D67</f>
        <v>1.1196276689163758E-3</v>
      </c>
      <c r="F60" s="21">
        <f t="shared" si="7"/>
        <v>0</v>
      </c>
      <c r="G60" s="21">
        <f>D60+L60</f>
        <v>17.850000000000001</v>
      </c>
      <c r="H60" s="22">
        <f>G60/G67</f>
        <v>8.356017854258879E-4</v>
      </c>
      <c r="I60" s="21">
        <f>J60/I54*B60</f>
        <v>-57.375000000000007</v>
      </c>
      <c r="J60" s="43">
        <f t="shared" si="8"/>
        <v>-17.850000000000001</v>
      </c>
      <c r="K60" s="21">
        <f>-D60</f>
        <v>-17.850000000000001</v>
      </c>
      <c r="L60" s="21">
        <v>0</v>
      </c>
      <c r="M60" s="21">
        <v>0</v>
      </c>
      <c r="N60" s="1"/>
      <c r="O60" s="1"/>
      <c r="P60" s="1"/>
      <c r="Q60" s="24"/>
    </row>
    <row r="61" spans="1:17" ht="15.75" customHeight="1" thickTop="1" thickBot="1">
      <c r="A61" s="20" t="s">
        <v>213</v>
      </c>
      <c r="B61" s="61">
        <v>32</v>
      </c>
      <c r="C61" s="21">
        <f>D61</f>
        <v>0</v>
      </c>
      <c r="D61" s="43">
        <v>0</v>
      </c>
      <c r="E61" s="22">
        <f>D61</f>
        <v>0</v>
      </c>
      <c r="F61" s="21">
        <f t="shared" si="7"/>
        <v>0</v>
      </c>
      <c r="G61" s="21">
        <f>J61</f>
        <v>0</v>
      </c>
      <c r="H61" s="22">
        <f>G61/G67</f>
        <v>0</v>
      </c>
      <c r="I61" s="21">
        <f>0</f>
        <v>0</v>
      </c>
      <c r="J61" s="43">
        <f>SUM(K61:M61)</f>
        <v>0</v>
      </c>
      <c r="K61" s="21">
        <v>0</v>
      </c>
      <c r="L61" s="21">
        <v>0</v>
      </c>
      <c r="M61" s="21">
        <v>0</v>
      </c>
      <c r="N61" s="1"/>
      <c r="O61" s="1"/>
      <c r="P61" s="1"/>
      <c r="Q61" s="24"/>
    </row>
    <row r="62" spans="1:17" ht="15.75" customHeight="1" thickTop="1" thickBot="1">
      <c r="A62" s="20" t="s">
        <v>214</v>
      </c>
      <c r="B62" s="61">
        <v>44</v>
      </c>
      <c r="C62" s="21">
        <f>D62/I54*B62</f>
        <v>1955.2500000000007</v>
      </c>
      <c r="D62" s="43">
        <f t="shared" ref="D62:D63" si="9">G24</f>
        <v>995.4000000000002</v>
      </c>
      <c r="E62" s="22">
        <f>D62/D67</f>
        <v>6.2435707654866147E-2</v>
      </c>
      <c r="F62" s="21">
        <f t="shared" si="7"/>
        <v>0</v>
      </c>
      <c r="G62" s="21">
        <f t="shared" ref="G62:G63" si="10">J62+D62</f>
        <v>0</v>
      </c>
      <c r="H62" s="22">
        <f>G62/G67</f>
        <v>0</v>
      </c>
      <c r="I62" s="21">
        <f>J62/I54*B62</f>
        <v>-1955.2500000000002</v>
      </c>
      <c r="J62" s="43">
        <f t="shared" si="8"/>
        <v>-995.40000000000009</v>
      </c>
      <c r="K62" s="21">
        <v>0</v>
      </c>
      <c r="L62" s="21">
        <f>L58*3+L57*2+L56</f>
        <v>-995.40000000000009</v>
      </c>
      <c r="M62" s="21"/>
      <c r="N62" s="1"/>
      <c r="O62" s="1"/>
      <c r="P62" s="1"/>
      <c r="Q62" s="24"/>
    </row>
    <row r="63" spans="1:17" ht="15.75" customHeight="1">
      <c r="A63" s="20" t="s">
        <v>215</v>
      </c>
      <c r="B63" s="61">
        <v>18</v>
      </c>
      <c r="C63" s="21">
        <f>D63/I54*B63</f>
        <v>1370.2500000000002</v>
      </c>
      <c r="D63" s="43">
        <f t="shared" si="9"/>
        <v>1705.2000000000003</v>
      </c>
      <c r="E63" s="22">
        <f>D63/D67</f>
        <v>0.10695737260707028</v>
      </c>
      <c r="F63" s="21">
        <f t="shared" si="7"/>
        <v>0</v>
      </c>
      <c r="G63" s="21">
        <f t="shared" si="10"/>
        <v>0</v>
      </c>
      <c r="H63" s="22">
        <f>G63/G67</f>
        <v>0</v>
      </c>
      <c r="I63" s="21">
        <f>J63/I54*B63</f>
        <v>-1370.25</v>
      </c>
      <c r="J63" s="43">
        <f t="shared" si="8"/>
        <v>-1705.1999999999998</v>
      </c>
      <c r="K63" s="21">
        <f>K60*5+K59*4+K58*3</f>
        <v>-1705.1999999999998</v>
      </c>
      <c r="L63" s="21">
        <v>0</v>
      </c>
      <c r="M63" s="21">
        <v>0</v>
      </c>
      <c r="N63" s="1"/>
      <c r="O63" s="1"/>
      <c r="P63" s="1"/>
      <c r="Q63" s="24"/>
    </row>
    <row r="64" spans="1:17" ht="15.75" customHeight="1">
      <c r="A64" s="20" t="s">
        <v>108</v>
      </c>
      <c r="B64" s="61">
        <v>28</v>
      </c>
      <c r="C64" s="21">
        <v>0</v>
      </c>
      <c r="D64" s="43">
        <v>0</v>
      </c>
      <c r="E64" s="22">
        <f t="shared" ref="E64:E65" si="11">D64</f>
        <v>0</v>
      </c>
      <c r="F64" s="21">
        <f t="shared" si="7"/>
        <v>4620</v>
      </c>
      <c r="G64" s="21">
        <f t="shared" ref="G64:G65" si="12">J64</f>
        <v>3696</v>
      </c>
      <c r="H64" s="22">
        <f>G64/G67</f>
        <v>0.1730187226293603</v>
      </c>
      <c r="I64" s="21">
        <f>J64/I54*B64</f>
        <v>4620</v>
      </c>
      <c r="J64" s="43">
        <f t="shared" si="8"/>
        <v>3696</v>
      </c>
      <c r="K64" s="21">
        <f>-K60*5-K59*4-K58*3</f>
        <v>1705.1999999999998</v>
      </c>
      <c r="L64" s="21">
        <f>-L58*6-L57*4-L56*2</f>
        <v>1990.8000000000002</v>
      </c>
      <c r="M64" s="21"/>
      <c r="N64" s="1"/>
      <c r="O64" s="1"/>
      <c r="P64" s="1"/>
      <c r="Q64" s="24"/>
    </row>
    <row r="65" spans="1:17" ht="15.75" customHeight="1">
      <c r="A65" s="20" t="s">
        <v>216</v>
      </c>
      <c r="B65" s="61">
        <v>2</v>
      </c>
      <c r="C65" s="21">
        <v>0</v>
      </c>
      <c r="D65" s="43">
        <v>0</v>
      </c>
      <c r="E65" s="22">
        <f t="shared" si="11"/>
        <v>0</v>
      </c>
      <c r="F65" s="21">
        <f t="shared" si="7"/>
        <v>490.00000000000006</v>
      </c>
      <c r="G65" s="21">
        <f t="shared" si="12"/>
        <v>5488</v>
      </c>
      <c r="H65" s="22">
        <f>G65/G67</f>
        <v>0.25690658814662587</v>
      </c>
      <c r="I65" s="21">
        <f>J65/I54*B65</f>
        <v>490.00000000000006</v>
      </c>
      <c r="J65" s="43">
        <f t="shared" si="8"/>
        <v>5488</v>
      </c>
      <c r="K65" s="21">
        <f>-K60*11-K59*9-K58*7</f>
        <v>3867.7333333333331</v>
      </c>
      <c r="L65" s="21">
        <f>-L58*4-L57*3-L56*2</f>
        <v>1620.2666666666669</v>
      </c>
      <c r="M65" s="21">
        <v>0</v>
      </c>
      <c r="N65" s="1"/>
      <c r="O65" s="1"/>
      <c r="P65" s="1"/>
      <c r="Q65" s="24"/>
    </row>
    <row r="66" spans="1:17" ht="15.75" customHeight="1">
      <c r="A66" s="20" t="s">
        <v>217</v>
      </c>
      <c r="B66" s="61">
        <v>28</v>
      </c>
      <c r="C66" s="21">
        <f>D66/I54*B66</f>
        <v>9363.7500000000018</v>
      </c>
      <c r="D66" s="43">
        <f>G52*L51+G26</f>
        <v>7491.0000000000009</v>
      </c>
      <c r="E66" s="22">
        <f>D66/D67</f>
        <v>0.46986727550994806</v>
      </c>
      <c r="F66" s="21">
        <f>I66+C66</f>
        <v>9363.7500000000018</v>
      </c>
      <c r="G66" s="21">
        <f>D66+J66</f>
        <v>7491.0000000000009</v>
      </c>
      <c r="H66" s="22">
        <f>G66/G67</f>
        <v>0.35067187532914995</v>
      </c>
      <c r="I66" s="21">
        <v>0</v>
      </c>
      <c r="J66" s="43">
        <f t="shared" si="8"/>
        <v>0</v>
      </c>
      <c r="K66" s="21">
        <v>0</v>
      </c>
      <c r="L66" s="21">
        <v>0</v>
      </c>
      <c r="M66" s="21">
        <v>0</v>
      </c>
      <c r="N66" s="1"/>
      <c r="O66" s="1"/>
      <c r="P66" s="1"/>
      <c r="Q66" s="24"/>
    </row>
    <row r="67" spans="1:17" ht="15.75" customHeight="1">
      <c r="A67" s="33" t="s">
        <v>54</v>
      </c>
      <c r="B67" s="15"/>
      <c r="C67" s="62">
        <f t="shared" ref="C67:H67" si="13">SUM(C56:C66)</f>
        <v>17808.750000000004</v>
      </c>
      <c r="D67" s="43">
        <f t="shared" si="13"/>
        <v>15942.800000000003</v>
      </c>
      <c r="E67" s="22">
        <f t="shared" si="13"/>
        <v>1</v>
      </c>
      <c r="F67" s="62">
        <f t="shared" si="13"/>
        <v>17808.75</v>
      </c>
      <c r="G67" s="21">
        <f t="shared" si="13"/>
        <v>21361.85</v>
      </c>
      <c r="H67" s="22">
        <f t="shared" si="13"/>
        <v>1</v>
      </c>
      <c r="I67" s="21">
        <f>SUM(I56:I66)</f>
        <v>5.6843418860808015E-14</v>
      </c>
      <c r="J67" s="21">
        <f>SUM(J56:J66)</f>
        <v>5401.2000000000007</v>
      </c>
      <c r="K67" s="21">
        <f>SUM(K56:K66)</f>
        <v>3410.3999999999996</v>
      </c>
      <c r="L67" s="21">
        <f>SUM(L56:L66)</f>
        <v>1990.8000000000002</v>
      </c>
      <c r="M67" s="21">
        <f>SUM(M65:M66)</f>
        <v>0</v>
      </c>
      <c r="N67" s="1"/>
      <c r="O67" s="1"/>
      <c r="P67" s="1"/>
      <c r="Q67" s="24"/>
    </row>
    <row r="68" spans="1:17" ht="15.75" customHeight="1">
      <c r="A68" s="1"/>
      <c r="B68" s="1"/>
      <c r="C68" s="24"/>
      <c r="D68" s="24"/>
      <c r="E68" s="1"/>
      <c r="F68" s="1"/>
      <c r="G68" s="1"/>
      <c r="H68" s="1"/>
      <c r="I68" s="4"/>
      <c r="J68" s="1"/>
      <c r="K68" s="1"/>
      <c r="L68" s="1"/>
      <c r="M68" s="1"/>
      <c r="N68" s="1"/>
      <c r="O68" s="1"/>
      <c r="P68" s="1"/>
      <c r="Q68" s="1"/>
    </row>
    <row r="69" spans="1:17" ht="15.75" customHeight="1">
      <c r="A69" s="1"/>
      <c r="B69" s="4"/>
      <c r="C69" s="4"/>
      <c r="D69" s="4"/>
      <c r="E69" s="1"/>
      <c r="F69" s="1"/>
      <c r="G69" s="63" t="s">
        <v>111</v>
      </c>
      <c r="H69" s="7"/>
      <c r="I69" s="43">
        <f>G65/G64</f>
        <v>1.4848484848484849</v>
      </c>
      <c r="J69" s="1"/>
      <c r="K69" s="1"/>
      <c r="L69" s="1"/>
      <c r="M69" s="1"/>
      <c r="N69" s="1"/>
      <c r="O69" s="1"/>
      <c r="P69" s="1"/>
      <c r="Q69" s="1"/>
    </row>
    <row r="70" spans="1:17" ht="15.75" customHeight="1">
      <c r="A70" s="7"/>
      <c r="B70" s="89" t="s">
        <v>113</v>
      </c>
      <c r="C70" s="15"/>
      <c r="D70" s="15">
        <v>9</v>
      </c>
      <c r="E70" s="1" t="s">
        <v>114</v>
      </c>
      <c r="F70" s="65">
        <v>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>
      <c r="A71" s="66" t="s">
        <v>94</v>
      </c>
      <c r="B71" s="89" t="s">
        <v>115</v>
      </c>
      <c r="C71" s="4"/>
      <c r="D71" s="15">
        <v>7</v>
      </c>
      <c r="E71" s="112" t="s">
        <v>114</v>
      </c>
      <c r="F71" s="65">
        <v>7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>
      <c r="A72" s="7"/>
      <c r="B72" s="89" t="s">
        <v>117</v>
      </c>
      <c r="C72" s="4"/>
      <c r="D72" s="15">
        <v>5</v>
      </c>
      <c r="E72" s="1" t="s">
        <v>116</v>
      </c>
      <c r="F72" s="65">
        <v>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>
      <c r="A73" s="7"/>
      <c r="B73" s="89" t="s">
        <v>120</v>
      </c>
      <c r="C73" s="4"/>
      <c r="D73" s="15">
        <v>3</v>
      </c>
      <c r="E73" s="1" t="s">
        <v>116</v>
      </c>
      <c r="F73" s="65">
        <v>3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>
      <c r="A74" s="7"/>
      <c r="B74" s="89" t="s">
        <v>122</v>
      </c>
      <c r="C74" s="4"/>
      <c r="D74" s="15">
        <v>1</v>
      </c>
      <c r="E74" s="1" t="s">
        <v>116</v>
      </c>
      <c r="F74" s="65">
        <v>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>
      <c r="A75" s="7"/>
      <c r="B75" s="15"/>
      <c r="C75" s="15"/>
      <c r="D75" s="15"/>
      <c r="E75" s="1"/>
      <c r="F75" s="6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>
      <c r="A76" s="7"/>
      <c r="B76" s="89" t="s">
        <v>125</v>
      </c>
      <c r="C76" s="4"/>
      <c r="D76" s="15">
        <v>10</v>
      </c>
      <c r="E76" s="1" t="s">
        <v>116</v>
      </c>
      <c r="F76" s="65">
        <v>10</v>
      </c>
      <c r="G76" s="1"/>
      <c r="H76" s="24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>
      <c r="A77" s="66" t="s">
        <v>95</v>
      </c>
      <c r="B77" s="4" t="s">
        <v>128</v>
      </c>
      <c r="C77" s="4"/>
      <c r="D77" s="15">
        <v>8</v>
      </c>
      <c r="E77" s="1" t="s">
        <v>116</v>
      </c>
      <c r="F77" s="65">
        <v>8</v>
      </c>
      <c r="G77" s="1"/>
      <c r="H77" s="1"/>
      <c r="I77" s="1"/>
      <c r="J77" s="1"/>
      <c r="K77" s="24"/>
      <c r="L77" s="1"/>
      <c r="M77" s="24"/>
      <c r="N77" s="1"/>
      <c r="O77" s="1"/>
      <c r="P77" s="1"/>
      <c r="Q77" s="1"/>
    </row>
    <row r="78" spans="1:17" ht="15.75" customHeight="1">
      <c r="A78" s="7"/>
      <c r="B78" s="4" t="s">
        <v>130</v>
      </c>
      <c r="C78" s="4"/>
      <c r="D78" s="15">
        <v>6</v>
      </c>
      <c r="E78" s="112" t="s">
        <v>116</v>
      </c>
      <c r="F78" s="65">
        <v>6</v>
      </c>
      <c r="G78" s="1"/>
      <c r="H78" s="1"/>
      <c r="I78" s="1"/>
      <c r="J78" s="1"/>
      <c r="K78" s="1"/>
      <c r="L78" s="24"/>
      <c r="M78" s="24"/>
      <c r="N78" s="1"/>
      <c r="O78" s="1"/>
      <c r="P78" s="1"/>
      <c r="Q78" s="1"/>
    </row>
    <row r="79" spans="1:17" ht="15.75" customHeight="1">
      <c r="A79" s="7"/>
      <c r="B79" s="4" t="s">
        <v>132</v>
      </c>
      <c r="C79" s="4"/>
      <c r="D79" s="15">
        <v>4</v>
      </c>
      <c r="E79" s="1" t="s">
        <v>114</v>
      </c>
      <c r="F79" s="65">
        <v>4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>
      <c r="A80" s="7"/>
      <c r="B80" s="4" t="s">
        <v>133</v>
      </c>
      <c r="C80" s="4"/>
      <c r="D80" s="15">
        <v>2</v>
      </c>
      <c r="E80" s="1" t="s">
        <v>114</v>
      </c>
      <c r="F80" s="65">
        <v>2</v>
      </c>
      <c r="G80" s="1"/>
      <c r="H80" s="1"/>
      <c r="I80" s="1"/>
      <c r="J80" s="1"/>
      <c r="K80" s="24"/>
      <c r="L80" s="1"/>
      <c r="M80" s="24"/>
      <c r="N80" s="1"/>
      <c r="O80" s="1"/>
      <c r="P80" s="1"/>
      <c r="Q80" s="1"/>
    </row>
    <row r="81" spans="1:17" ht="15.75" customHeight="1">
      <c r="A81" s="7"/>
      <c r="B81" s="15"/>
      <c r="C81" s="15"/>
      <c r="D81" s="1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>
      <c r="A82" s="7"/>
      <c r="B82" s="4" t="s">
        <v>134</v>
      </c>
      <c r="C82" s="4"/>
      <c r="D82" s="15">
        <v>8</v>
      </c>
      <c r="E82" s="1" t="s">
        <v>114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>
      <c r="A83" s="66" t="s">
        <v>96</v>
      </c>
      <c r="B83" s="4" t="s">
        <v>135</v>
      </c>
      <c r="C83" s="4"/>
      <c r="D83" s="15">
        <v>6</v>
      </c>
      <c r="E83" s="1" t="s">
        <v>114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>
      <c r="A84" s="7"/>
      <c r="B84" s="4" t="s">
        <v>136</v>
      </c>
      <c r="C84" s="4"/>
      <c r="D84" s="15">
        <v>2</v>
      </c>
      <c r="E84" s="1" t="s">
        <v>114</v>
      </c>
      <c r="F84" s="1"/>
      <c r="G84" s="1"/>
      <c r="H84" s="1"/>
      <c r="I84" s="1"/>
      <c r="J84" s="1"/>
      <c r="K84" s="1"/>
      <c r="L84" s="1"/>
      <c r="M84" s="1"/>
      <c r="N84" s="24"/>
      <c r="O84" s="24"/>
      <c r="P84" s="24"/>
      <c r="Q84" s="24"/>
    </row>
    <row r="85" spans="1:17" ht="15.75" customHeight="1">
      <c r="A85" s="7"/>
      <c r="B85" s="4" t="s">
        <v>137</v>
      </c>
      <c r="C85" s="4"/>
      <c r="D85" s="15">
        <v>3</v>
      </c>
      <c r="E85" s="1" t="s">
        <v>114</v>
      </c>
      <c r="F85" s="1"/>
      <c r="G85" s="1"/>
      <c r="H85" s="1"/>
      <c r="I85" s="1"/>
      <c r="J85" s="1"/>
      <c r="K85" s="1"/>
      <c r="L85" s="1"/>
      <c r="M85" s="1"/>
      <c r="N85" s="24"/>
      <c r="O85" s="24"/>
      <c r="P85" s="24"/>
      <c r="Q85" s="24"/>
    </row>
    <row r="86" spans="1:17" ht="15.75" customHeight="1">
      <c r="A86" s="7"/>
      <c r="B86" s="89" t="s">
        <v>138</v>
      </c>
      <c r="C86" s="4"/>
      <c r="D86" s="15">
        <v>1</v>
      </c>
      <c r="E86" s="1" t="s">
        <v>114</v>
      </c>
      <c r="F86" s="1"/>
      <c r="G86" s="1"/>
      <c r="H86" s="1"/>
      <c r="I86" s="1"/>
      <c r="J86" s="1"/>
      <c r="K86" s="1"/>
      <c r="L86" s="1"/>
      <c r="M86" s="1"/>
      <c r="N86" s="24"/>
      <c r="O86" s="24"/>
      <c r="P86" s="24"/>
      <c r="Q86" s="24"/>
    </row>
    <row r="87" spans="1:17" ht="15.75" customHeight="1">
      <c r="A87" s="1"/>
      <c r="B87" s="71"/>
      <c r="C87" s="71"/>
      <c r="D87" s="71"/>
      <c r="E87" s="1"/>
      <c r="F87" s="1"/>
      <c r="G87" s="1"/>
      <c r="H87" s="1"/>
      <c r="I87" s="1"/>
      <c r="J87" s="1"/>
      <c r="K87" s="1"/>
      <c r="L87" s="1"/>
      <c r="M87" s="1"/>
      <c r="N87" s="24"/>
      <c r="O87" s="24"/>
      <c r="P87" s="24"/>
      <c r="Q87" s="24"/>
    </row>
    <row r="88" spans="1:17" ht="15.75" customHeight="1">
      <c r="A88" s="72"/>
      <c r="B88" s="72"/>
      <c r="C88" s="51"/>
      <c r="D88" s="50"/>
      <c r="E88" s="1"/>
      <c r="F88" s="117" t="s">
        <v>139</v>
      </c>
      <c r="G88" s="118"/>
      <c r="H88" s="118"/>
      <c r="I88" s="118"/>
      <c r="J88" s="71"/>
      <c r="K88" s="71"/>
      <c r="L88" s="71"/>
      <c r="M88" s="71"/>
      <c r="N88" s="71"/>
      <c r="O88" s="24"/>
      <c r="P88" s="24"/>
      <c r="Q88" s="24"/>
    </row>
    <row r="89" spans="1:17" ht="15.75" customHeight="1">
      <c r="A89" s="4"/>
      <c r="B89" s="39" t="s">
        <v>140</v>
      </c>
      <c r="C89" s="40" t="s">
        <v>59</v>
      </c>
      <c r="D89" s="50"/>
      <c r="E89" s="4"/>
      <c r="F89" s="4"/>
      <c r="G89" s="1"/>
      <c r="H89" s="73"/>
      <c r="I89" s="74"/>
      <c r="J89" s="74"/>
      <c r="K89" s="74"/>
      <c r="L89" s="74"/>
      <c r="M89" s="74"/>
      <c r="N89" s="75"/>
      <c r="O89" s="24"/>
      <c r="P89" s="24"/>
      <c r="Q89" s="24"/>
    </row>
    <row r="90" spans="1:17" ht="15.75" customHeight="1" thickTop="1" thickBot="1">
      <c r="A90" s="76" t="s">
        <v>26</v>
      </c>
      <c r="B90" s="77" t="s">
        <v>60</v>
      </c>
      <c r="C90" s="77" t="s">
        <v>218</v>
      </c>
      <c r="D90" s="78">
        <v>11</v>
      </c>
      <c r="E90" s="37" t="s">
        <v>113</v>
      </c>
      <c r="F90" s="7"/>
      <c r="G90" s="7"/>
      <c r="H90" s="79" t="s">
        <v>142</v>
      </c>
      <c r="I90" s="79" t="s">
        <v>143</v>
      </c>
      <c r="J90" s="79" t="s">
        <v>144</v>
      </c>
      <c r="K90" s="79" t="s">
        <v>145</v>
      </c>
      <c r="L90" s="79" t="s">
        <v>146</v>
      </c>
      <c r="M90" s="79" t="s">
        <v>147</v>
      </c>
      <c r="N90" s="71"/>
      <c r="O90" s="1"/>
      <c r="P90" s="1"/>
      <c r="Q90" s="1"/>
    </row>
    <row r="91" spans="1:17" ht="15.75" customHeight="1" thickTop="1" thickBot="1">
      <c r="A91" s="20" t="s">
        <v>219</v>
      </c>
      <c r="B91" s="43">
        <v>35.700000000000003</v>
      </c>
      <c r="C91" s="43">
        <v>-74.599999999999994</v>
      </c>
      <c r="D91" s="78">
        <v>12</v>
      </c>
      <c r="E91" s="37" t="s">
        <v>115</v>
      </c>
      <c r="F91" s="7"/>
      <c r="G91" s="7"/>
      <c r="H91" s="21">
        <f>H36</f>
        <v>10930031.796875006</v>
      </c>
      <c r="I91" s="109">
        <f>E6*(1-I6)/D13*N50*20*1000/3600</f>
        <v>59921.399305555555</v>
      </c>
      <c r="J91" s="109">
        <f>(K60/D13*C108+K59/D13*C107+K58/D13*C106)*1000/3600*1000</f>
        <v>-3455689.8582175928</v>
      </c>
      <c r="K91" s="109">
        <f>(L56/D13*C109+L57/D13*C110+L58/D13*C111)*1000/3600*1000</f>
        <v>-2762378.1105324076</v>
      </c>
      <c r="L91" s="21">
        <v>0</v>
      </c>
      <c r="M91" s="21">
        <f>H91+I91+J91+K91</f>
        <v>4771885.2274305606</v>
      </c>
      <c r="N91" s="80"/>
      <c r="O91" s="1"/>
      <c r="P91" s="1"/>
      <c r="Q91" s="1"/>
    </row>
    <row r="92" spans="1:17" ht="15.75" customHeight="1" thickTop="1" thickBot="1">
      <c r="A92" s="20" t="s">
        <v>220</v>
      </c>
      <c r="B92" s="43">
        <v>52.49</v>
      </c>
      <c r="C92" s="43">
        <v>-84</v>
      </c>
      <c r="D92" s="78">
        <v>13</v>
      </c>
      <c r="E92" s="37" t="s">
        <v>117</v>
      </c>
      <c r="F92" s="7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thickTop="1" thickBot="1">
      <c r="A93" s="20" t="s">
        <v>221</v>
      </c>
      <c r="B93" s="43">
        <v>73.599999999999994</v>
      </c>
      <c r="C93" s="43">
        <f>-103.85</f>
        <v>-103.85</v>
      </c>
      <c r="D93" s="78">
        <v>14</v>
      </c>
      <c r="E93" s="37" t="s">
        <v>120</v>
      </c>
      <c r="F93" s="7"/>
      <c r="G93" s="1"/>
      <c r="H93" s="4"/>
      <c r="I93" s="4"/>
      <c r="J93" s="1"/>
      <c r="K93" s="1"/>
      <c r="L93" s="1"/>
      <c r="M93" s="1"/>
      <c r="N93" s="1"/>
      <c r="O93" s="1"/>
      <c r="P93" s="1"/>
      <c r="Q93" s="1"/>
    </row>
    <row r="94" spans="1:17" ht="15.75" customHeight="1" thickTop="1" thickBot="1">
      <c r="A94" s="20" t="s">
        <v>222</v>
      </c>
      <c r="B94" s="43">
        <v>98.49</v>
      </c>
      <c r="C94" s="43">
        <f>-125.77</f>
        <v>-125.77</v>
      </c>
      <c r="D94" s="78">
        <v>15</v>
      </c>
      <c r="E94" s="37" t="s">
        <v>122</v>
      </c>
      <c r="F94" s="7"/>
      <c r="G94" s="7"/>
      <c r="H94" s="82" t="s">
        <v>152</v>
      </c>
      <c r="I94" s="110">
        <f>M91/(G67/D13*1000/3600*B103)</f>
        <v>589.34242168614287</v>
      </c>
      <c r="J94" s="1" t="s">
        <v>153</v>
      </c>
      <c r="K94" s="1"/>
      <c r="L94" s="1"/>
      <c r="M94" s="1"/>
      <c r="N94" s="1"/>
      <c r="O94" s="1"/>
      <c r="P94" s="1"/>
      <c r="Q94" s="1"/>
    </row>
    <row r="95" spans="1:17" ht="15.75" customHeight="1" thickTop="1" thickBot="1">
      <c r="A95" s="20" t="s">
        <v>223</v>
      </c>
      <c r="B95" s="43">
        <v>120.04</v>
      </c>
      <c r="C95" s="43">
        <f>-146.36</f>
        <v>-146.36000000000001</v>
      </c>
      <c r="D95" s="7"/>
      <c r="E95" s="1"/>
      <c r="F95" s="7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thickTop="1" thickBot="1">
      <c r="A96" s="20" t="s">
        <v>224</v>
      </c>
      <c r="B96" s="43">
        <v>29.38</v>
      </c>
      <c r="C96" s="43">
        <f>0</f>
        <v>0</v>
      </c>
      <c r="D96" s="78">
        <v>21</v>
      </c>
      <c r="E96" s="37" t="s">
        <v>125</v>
      </c>
      <c r="F96" s="7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thickTop="1" thickBot="1">
      <c r="A97" s="20" t="s">
        <v>225</v>
      </c>
      <c r="B97" s="43">
        <v>37.14</v>
      </c>
      <c r="C97" s="43">
        <f>-393.51</f>
        <v>-393.51</v>
      </c>
      <c r="D97" s="78">
        <v>22</v>
      </c>
      <c r="E97" s="1" t="s">
        <v>128</v>
      </c>
      <c r="F97" s="7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thickTop="1" thickBot="1">
      <c r="A98" s="20" t="s">
        <v>226</v>
      </c>
      <c r="B98" s="43">
        <v>33.6</v>
      </c>
      <c r="C98" s="43">
        <f>-241.83</f>
        <v>-241.83</v>
      </c>
      <c r="D98" s="78">
        <v>23</v>
      </c>
      <c r="E98" s="1" t="s">
        <v>130</v>
      </c>
      <c r="F98" s="7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thickTop="1" thickBot="1">
      <c r="A99" s="20" t="s">
        <v>108</v>
      </c>
      <c r="B99" s="43">
        <v>29.14</v>
      </c>
      <c r="C99" s="43">
        <v>-110.53</v>
      </c>
      <c r="D99" s="78">
        <v>24</v>
      </c>
      <c r="E99" s="1" t="s">
        <v>132</v>
      </c>
      <c r="F99" s="7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 thickTop="1" thickBot="1">
      <c r="A100" s="20" t="s">
        <v>227</v>
      </c>
      <c r="B100" s="43">
        <v>28.84</v>
      </c>
      <c r="C100" s="43">
        <v>0</v>
      </c>
      <c r="D100" s="78">
        <v>25</v>
      </c>
      <c r="E100" s="1" t="s">
        <v>133</v>
      </c>
      <c r="F100" s="7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.75" customHeight="1" thickTop="1" thickBot="1">
      <c r="A101" s="84" t="s">
        <v>228</v>
      </c>
      <c r="B101" s="43">
        <v>29.12</v>
      </c>
      <c r="C101" s="43">
        <v>0</v>
      </c>
      <c r="D101" s="7"/>
      <c r="E101" s="1"/>
      <c r="F101" s="7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.75" customHeight="1" thickTop="1" thickBot="1">
      <c r="A102" s="85" t="s">
        <v>229</v>
      </c>
      <c r="B102" s="104">
        <f>B91*E56+B92*E57+B93*E58+B94*E59+B95*E60+B96*E61+B97*E62+B98*E63+B99*E64+B100*E65+B101*E66</f>
        <v>34.493460684446895</v>
      </c>
      <c r="C102" s="75"/>
      <c r="D102" s="78">
        <v>31</v>
      </c>
      <c r="E102" s="1" t="s">
        <v>134</v>
      </c>
      <c r="F102" s="7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.75" customHeight="1" thickTop="1" thickBot="1">
      <c r="A103" s="85" t="s">
        <v>230</v>
      </c>
      <c r="B103" s="105">
        <f>B91*H56+B92*H57+B93*H58+B94*H59+B95*H60+B96*H61+B97*H62+B98*H63+B99*H64+B100*H65+B101*H66</f>
        <v>30.565671699782555</v>
      </c>
      <c r="C103" s="86"/>
      <c r="D103" s="78">
        <v>32</v>
      </c>
      <c r="E103" s="1" t="s">
        <v>135</v>
      </c>
      <c r="F103" s="7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.75" customHeight="1" thickTop="1" thickBot="1">
      <c r="A104" s="7"/>
      <c r="B104" s="53" t="s">
        <v>162</v>
      </c>
      <c r="C104" s="46"/>
      <c r="D104" s="78">
        <v>33</v>
      </c>
      <c r="E104" s="1" t="s">
        <v>136</v>
      </c>
      <c r="F104" s="7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.75" customHeight="1" thickTop="1" thickBot="1">
      <c r="A105" s="7"/>
      <c r="B105" s="53" t="s">
        <v>163</v>
      </c>
      <c r="C105" s="47"/>
      <c r="D105" s="78">
        <v>34</v>
      </c>
      <c r="E105" s="1" t="s">
        <v>137</v>
      </c>
      <c r="F105" s="7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.75" customHeight="1" thickTop="1" thickBot="1">
      <c r="A106" s="7"/>
      <c r="B106" s="53" t="s">
        <v>164</v>
      </c>
      <c r="C106" s="47">
        <f>3*C99+7*C100-C93-3*C98</f>
        <v>497.75</v>
      </c>
      <c r="D106" s="78">
        <v>35</v>
      </c>
      <c r="E106" s="89" t="s">
        <v>138</v>
      </c>
      <c r="F106" s="15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.75" customHeight="1" thickTop="1" thickBot="1">
      <c r="A107" s="7"/>
      <c r="B107" s="53" t="s">
        <v>165</v>
      </c>
      <c r="C107" s="47">
        <f>4*C99+9*C100-C94-4*C98</f>
        <v>650.97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.75" customHeight="1" thickTop="1" thickBot="1">
      <c r="A108" s="7"/>
      <c r="B108" s="53" t="s">
        <v>166</v>
      </c>
      <c r="C108" s="47">
        <f>5*C99-C95-C98*5</f>
        <v>802.86000000000013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.75" customHeight="1" thickTop="1" thickBot="1">
      <c r="A109" s="7"/>
      <c r="B109" s="53" t="s">
        <v>167</v>
      </c>
      <c r="C109" s="111">
        <f>2*C99-C91-C97</f>
        <v>247.04999999999998</v>
      </c>
      <c r="D109" s="1" t="s">
        <v>79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.75" customHeight="1" thickTop="1" thickBot="1">
      <c r="A110" s="7"/>
      <c r="B110" s="53" t="s">
        <v>168</v>
      </c>
      <c r="C110" s="47">
        <f>4*C99-C92-2*C97</f>
        <v>428.9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.75" customHeight="1" thickTop="1" thickBot="1">
      <c r="A111" s="7"/>
      <c r="B111" s="53" t="s">
        <v>169</v>
      </c>
      <c r="C111" s="47">
        <f>6*C99-C93-3*C97</f>
        <v>621.19999999999993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.75" customHeight="1">
      <c r="A112" s="7"/>
      <c r="B112" s="53" t="s">
        <v>170</v>
      </c>
      <c r="C112" s="4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.75" customHeight="1">
      <c r="A113" s="7"/>
      <c r="B113" s="53" t="s">
        <v>171</v>
      </c>
      <c r="C113" s="4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.75" customHeight="1">
      <c r="A114" s="7"/>
      <c r="B114" s="53" t="s">
        <v>172</v>
      </c>
      <c r="C114" s="47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.75" customHeight="1">
      <c r="A115" s="7"/>
      <c r="B115" s="53" t="s">
        <v>173</v>
      </c>
      <c r="C115" s="47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.75" customHeight="1">
      <c r="A116" s="7"/>
      <c r="B116" s="53" t="s">
        <v>174</v>
      </c>
      <c r="C116" s="47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.75" customHeight="1">
      <c r="A117" s="7"/>
      <c r="B117" s="53" t="s">
        <v>175</v>
      </c>
      <c r="C117" s="47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.75" customHeight="1">
      <c r="A118" s="7"/>
      <c r="B118" s="53" t="s">
        <v>176</v>
      </c>
      <c r="C118" s="47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.75" customHeight="1"/>
    <row r="138" spans="1:17" ht="15.75" customHeight="1"/>
    <row r="139" spans="1:17" ht="15.75" customHeight="1"/>
    <row r="140" spans="1:17" ht="15.75" customHeight="1"/>
    <row r="141" spans="1:17" ht="15.75" customHeight="1"/>
    <row r="142" spans="1:17" ht="15.75" customHeight="1"/>
    <row r="143" spans="1:17" ht="15.75" customHeight="1"/>
    <row r="144" spans="1:17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6:E16"/>
    <mergeCell ref="F16:H16"/>
    <mergeCell ref="F88:I88"/>
    <mergeCell ref="D53:I53"/>
    <mergeCell ref="M7:O7"/>
    <mergeCell ref="M9:O9"/>
    <mergeCell ref="M11:O11"/>
    <mergeCell ref="M13:O13"/>
    <mergeCell ref="M15:O15"/>
  </mergeCells>
  <pageMargins left="0.78749999999999998" right="0.78749999999999998" top="1.05277777777778" bottom="1.05277777777778" header="0" footer="0"/>
  <pageSetup paperSize="9" orientation="portrait"/>
  <headerFooter>
    <oddHeader>&amp;Cffffff&amp;A</oddHeader>
    <oddFooter>&amp;CffffffСтраница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00"/>
  <sheetViews>
    <sheetView topLeftCell="A70" workbookViewId="0">
      <selection activeCell="D66" sqref="D66"/>
    </sheetView>
  </sheetViews>
  <sheetFormatPr defaultColWidth="12.5703125" defaultRowHeight="15" customHeight="1"/>
  <cols>
    <col min="1" max="19" width="12.5703125" customWidth="1"/>
    <col min="20" max="26" width="11.42578125" customWidth="1"/>
  </cols>
  <sheetData>
    <row r="1" spans="1:17" ht="15.75" customHeight="1">
      <c r="A1" s="1" t="s">
        <v>0</v>
      </c>
    </row>
    <row r="2" spans="1:17" ht="15.75" customHeight="1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.75" customHeight="1">
      <c r="A4" s="3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.75" customHeight="1">
      <c r="A5" s="1"/>
      <c r="B5" s="1"/>
      <c r="C5" s="4"/>
      <c r="D5" s="5" t="s">
        <v>4</v>
      </c>
      <c r="E5" s="6"/>
      <c r="F5" s="1"/>
      <c r="G5" s="4"/>
      <c r="H5" s="4"/>
      <c r="I5" s="6"/>
      <c r="J5" s="1"/>
      <c r="K5" s="1"/>
      <c r="L5" s="1"/>
      <c r="M5" s="1"/>
      <c r="N5" s="1"/>
      <c r="O5" s="1"/>
      <c r="P5" s="1"/>
      <c r="Q5" s="1"/>
    </row>
    <row r="6" spans="1:17" ht="15.75" customHeight="1">
      <c r="A6" s="1"/>
      <c r="B6" s="7"/>
      <c r="C6" s="8" t="s">
        <v>5</v>
      </c>
      <c r="D6" s="9"/>
      <c r="E6" s="10">
        <v>7000</v>
      </c>
      <c r="F6" s="7" t="s">
        <v>6</v>
      </c>
      <c r="G6" s="8" t="s">
        <v>7</v>
      </c>
      <c r="H6" s="9"/>
      <c r="I6" s="10">
        <v>0.15</v>
      </c>
      <c r="J6" s="1"/>
      <c r="K6" s="1"/>
      <c r="L6" s="1"/>
      <c r="M6" s="1"/>
      <c r="N6" s="1"/>
      <c r="O6" s="1"/>
      <c r="P6" s="1"/>
      <c r="Q6" s="1"/>
    </row>
    <row r="7" spans="1:17" ht="15.75" customHeight="1">
      <c r="A7" s="1"/>
      <c r="B7" s="7"/>
      <c r="C7" s="11" t="s">
        <v>8</v>
      </c>
      <c r="D7" s="12" t="s">
        <v>231</v>
      </c>
      <c r="E7" s="10">
        <v>0.8</v>
      </c>
      <c r="F7" s="7"/>
      <c r="G7" s="8" t="s">
        <v>10</v>
      </c>
      <c r="H7" s="9"/>
      <c r="I7" s="13">
        <v>1.3</v>
      </c>
      <c r="J7" s="1"/>
      <c r="K7" s="1"/>
      <c r="L7" s="1"/>
      <c r="M7" s="120"/>
      <c r="N7" s="118"/>
      <c r="O7" s="118"/>
      <c r="P7" s="1"/>
      <c r="Q7" s="1"/>
    </row>
    <row r="8" spans="1:17" ht="15.75" customHeight="1">
      <c r="A8" s="1"/>
      <c r="B8" s="1"/>
      <c r="C8" s="7"/>
      <c r="D8" s="12" t="s">
        <v>232</v>
      </c>
      <c r="E8" s="10">
        <v>0.03</v>
      </c>
      <c r="F8" s="1"/>
      <c r="G8" s="14" t="s">
        <v>12</v>
      </c>
      <c r="H8" s="4"/>
      <c r="I8" s="4"/>
      <c r="J8" s="1"/>
      <c r="K8" s="1"/>
      <c r="L8" s="1"/>
      <c r="M8" s="1"/>
      <c r="N8" s="1"/>
      <c r="O8" s="1"/>
      <c r="P8" s="1"/>
      <c r="Q8" s="1"/>
    </row>
    <row r="9" spans="1:17" ht="15.75" customHeight="1">
      <c r="A9" s="1"/>
      <c r="B9" s="1"/>
      <c r="C9" s="7"/>
      <c r="D9" s="12" t="s">
        <v>233</v>
      </c>
      <c r="E9" s="10">
        <v>0.04</v>
      </c>
      <c r="F9" s="7"/>
      <c r="G9" s="4" t="s">
        <v>14</v>
      </c>
      <c r="H9" s="15"/>
      <c r="I9" s="15">
        <v>5</v>
      </c>
      <c r="J9" s="1"/>
      <c r="K9" s="1"/>
      <c r="L9" s="1"/>
      <c r="M9" s="120"/>
      <c r="N9" s="118"/>
      <c r="O9" s="118"/>
      <c r="P9" s="1"/>
      <c r="Q9" s="1"/>
    </row>
    <row r="10" spans="1:17" ht="15.75" customHeight="1">
      <c r="A10" s="1"/>
      <c r="B10" s="1"/>
      <c r="C10" s="7"/>
      <c r="D10" s="12" t="s">
        <v>234</v>
      </c>
      <c r="E10" s="10">
        <v>0.05</v>
      </c>
      <c r="F10" s="7"/>
      <c r="G10" s="4" t="s">
        <v>16</v>
      </c>
      <c r="H10" s="15"/>
      <c r="I10" s="15">
        <v>4</v>
      </c>
      <c r="J10" s="1"/>
      <c r="K10" s="1"/>
      <c r="L10" s="1"/>
      <c r="M10" s="1"/>
      <c r="N10" s="1"/>
      <c r="O10" s="1"/>
      <c r="P10" s="1"/>
      <c r="Q10" s="1"/>
    </row>
    <row r="11" spans="1:17" ht="15.75" customHeight="1">
      <c r="A11" s="1"/>
      <c r="B11" s="1"/>
      <c r="C11" s="7"/>
      <c r="D11" s="12" t="s">
        <v>235</v>
      </c>
      <c r="E11" s="10">
        <v>3.0000000000000001E-3</v>
      </c>
      <c r="F11" s="7"/>
      <c r="G11" s="4" t="s">
        <v>18</v>
      </c>
      <c r="H11" s="15"/>
      <c r="I11" s="15">
        <v>3</v>
      </c>
      <c r="J11" s="1"/>
      <c r="K11" s="1"/>
      <c r="L11" s="1"/>
      <c r="M11" s="120"/>
      <c r="N11" s="118"/>
      <c r="O11" s="118"/>
      <c r="P11" s="1"/>
      <c r="Q11" s="1"/>
    </row>
    <row r="12" spans="1:17" ht="15.75" customHeight="1">
      <c r="A12" s="1"/>
      <c r="B12" s="1"/>
      <c r="C12" s="7"/>
      <c r="D12" s="12" t="s">
        <v>19</v>
      </c>
      <c r="E12" s="6">
        <f>1-(E7+E8+E9+E10+E11)</f>
        <v>7.6999999999999846E-2</v>
      </c>
      <c r="F12" s="7"/>
      <c r="G12" s="4" t="s">
        <v>20</v>
      </c>
      <c r="H12" s="15"/>
      <c r="I12" s="15">
        <v>2</v>
      </c>
      <c r="J12" s="1"/>
      <c r="K12" s="1"/>
      <c r="L12" s="1"/>
      <c r="M12" s="1"/>
      <c r="N12" s="1"/>
      <c r="O12" s="1"/>
      <c r="P12" s="1"/>
      <c r="Q12" s="1"/>
    </row>
    <row r="13" spans="1:17" ht="15.75" customHeight="1">
      <c r="A13" s="1"/>
      <c r="B13" s="1"/>
      <c r="C13" s="1"/>
      <c r="D13" s="16">
        <v>22.4</v>
      </c>
      <c r="E13" s="1"/>
      <c r="F13" s="7"/>
      <c r="G13" s="4" t="s">
        <v>21</v>
      </c>
      <c r="H13" s="15"/>
      <c r="I13" s="15">
        <v>1</v>
      </c>
      <c r="J13" s="1"/>
      <c r="K13" s="1"/>
      <c r="L13" s="1"/>
      <c r="M13" s="120"/>
      <c r="N13" s="118"/>
      <c r="O13" s="118"/>
      <c r="P13" s="1"/>
      <c r="Q13" s="1"/>
    </row>
    <row r="14" spans="1:17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.75" customHeight="1">
      <c r="A15" s="4"/>
      <c r="B15" s="4"/>
      <c r="C15" s="4"/>
      <c r="D15" s="4"/>
      <c r="E15" s="5" t="s">
        <v>22</v>
      </c>
      <c r="F15" s="4"/>
      <c r="G15" s="4"/>
      <c r="H15" s="4"/>
      <c r="I15" s="4"/>
      <c r="J15" s="4"/>
      <c r="K15" s="1"/>
      <c r="L15" s="1"/>
      <c r="M15" s="120"/>
      <c r="N15" s="118"/>
      <c r="O15" s="118"/>
      <c r="P15" s="1"/>
      <c r="Q15" s="1"/>
    </row>
    <row r="16" spans="1:17" ht="15.75" customHeight="1">
      <c r="A16" s="17"/>
      <c r="B16" s="15"/>
      <c r="C16" s="114" t="s">
        <v>23</v>
      </c>
      <c r="D16" s="115"/>
      <c r="E16" s="116"/>
      <c r="F16" s="114" t="s">
        <v>24</v>
      </c>
      <c r="G16" s="115"/>
      <c r="H16" s="116"/>
      <c r="I16" s="8" t="s">
        <v>25</v>
      </c>
      <c r="J16" s="15"/>
      <c r="K16" s="1"/>
      <c r="L16" s="1"/>
      <c r="M16" s="1"/>
      <c r="N16" s="1"/>
      <c r="O16" s="1">
        <f>O23/2</f>
        <v>-91.349999999999909</v>
      </c>
      <c r="P16" s="1"/>
      <c r="Q16" s="1"/>
    </row>
    <row r="17" spans="1:19" ht="15.75" customHeight="1">
      <c r="A17" s="18" t="s">
        <v>26</v>
      </c>
      <c r="B17" s="19" t="s">
        <v>27</v>
      </c>
      <c r="C17" s="19" t="s">
        <v>28</v>
      </c>
      <c r="D17" s="19" t="s">
        <v>29</v>
      </c>
      <c r="E17" s="19" t="s">
        <v>30</v>
      </c>
      <c r="F17" s="19" t="s">
        <v>31</v>
      </c>
      <c r="G17" s="19" t="s">
        <v>32</v>
      </c>
      <c r="H17" s="19" t="s">
        <v>33</v>
      </c>
      <c r="I17" s="19" t="s">
        <v>34</v>
      </c>
      <c r="J17" s="19" t="s">
        <v>35</v>
      </c>
      <c r="K17" s="1"/>
      <c r="L17" s="1"/>
      <c r="M17" s="1" t="s">
        <v>35</v>
      </c>
      <c r="N17" s="1" t="s">
        <v>34</v>
      </c>
      <c r="O17" s="1" t="s">
        <v>32</v>
      </c>
      <c r="P17" s="1"/>
      <c r="Q17" s="1"/>
    </row>
    <row r="18" spans="1:19" ht="15.75" customHeight="1">
      <c r="A18" s="20" t="s">
        <v>236</v>
      </c>
      <c r="B18" s="15">
        <v>16</v>
      </c>
      <c r="C18" s="21">
        <f>D18/D13*B18</f>
        <v>600</v>
      </c>
      <c r="D18" s="21">
        <f>F29*E7</f>
        <v>840</v>
      </c>
      <c r="E18" s="22">
        <f>D18/D27</f>
        <v>7.3362445414847155E-2</v>
      </c>
      <c r="F18" s="21">
        <f t="shared" ref="F18:F26" si="0">C18+I18</f>
        <v>65.249999999999886</v>
      </c>
      <c r="G18" s="22">
        <f>-O16</f>
        <v>91.349999999999909</v>
      </c>
      <c r="H18" s="22">
        <f>G18/G27</f>
        <v>7.8798909668069753E-3</v>
      </c>
      <c r="I18" s="21">
        <f>J18/D13*B18</f>
        <v>-534.75000000000011</v>
      </c>
      <c r="J18" s="21">
        <f>G18-D18</f>
        <v>-748.65000000000009</v>
      </c>
      <c r="K18" s="1"/>
      <c r="L18" s="1" t="s">
        <v>37</v>
      </c>
      <c r="M18" s="23">
        <f t="shared" ref="M18:M22" si="1">-D18</f>
        <v>-840</v>
      </c>
      <c r="N18" s="1">
        <f>M18/22.4*B18</f>
        <v>-600</v>
      </c>
      <c r="O18" s="24">
        <f>M18+D18</f>
        <v>0</v>
      </c>
      <c r="Q18" s="24"/>
      <c r="R18" s="24"/>
    </row>
    <row r="19" spans="1:19" ht="15.75" customHeight="1">
      <c r="A19" s="20" t="s">
        <v>237</v>
      </c>
      <c r="B19" s="15">
        <v>30</v>
      </c>
      <c r="C19" s="21">
        <f>D19/D13*B19</f>
        <v>42.1875</v>
      </c>
      <c r="D19" s="21">
        <f>F29*E8</f>
        <v>31.5</v>
      </c>
      <c r="E19" s="22">
        <f>D19/D27</f>
        <v>2.7510917030567684E-3</v>
      </c>
      <c r="F19" s="21">
        <f t="shared" si="0"/>
        <v>0</v>
      </c>
      <c r="G19" s="21">
        <f>D19+(J19)</f>
        <v>0</v>
      </c>
      <c r="H19" s="22">
        <f>G19/G27</f>
        <v>0</v>
      </c>
      <c r="I19" s="21">
        <f>J19/D13*B19</f>
        <v>-42.1875</v>
      </c>
      <c r="J19" s="21">
        <f t="shared" ref="J19:J22" si="2">-D19</f>
        <v>-31.5</v>
      </c>
      <c r="K19" s="1"/>
      <c r="L19" s="1" t="s">
        <v>39</v>
      </c>
      <c r="M19" s="23">
        <f t="shared" si="1"/>
        <v>-31.5</v>
      </c>
      <c r="N19" s="1">
        <f>M19/D13*B19</f>
        <v>-42.1875</v>
      </c>
      <c r="O19" s="24">
        <f>J19+D19</f>
        <v>0</v>
      </c>
      <c r="Q19" s="24"/>
      <c r="R19" s="24"/>
    </row>
    <row r="20" spans="1:19" ht="15.75" customHeight="1">
      <c r="A20" s="20" t="s">
        <v>238</v>
      </c>
      <c r="B20" s="15">
        <v>44</v>
      </c>
      <c r="C20" s="21">
        <f>D20/D13*B20</f>
        <v>82.500000000000014</v>
      </c>
      <c r="D20" s="21">
        <f>F29*E9</f>
        <v>42</v>
      </c>
      <c r="E20" s="22">
        <f>D20/D27</f>
        <v>3.668122270742358E-3</v>
      </c>
      <c r="F20" s="21">
        <f t="shared" si="0"/>
        <v>0</v>
      </c>
      <c r="G20" s="21">
        <f t="shared" ref="G20:G26" si="3">D20+J20</f>
        <v>0</v>
      </c>
      <c r="H20" s="22">
        <f>G20/G27</f>
        <v>0</v>
      </c>
      <c r="I20" s="21">
        <f>J20/D13*B20</f>
        <v>-82.500000000000014</v>
      </c>
      <c r="J20" s="21">
        <f t="shared" si="2"/>
        <v>-42</v>
      </c>
      <c r="K20" s="1"/>
      <c r="L20" s="1" t="s">
        <v>41</v>
      </c>
      <c r="M20" s="23">
        <f t="shared" si="1"/>
        <v>-42</v>
      </c>
      <c r="N20" s="1">
        <f>M20/D13*B20</f>
        <v>-82.500000000000014</v>
      </c>
      <c r="O20" s="23">
        <f t="shared" ref="O20:O26" si="4">M20+D20</f>
        <v>0</v>
      </c>
      <c r="Q20" s="24"/>
      <c r="R20" s="24"/>
      <c r="S20" s="24"/>
    </row>
    <row r="21" spans="1:19" ht="15.75" customHeight="1">
      <c r="A21" s="20" t="s">
        <v>239</v>
      </c>
      <c r="B21" s="15">
        <v>58</v>
      </c>
      <c r="C21" s="21">
        <f>D21/D13*B21</f>
        <v>135.9375</v>
      </c>
      <c r="D21" s="21">
        <f>F29*E10</f>
        <v>52.5</v>
      </c>
      <c r="E21" s="22">
        <f>D21/D27</f>
        <v>4.5851528384279472E-3</v>
      </c>
      <c r="F21" s="21">
        <f t="shared" si="0"/>
        <v>0</v>
      </c>
      <c r="G21" s="21">
        <f t="shared" si="3"/>
        <v>0</v>
      </c>
      <c r="H21" s="22">
        <f>G21/G27</f>
        <v>0</v>
      </c>
      <c r="I21" s="21">
        <f>J21/D13*B21</f>
        <v>-135.9375</v>
      </c>
      <c r="J21" s="21">
        <f t="shared" si="2"/>
        <v>-52.5</v>
      </c>
      <c r="K21" s="1"/>
      <c r="L21" s="4" t="s">
        <v>43</v>
      </c>
      <c r="M21" s="23">
        <f t="shared" si="1"/>
        <v>-52.5</v>
      </c>
      <c r="N21" s="1">
        <f>M21/D13*B21</f>
        <v>-135.9375</v>
      </c>
      <c r="O21" s="23">
        <f t="shared" si="4"/>
        <v>0</v>
      </c>
      <c r="Q21" s="24"/>
      <c r="R21" s="24"/>
    </row>
    <row r="22" spans="1:19" ht="15.75" customHeight="1">
      <c r="A22" s="20" t="s">
        <v>240</v>
      </c>
      <c r="B22" s="15">
        <v>72</v>
      </c>
      <c r="C22" s="21">
        <f>D22/D13*B22</f>
        <v>10.125</v>
      </c>
      <c r="D22" s="21">
        <f>F29*E11</f>
        <v>3.15</v>
      </c>
      <c r="E22" s="22">
        <f>D22/D27</f>
        <v>2.7510917030567684E-4</v>
      </c>
      <c r="F22" s="21">
        <f t="shared" si="0"/>
        <v>0</v>
      </c>
      <c r="G22" s="25">
        <f t="shared" si="3"/>
        <v>0</v>
      </c>
      <c r="H22" s="22">
        <f>G22/G27</f>
        <v>0</v>
      </c>
      <c r="I22" s="21">
        <f>J22/D13*B22</f>
        <v>-10.125</v>
      </c>
      <c r="J22" s="21">
        <f t="shared" si="2"/>
        <v>-3.15</v>
      </c>
      <c r="K22" s="7"/>
      <c r="L22" s="26" t="s">
        <v>45</v>
      </c>
      <c r="M22" s="23">
        <f t="shared" si="1"/>
        <v>-3.15</v>
      </c>
      <c r="N22" s="1">
        <f>M22/D13*B22</f>
        <v>-10.125</v>
      </c>
      <c r="O22" s="23">
        <f t="shared" si="4"/>
        <v>0</v>
      </c>
      <c r="R22" s="24"/>
      <c r="S22" s="1"/>
    </row>
    <row r="23" spans="1:19" ht="15.75" customHeight="1">
      <c r="A23" s="20" t="s">
        <v>241</v>
      </c>
      <c r="B23" s="15">
        <v>32</v>
      </c>
      <c r="C23" s="21">
        <f>D23/D13*B23</f>
        <v>3120</v>
      </c>
      <c r="D23" s="21">
        <f>F29*E7*I7*2</f>
        <v>2184</v>
      </c>
      <c r="E23" s="22">
        <f>D23/D27</f>
        <v>0.19074235807860263</v>
      </c>
      <c r="F23" s="27">
        <f t="shared" si="0"/>
        <v>0</v>
      </c>
      <c r="G23" s="28">
        <f t="shared" si="3"/>
        <v>0</v>
      </c>
      <c r="H23" s="22">
        <f>G23/G27</f>
        <v>0</v>
      </c>
      <c r="I23" s="21">
        <f>J23/D13*B23</f>
        <v>-3120</v>
      </c>
      <c r="J23" s="21">
        <f>J22*8+J21*6.5+J20*5+J19*3.5+J18*2</f>
        <v>-2184</v>
      </c>
      <c r="K23" s="7"/>
      <c r="L23" s="29" t="s">
        <v>242</v>
      </c>
      <c r="M23" s="1">
        <f>(M22*8+M21*6.5+M20*5+M19*3.5+M18*2)</f>
        <v>-2366.6999999999998</v>
      </c>
      <c r="N23" s="1">
        <f>M23/D13*B23</f>
        <v>-3381</v>
      </c>
      <c r="O23" s="30">
        <f t="shared" si="4"/>
        <v>-182.69999999999982</v>
      </c>
      <c r="Q23" s="24"/>
      <c r="R23" s="24"/>
      <c r="S23" s="1"/>
    </row>
    <row r="24" spans="1:19" ht="15.75" customHeight="1">
      <c r="A24" s="20" t="s">
        <v>243</v>
      </c>
      <c r="B24" s="15">
        <v>44</v>
      </c>
      <c r="C24" s="21">
        <f>D24/D13*B24</f>
        <v>0</v>
      </c>
      <c r="D24" s="21">
        <v>0</v>
      </c>
      <c r="E24" s="22">
        <f>D24/D27</f>
        <v>0</v>
      </c>
      <c r="F24" s="21">
        <f t="shared" si="0"/>
        <v>2285.2500000000005</v>
      </c>
      <c r="G24" s="21">
        <f t="shared" si="3"/>
        <v>1163.4000000000001</v>
      </c>
      <c r="H24" s="22">
        <f>G24/G27</f>
        <v>0.10035539300255331</v>
      </c>
      <c r="I24" s="21">
        <f>J24/D13*B24</f>
        <v>2285.2500000000005</v>
      </c>
      <c r="J24" s="21">
        <f>-J22*5+(-J21*4)+(-J20*3)+(-J19*2)+(-J18*1)</f>
        <v>1163.4000000000001</v>
      </c>
      <c r="K24" s="7"/>
      <c r="L24" s="31" t="s">
        <v>244</v>
      </c>
      <c r="M24" s="23">
        <f>-(M22*8+M21*4+M20*3+M19*2+M18)</f>
        <v>1264.2</v>
      </c>
      <c r="N24" s="1">
        <f>M24/D13*B24</f>
        <v>2483.2500000000005</v>
      </c>
      <c r="O24" s="23">
        <f t="shared" si="4"/>
        <v>1264.2</v>
      </c>
      <c r="Q24" s="24"/>
      <c r="R24" s="24"/>
      <c r="S24" s="1"/>
    </row>
    <row r="25" spans="1:19" ht="15.75" customHeight="1">
      <c r="A25" s="20" t="s">
        <v>245</v>
      </c>
      <c r="B25" s="15">
        <v>18</v>
      </c>
      <c r="C25" s="21">
        <f>D25/D13*B25</f>
        <v>0</v>
      </c>
      <c r="D25" s="21">
        <v>0</v>
      </c>
      <c r="E25" s="22">
        <f>D25/D27</f>
        <v>0</v>
      </c>
      <c r="F25" s="21">
        <f t="shared" si="0"/>
        <v>1640.2500000000002</v>
      </c>
      <c r="G25" s="21">
        <f t="shared" si="3"/>
        <v>2041.2000000000003</v>
      </c>
      <c r="H25" s="22">
        <f>G25/G27</f>
        <v>0.17607480505141124</v>
      </c>
      <c r="I25" s="21">
        <f>J25/D13*B25</f>
        <v>1640.2500000000002</v>
      </c>
      <c r="J25" s="21">
        <f>-J22*6+(-J21*5)+(-J20*4)+(-J19*3)+(-J18*2)</f>
        <v>2041.2000000000003</v>
      </c>
      <c r="K25" s="7"/>
      <c r="L25" s="31" t="s">
        <v>246</v>
      </c>
      <c r="M25" s="1">
        <f>-(M22*6+M21*5+M20*4+M19*3+M18*2)</f>
        <v>2223.9</v>
      </c>
      <c r="N25" s="1">
        <f>M25/D13*B25</f>
        <v>1787.0625000000002</v>
      </c>
      <c r="O25" s="23">
        <f t="shared" si="4"/>
        <v>2223.9</v>
      </c>
      <c r="Q25" s="24"/>
      <c r="R25" s="24"/>
      <c r="S25" s="1"/>
    </row>
    <row r="26" spans="1:19" ht="15.75" customHeight="1">
      <c r="A26" s="20" t="s">
        <v>247</v>
      </c>
      <c r="B26" s="15">
        <v>28</v>
      </c>
      <c r="C26" s="25">
        <f>D26/D13*B26</f>
        <v>10371.062500000002</v>
      </c>
      <c r="D26" s="21">
        <f>D23*79/21+F29*(1-E7-E8-E9-E10-E11)</f>
        <v>8296.85</v>
      </c>
      <c r="E26" s="32">
        <f>D26/D27</f>
        <v>0.72461572052401746</v>
      </c>
      <c r="F26" s="25">
        <f t="shared" si="0"/>
        <v>10371.062500000002</v>
      </c>
      <c r="G26" s="21">
        <f t="shared" si="3"/>
        <v>8296.85</v>
      </c>
      <c r="H26" s="32">
        <f>G26/G27</f>
        <v>0.71568991097922841</v>
      </c>
      <c r="I26" s="25">
        <f>J26/D13*B26</f>
        <v>0</v>
      </c>
      <c r="J26" s="21">
        <v>0</v>
      </c>
      <c r="K26" s="1"/>
      <c r="L26" s="31" t="s">
        <v>248</v>
      </c>
      <c r="M26" s="1">
        <v>0</v>
      </c>
      <c r="N26" s="1">
        <f>M26/D13*B26</f>
        <v>0</v>
      </c>
      <c r="O26" s="24">
        <f t="shared" si="4"/>
        <v>8296.85</v>
      </c>
      <c r="P26" s="24"/>
      <c r="Q26" s="24"/>
    </row>
    <row r="27" spans="1:19" ht="15.75" customHeight="1">
      <c r="A27" s="33" t="s">
        <v>54</v>
      </c>
      <c r="B27" s="9"/>
      <c r="C27" s="28">
        <f t="shared" ref="C27:J27" si="5">SUM(C18:C26)</f>
        <v>14361.812500000002</v>
      </c>
      <c r="D27" s="27">
        <f t="shared" si="5"/>
        <v>11450</v>
      </c>
      <c r="E27" s="34">
        <f t="shared" si="5"/>
        <v>1</v>
      </c>
      <c r="F27" s="28">
        <f t="shared" si="5"/>
        <v>14361.812500000004</v>
      </c>
      <c r="G27" s="27">
        <f t="shared" si="5"/>
        <v>11592.800000000001</v>
      </c>
      <c r="H27" s="34">
        <f t="shared" si="5"/>
        <v>0.99999999999999989</v>
      </c>
      <c r="I27" s="28">
        <f t="shared" si="5"/>
        <v>6.8212102632969618E-13</v>
      </c>
      <c r="J27" s="21">
        <f t="shared" si="5"/>
        <v>142.80000000000018</v>
      </c>
      <c r="K27" s="1"/>
      <c r="L27" s="1"/>
      <c r="M27" s="35"/>
      <c r="N27" s="1">
        <f t="shared" ref="N27:O27" si="6">SUM(N18:N26)</f>
        <v>18.562500000000682</v>
      </c>
      <c r="O27" s="24">
        <f t="shared" si="6"/>
        <v>11602.25</v>
      </c>
      <c r="P27" s="24"/>
      <c r="Q27" s="24"/>
    </row>
    <row r="28" spans="1:19" ht="15.75" customHeight="1">
      <c r="A28" s="1"/>
      <c r="B28" s="1"/>
      <c r="C28" s="1"/>
      <c r="D28" s="1"/>
      <c r="E28" s="1"/>
      <c r="F28" s="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9" ht="15.75" customHeight="1">
      <c r="A29" s="71"/>
      <c r="B29" s="1"/>
      <c r="C29" s="37" t="s">
        <v>55</v>
      </c>
      <c r="D29" s="1"/>
      <c r="E29" s="7"/>
      <c r="F29" s="15">
        <f>E6*I6</f>
        <v>1050</v>
      </c>
      <c r="G29" s="1"/>
      <c r="H29" s="1" t="s">
        <v>56</v>
      </c>
      <c r="I29" s="1">
        <v>450</v>
      </c>
      <c r="J29" s="1" t="s">
        <v>57</v>
      </c>
      <c r="K29" s="1"/>
      <c r="L29" s="1"/>
      <c r="M29" s="1"/>
      <c r="N29" s="1"/>
      <c r="O29" s="1"/>
      <c r="P29" s="1"/>
      <c r="Q29" s="1"/>
    </row>
    <row r="30" spans="1:19" ht="15.75" customHeight="1">
      <c r="A30" s="38"/>
      <c r="B30" s="39" t="s">
        <v>58</v>
      </c>
      <c r="C30" s="40" t="s">
        <v>59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9" ht="15.75" customHeight="1">
      <c r="A31" s="41" t="s">
        <v>26</v>
      </c>
      <c r="B31" s="42" t="s">
        <v>60</v>
      </c>
      <c r="C31" s="42" t="s">
        <v>249</v>
      </c>
      <c r="D31" s="1"/>
      <c r="E31" s="1"/>
      <c r="F31" s="1"/>
      <c r="G31" s="1"/>
      <c r="H31" s="1"/>
      <c r="I31" s="1"/>
      <c r="J31" s="1"/>
      <c r="K31" s="1"/>
      <c r="L31" s="1" t="s">
        <v>250</v>
      </c>
      <c r="M31" s="1"/>
      <c r="N31" s="1"/>
      <c r="O31" s="1"/>
      <c r="P31" s="1"/>
      <c r="Q31" s="1"/>
    </row>
    <row r="32" spans="1:19" ht="15.75" customHeight="1">
      <c r="A32" s="20" t="s">
        <v>251</v>
      </c>
      <c r="B32" s="43">
        <v>35.700000000000003</v>
      </c>
      <c r="C32" s="43">
        <v>-74.599999999999994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>
      <c r="A33" s="20" t="s">
        <v>252</v>
      </c>
      <c r="B33" s="43">
        <v>52.49</v>
      </c>
      <c r="C33" s="43">
        <v>-84</v>
      </c>
      <c r="D33" s="1"/>
      <c r="E33" s="1"/>
      <c r="F33" s="3" t="s">
        <v>64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>
      <c r="A34" s="20" t="s">
        <v>253</v>
      </c>
      <c r="B34" s="43">
        <v>73.599999999999994</v>
      </c>
      <c r="C34" s="43">
        <f>-103.85</f>
        <v>-103.85</v>
      </c>
      <c r="D34" s="1"/>
      <c r="E34" s="1"/>
      <c r="F34" s="4"/>
      <c r="G34" s="4"/>
      <c r="H34" s="4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>
      <c r="A35" s="20" t="s">
        <v>254</v>
      </c>
      <c r="B35" s="43">
        <v>98.49</v>
      </c>
      <c r="C35" s="43">
        <f>-125.77</f>
        <v>-125.77</v>
      </c>
      <c r="D35" s="1"/>
      <c r="E35" s="7"/>
      <c r="F35" s="44" t="s">
        <v>67</v>
      </c>
      <c r="G35" s="44" t="s">
        <v>68</v>
      </c>
      <c r="H35" s="45" t="s">
        <v>69</v>
      </c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>
      <c r="A36" s="20" t="s">
        <v>255</v>
      </c>
      <c r="B36" s="43">
        <v>120.04</v>
      </c>
      <c r="C36" s="43">
        <f>-146.36</f>
        <v>-146.36000000000001</v>
      </c>
      <c r="D36" s="1"/>
      <c r="E36" s="7" t="s">
        <v>71</v>
      </c>
      <c r="F36" s="43">
        <f>I29*B42*D27/22.4*1000/3600</f>
        <v>1931091.953125</v>
      </c>
      <c r="G36" s="46">
        <f>(J22*C45/1+J21*C46/1+J20*C47/1+J19*C48/1+J18*C49/1)/22.4*(1000/3600)*1000</f>
        <v>10931448.177083338</v>
      </c>
      <c r="H36" s="47">
        <f>F36+G36</f>
        <v>12862540.130208338</v>
      </c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>
      <c r="A37" s="20" t="s">
        <v>256</v>
      </c>
      <c r="B37" s="43">
        <v>29.38</v>
      </c>
      <c r="C37" s="43">
        <f>0</f>
        <v>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>
      <c r="A38" s="20" t="s">
        <v>257</v>
      </c>
      <c r="B38" s="43">
        <v>37.14</v>
      </c>
      <c r="C38" s="43">
        <f>-393.51</f>
        <v>-393.51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>
      <c r="A39" s="20" t="s">
        <v>258</v>
      </c>
      <c r="B39" s="43">
        <v>33.6</v>
      </c>
      <c r="C39" s="43">
        <f>-241.83</f>
        <v>-241.83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>
      <c r="A40" s="20" t="s">
        <v>259</v>
      </c>
      <c r="B40" s="43">
        <v>29.12</v>
      </c>
      <c r="C40" s="43">
        <f>0</f>
        <v>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>
      <c r="A41" s="4"/>
      <c r="B41" s="48"/>
      <c r="C41" s="2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>
      <c r="A42" s="49" t="s">
        <v>260</v>
      </c>
      <c r="B42" s="47">
        <f>B32*E18+B33*E19+B34*E20+B35*E21+B36*E22+B37*E23+B38*E24+B39*E25+B40*E26</f>
        <v>30.222853973799126</v>
      </c>
      <c r="C42" s="50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>
      <c r="A43" s="49" t="s">
        <v>261</v>
      </c>
      <c r="B43" s="47">
        <f>B32*H18+B33*H19+B34*H20+B35*H21+B36*H22+B37*H23+B38*H24+B39*H25+B40*H26</f>
        <v>30.765515061072385</v>
      </c>
      <c r="C43" s="5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>
      <c r="A44" s="1"/>
      <c r="B44" s="52"/>
      <c r="C44" s="4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>
      <c r="A45" s="7"/>
      <c r="B45" s="53" t="s">
        <v>78</v>
      </c>
      <c r="C45" s="47">
        <f>((5*C38+6*C39)-(C36+8*C37))</f>
        <v>-3272.1699999999996</v>
      </c>
      <c r="D45" s="1" t="s">
        <v>79</v>
      </c>
      <c r="E45" s="1"/>
      <c r="F45" s="1"/>
      <c r="G45" s="1"/>
      <c r="H45" s="1"/>
      <c r="I45" s="1"/>
      <c r="J45" s="1"/>
      <c r="K45" s="4"/>
      <c r="L45" s="54" t="s">
        <v>8</v>
      </c>
      <c r="M45" s="54" t="s">
        <v>80</v>
      </c>
      <c r="N45" s="1"/>
      <c r="O45" s="1"/>
      <c r="P45" s="1"/>
      <c r="Q45" s="1"/>
    </row>
    <row r="46" spans="1:17" ht="15.75" customHeight="1">
      <c r="A46" s="7"/>
      <c r="B46" s="53" t="s">
        <v>81</v>
      </c>
      <c r="C46" s="47">
        <f>((4*C38+5*C39)-(1*C35))</f>
        <v>-2657.42</v>
      </c>
      <c r="D46" s="1" t="s">
        <v>79</v>
      </c>
      <c r="E46" s="1"/>
      <c r="F46" s="1"/>
      <c r="G46" s="1"/>
      <c r="H46" s="1"/>
      <c r="I46" s="1"/>
      <c r="J46" s="7"/>
      <c r="K46" s="55" t="s">
        <v>82</v>
      </c>
      <c r="L46" s="10">
        <v>0.8</v>
      </c>
      <c r="M46" s="43">
        <v>35.700000000000003</v>
      </c>
      <c r="N46" s="1"/>
      <c r="O46" s="1"/>
      <c r="P46" s="1"/>
      <c r="Q46" s="1"/>
    </row>
    <row r="47" spans="1:17" ht="15.75" customHeight="1">
      <c r="A47" s="7"/>
      <c r="B47" s="53" t="s">
        <v>83</v>
      </c>
      <c r="C47" s="47">
        <f>((3*C38+4*C39)-(1*C34))</f>
        <v>-2044</v>
      </c>
      <c r="D47" s="1" t="s">
        <v>79</v>
      </c>
      <c r="E47" s="1"/>
      <c r="F47" s="1"/>
      <c r="G47" s="1"/>
      <c r="H47" s="1"/>
      <c r="I47" s="1"/>
      <c r="J47" s="7"/>
      <c r="K47" s="55" t="s">
        <v>84</v>
      </c>
      <c r="L47" s="10">
        <v>0.03</v>
      </c>
      <c r="M47" s="43">
        <v>52.49</v>
      </c>
      <c r="N47" s="1"/>
      <c r="O47" s="1"/>
      <c r="P47" s="1"/>
      <c r="Q47" s="1"/>
    </row>
    <row r="48" spans="1:17" ht="15.75" customHeight="1">
      <c r="A48" s="7"/>
      <c r="B48" s="53" t="s">
        <v>85</v>
      </c>
      <c r="C48" s="47">
        <f>((2*C38+3*C39)-(C33))</f>
        <v>-1428.51</v>
      </c>
      <c r="D48" s="1" t="s">
        <v>79</v>
      </c>
      <c r="E48" s="1"/>
      <c r="F48" s="1"/>
      <c r="G48" s="1"/>
      <c r="H48" s="1"/>
      <c r="I48" s="1"/>
      <c r="J48" s="7"/>
      <c r="K48" s="55" t="s">
        <v>86</v>
      </c>
      <c r="L48" s="10">
        <v>0.04</v>
      </c>
      <c r="M48" s="43">
        <v>73.599999999999994</v>
      </c>
      <c r="N48" s="1"/>
      <c r="O48" s="1"/>
      <c r="P48" s="1"/>
      <c r="Q48" s="1"/>
    </row>
    <row r="49" spans="1:17" ht="15.75" customHeight="1">
      <c r="A49" s="7"/>
      <c r="B49" s="53" t="s">
        <v>87</v>
      </c>
      <c r="C49" s="47">
        <f>((1*C38+2*C39)-(1*C32))</f>
        <v>-802.57</v>
      </c>
      <c r="D49" s="1" t="s">
        <v>79</v>
      </c>
      <c r="E49" s="1"/>
      <c r="F49" s="1"/>
      <c r="G49" s="1"/>
      <c r="H49" s="1"/>
      <c r="I49" s="1"/>
      <c r="J49" s="7"/>
      <c r="K49" s="55" t="s">
        <v>88</v>
      </c>
      <c r="L49" s="10">
        <v>0.05</v>
      </c>
      <c r="M49" s="43">
        <v>98.49</v>
      </c>
      <c r="N49" s="5" t="s">
        <v>89</v>
      </c>
      <c r="O49" s="1"/>
      <c r="P49" s="1"/>
      <c r="Q49" s="1"/>
    </row>
    <row r="50" spans="1:17" ht="15.75" customHeight="1">
      <c r="A50" s="1"/>
      <c r="B50" s="24"/>
      <c r="C50" s="24"/>
      <c r="D50" s="1"/>
      <c r="E50" s="1"/>
      <c r="F50" s="1"/>
      <c r="G50" s="1"/>
      <c r="H50" s="1"/>
      <c r="I50" s="1"/>
      <c r="J50" s="7"/>
      <c r="K50" s="55" t="s">
        <v>90</v>
      </c>
      <c r="L50" s="10">
        <v>3.0000000000000001E-3</v>
      </c>
      <c r="M50" s="43">
        <v>120.04</v>
      </c>
      <c r="N50" s="56">
        <f>L46*M46+L47*M47+L48*M48+L49*M49+L50*M50+L51*M51</f>
        <v>40.605560000000004</v>
      </c>
      <c r="O50" s="1"/>
      <c r="P50" s="1"/>
      <c r="Q50" s="1"/>
    </row>
    <row r="51" spans="1:17" ht="15.75" customHeight="1">
      <c r="A51" s="1"/>
      <c r="B51" s="1"/>
      <c r="C51" s="1"/>
      <c r="D51" s="1"/>
      <c r="E51" s="1"/>
      <c r="F51" s="1"/>
      <c r="G51" s="4"/>
      <c r="H51" s="1"/>
      <c r="I51" s="1"/>
      <c r="J51" s="7"/>
      <c r="K51" s="55" t="s">
        <v>19</v>
      </c>
      <c r="L51" s="6">
        <f>1-(L46+L47+L48+L49+L50)</f>
        <v>7.6999999999999846E-2</v>
      </c>
      <c r="M51" s="43">
        <v>29.12</v>
      </c>
      <c r="N51" s="1"/>
      <c r="O51" s="1"/>
      <c r="P51" s="1"/>
      <c r="Q51" s="1"/>
    </row>
    <row r="52" spans="1:17" ht="15.75" customHeight="1">
      <c r="A52" s="3" t="s">
        <v>91</v>
      </c>
      <c r="B52" s="1"/>
      <c r="C52" s="1"/>
      <c r="D52" s="1"/>
      <c r="E52" s="37" t="s">
        <v>92</v>
      </c>
      <c r="F52" s="7"/>
      <c r="G52" s="15">
        <f>E6-F29</f>
        <v>5950</v>
      </c>
      <c r="H52" s="1" t="s">
        <v>6</v>
      </c>
      <c r="I52" s="1"/>
      <c r="J52" s="1"/>
      <c r="K52" s="1"/>
      <c r="L52" s="1"/>
      <c r="M52" s="1"/>
      <c r="N52" s="1"/>
      <c r="O52" s="1"/>
      <c r="P52" s="1"/>
      <c r="Q52" s="1"/>
    </row>
    <row r="53" spans="1:17" ht="29.25" customHeight="1">
      <c r="A53" s="1"/>
      <c r="B53" s="1"/>
      <c r="C53" s="1"/>
      <c r="D53" s="119" t="s">
        <v>93</v>
      </c>
      <c r="E53" s="118"/>
      <c r="F53" s="118"/>
      <c r="G53" s="118"/>
      <c r="H53" s="118"/>
      <c r="I53" s="118"/>
      <c r="J53" s="1"/>
      <c r="K53" s="1"/>
      <c r="L53" s="1"/>
      <c r="M53" s="1"/>
      <c r="N53" s="1"/>
      <c r="O53" s="1"/>
      <c r="P53" s="1"/>
      <c r="Q53" s="1"/>
    </row>
    <row r="54" spans="1:17" ht="15.75" customHeight="1">
      <c r="A54" s="4"/>
      <c r="B54" s="4"/>
      <c r="C54" s="4"/>
      <c r="D54" s="4"/>
      <c r="E54" s="4"/>
      <c r="F54" s="4"/>
      <c r="G54" s="4"/>
      <c r="H54" s="4"/>
      <c r="I54" s="57">
        <v>22.4</v>
      </c>
      <c r="J54" s="4"/>
      <c r="K54" s="58" t="s">
        <v>94</v>
      </c>
      <c r="L54" s="58" t="s">
        <v>95</v>
      </c>
      <c r="M54" s="58" t="s">
        <v>96</v>
      </c>
      <c r="N54" s="1"/>
      <c r="O54" s="1"/>
      <c r="P54" s="1"/>
      <c r="Q54" s="1"/>
    </row>
    <row r="55" spans="1:17" ht="15.75" customHeight="1">
      <c r="A55" s="59" t="s">
        <v>26</v>
      </c>
      <c r="B55" s="44" t="s">
        <v>27</v>
      </c>
      <c r="C55" s="44" t="s">
        <v>28</v>
      </c>
      <c r="D55" s="44" t="s">
        <v>29</v>
      </c>
      <c r="E55" s="44" t="s">
        <v>30</v>
      </c>
      <c r="F55" s="44" t="s">
        <v>31</v>
      </c>
      <c r="G55" s="44" t="s">
        <v>32</v>
      </c>
      <c r="H55" s="44" t="s">
        <v>33</v>
      </c>
      <c r="I55" s="44" t="s">
        <v>34</v>
      </c>
      <c r="J55" s="44" t="s">
        <v>35</v>
      </c>
      <c r="K55" s="44" t="s">
        <v>97</v>
      </c>
      <c r="L55" s="44" t="s">
        <v>98</v>
      </c>
      <c r="M55" s="44" t="s">
        <v>99</v>
      </c>
      <c r="N55" s="60"/>
      <c r="O55" s="1"/>
      <c r="P55" s="1"/>
      <c r="Q55" s="1"/>
    </row>
    <row r="56" spans="1:17" ht="15.75" customHeight="1">
      <c r="A56" s="20" t="s">
        <v>262</v>
      </c>
      <c r="B56" s="61">
        <v>16</v>
      </c>
      <c r="C56" s="21">
        <f>D56/I54*B56</f>
        <v>3465.2500000000005</v>
      </c>
      <c r="D56" s="43">
        <f>G52*L46+G18</f>
        <v>4851.3500000000004</v>
      </c>
      <c r="E56" s="22">
        <f>D56/D67</f>
        <v>0.27654365323665547</v>
      </c>
      <c r="F56" s="21">
        <f t="shared" ref="F56:G56" si="7">C56+I56</f>
        <v>2855.0000000000005</v>
      </c>
      <c r="G56" s="21">
        <f t="shared" si="7"/>
        <v>3997.0000000000005</v>
      </c>
      <c r="H56" s="22">
        <f>G56/G67</f>
        <v>0.16675114779608549</v>
      </c>
      <c r="I56" s="21">
        <f>J56/I54*B56</f>
        <v>-610.25</v>
      </c>
      <c r="J56" s="43">
        <f>SUM(K56:M56)</f>
        <v>-854.35</v>
      </c>
      <c r="K56" s="43">
        <v>0</v>
      </c>
      <c r="L56" s="43">
        <v>-854.35</v>
      </c>
      <c r="M56" s="43">
        <v>0</v>
      </c>
      <c r="N56" s="1"/>
      <c r="O56" s="1"/>
      <c r="P56" s="1"/>
      <c r="Q56" s="24"/>
    </row>
    <row r="57" spans="1:17" ht="15.75" customHeight="1">
      <c r="A57" s="20" t="s">
        <v>263</v>
      </c>
      <c r="B57" s="61">
        <v>30</v>
      </c>
      <c r="C57" s="21">
        <f>D57/I54*B57</f>
        <v>239.06250000000003</v>
      </c>
      <c r="D57" s="43">
        <f>G52*L47</f>
        <v>178.5</v>
      </c>
      <c r="E57" s="22">
        <f>D57/D67</f>
        <v>1.0175114576920444E-2</v>
      </c>
      <c r="F57" s="21">
        <f t="shared" ref="F57:G57" si="8">C57+I57</f>
        <v>0</v>
      </c>
      <c r="G57" s="21">
        <f t="shared" si="8"/>
        <v>0</v>
      </c>
      <c r="H57" s="22">
        <f>G57/G67</f>
        <v>0</v>
      </c>
      <c r="I57" s="21">
        <f>J57/I54*B57</f>
        <v>-239.06250000000003</v>
      </c>
      <c r="J57" s="43">
        <f t="shared" ref="J57:J67" si="9">SUM(K57:M57)</f>
        <v>-178.5</v>
      </c>
      <c r="K57" s="43">
        <f>-47.9500000000003/2</f>
        <v>-23.975000000000151</v>
      </c>
      <c r="L57" s="43">
        <f>-D57-K57</f>
        <v>-154.52499999999986</v>
      </c>
      <c r="M57" s="43">
        <v>0</v>
      </c>
      <c r="N57" s="1"/>
      <c r="O57" s="1"/>
      <c r="P57" s="1"/>
      <c r="Q57" s="24"/>
    </row>
    <row r="58" spans="1:17" ht="15.75" customHeight="1">
      <c r="A58" s="20" t="s">
        <v>264</v>
      </c>
      <c r="B58" s="61">
        <v>44</v>
      </c>
      <c r="C58" s="21">
        <f>D58/I54*B58</f>
        <v>467.5</v>
      </c>
      <c r="D58" s="43">
        <f>G52*L48</f>
        <v>238</v>
      </c>
      <c r="E58" s="22">
        <f>D58/D67</f>
        <v>1.3566819435893926E-2</v>
      </c>
      <c r="F58" s="21">
        <f t="shared" ref="F58:G58" si="10">C58+I58</f>
        <v>0</v>
      </c>
      <c r="G58" s="21">
        <f t="shared" si="10"/>
        <v>0</v>
      </c>
      <c r="H58" s="22">
        <f>G58/G67</f>
        <v>0</v>
      </c>
      <c r="I58" s="21">
        <f>J58/I54*B58</f>
        <v>-467.5</v>
      </c>
      <c r="J58" s="43">
        <f t="shared" si="9"/>
        <v>-238</v>
      </c>
      <c r="K58" s="43">
        <f>-D58</f>
        <v>-238</v>
      </c>
      <c r="L58" s="43">
        <v>0</v>
      </c>
      <c r="M58" s="43">
        <v>0</v>
      </c>
      <c r="N58" s="1"/>
      <c r="O58" s="1"/>
      <c r="P58" s="1"/>
      <c r="Q58" s="24"/>
    </row>
    <row r="59" spans="1:17" ht="15.75" customHeight="1">
      <c r="A59" s="20" t="s">
        <v>265</v>
      </c>
      <c r="B59" s="61">
        <v>58</v>
      </c>
      <c r="C59" s="21">
        <f>D59/I54*B59</f>
        <v>770.3125</v>
      </c>
      <c r="D59" s="43">
        <f>G52*L49</f>
        <v>297.5</v>
      </c>
      <c r="E59" s="22">
        <f>D59/D67</f>
        <v>1.6958524294867407E-2</v>
      </c>
      <c r="F59" s="21">
        <f t="shared" ref="F59:G59" si="11">C59+I59</f>
        <v>0</v>
      </c>
      <c r="G59" s="21">
        <f t="shared" si="11"/>
        <v>0</v>
      </c>
      <c r="H59" s="22">
        <f>G59/G67</f>
        <v>0</v>
      </c>
      <c r="I59" s="21">
        <f>J59/I54*B59</f>
        <v>-770.3125</v>
      </c>
      <c r="J59" s="43">
        <f t="shared" si="9"/>
        <v>-297.5</v>
      </c>
      <c r="K59" s="43">
        <f>-D59</f>
        <v>-297.5</v>
      </c>
      <c r="L59" s="43">
        <v>0</v>
      </c>
      <c r="M59" s="43">
        <v>0</v>
      </c>
      <c r="N59" s="1"/>
      <c r="O59" s="1"/>
      <c r="P59" s="1"/>
      <c r="Q59" s="24"/>
    </row>
    <row r="60" spans="1:17" ht="15.75" customHeight="1">
      <c r="A60" s="20" t="s">
        <v>266</v>
      </c>
      <c r="B60" s="61">
        <v>72</v>
      </c>
      <c r="C60" s="21">
        <f>D60/I54*B60</f>
        <v>57.375000000000007</v>
      </c>
      <c r="D60" s="43">
        <f>G52*L50</f>
        <v>17.850000000000001</v>
      </c>
      <c r="E60" s="22">
        <f>D60/D67</f>
        <v>1.0175114576920444E-3</v>
      </c>
      <c r="F60" s="21">
        <f t="shared" ref="F60:F65" si="12">C60+I60</f>
        <v>0</v>
      </c>
      <c r="G60" s="21">
        <f>D60+L60</f>
        <v>17.850000000000001</v>
      </c>
      <c r="H60" s="22">
        <f>G60/G67</f>
        <v>7.4468551117341157E-4</v>
      </c>
      <c r="I60" s="21">
        <f>J60/I54*B60</f>
        <v>-57.375000000000007</v>
      </c>
      <c r="J60" s="43">
        <f t="shared" si="9"/>
        <v>-17.850000000000001</v>
      </c>
      <c r="K60" s="43">
        <f>-D60</f>
        <v>-17.850000000000001</v>
      </c>
      <c r="L60" s="43">
        <v>0</v>
      </c>
      <c r="M60" s="43">
        <v>0</v>
      </c>
      <c r="N60" s="1"/>
      <c r="O60" s="1"/>
      <c r="P60" s="1"/>
      <c r="Q60" s="24"/>
    </row>
    <row r="61" spans="1:17" ht="15.75" customHeight="1">
      <c r="A61" s="20" t="s">
        <v>267</v>
      </c>
      <c r="B61" s="61">
        <v>32</v>
      </c>
      <c r="C61" s="21">
        <f>D61</f>
        <v>0</v>
      </c>
      <c r="D61" s="43">
        <v>0</v>
      </c>
      <c r="E61" s="22">
        <f>D61</f>
        <v>0</v>
      </c>
      <c r="F61" s="21">
        <f t="shared" si="12"/>
        <v>0</v>
      </c>
      <c r="G61" s="21">
        <f>J61</f>
        <v>0</v>
      </c>
      <c r="H61" s="22">
        <f>G61/G67</f>
        <v>0</v>
      </c>
      <c r="I61" s="21">
        <f>0</f>
        <v>0</v>
      </c>
      <c r="J61" s="43">
        <f t="shared" si="9"/>
        <v>0</v>
      </c>
      <c r="K61" s="43">
        <v>0</v>
      </c>
      <c r="L61" s="43">
        <v>0</v>
      </c>
      <c r="M61" s="43">
        <v>0</v>
      </c>
      <c r="N61" s="1"/>
      <c r="O61" s="1"/>
      <c r="P61" s="1"/>
      <c r="Q61" s="24"/>
    </row>
    <row r="62" spans="1:17" ht="15.75" customHeight="1">
      <c r="A62" s="20" t="s">
        <v>268</v>
      </c>
      <c r="B62" s="61">
        <v>44</v>
      </c>
      <c r="C62" s="21">
        <f>D62/I54*B62</f>
        <v>2285.2500000000005</v>
      </c>
      <c r="D62" s="43">
        <f t="shared" ref="D62:D63" si="13">G24</f>
        <v>1163.4000000000001</v>
      </c>
      <c r="E62" s="22">
        <f>D62/D67</f>
        <v>6.6317805595457954E-2</v>
      </c>
      <c r="F62" s="21">
        <f t="shared" si="12"/>
        <v>0</v>
      </c>
      <c r="G62" s="21">
        <f t="shared" ref="G62:G63" si="14">J62+D62</f>
        <v>0</v>
      </c>
      <c r="H62" s="22">
        <f>G62/G67</f>
        <v>0</v>
      </c>
      <c r="I62" s="21">
        <f>J62/I54*B62</f>
        <v>-2285.2499999999995</v>
      </c>
      <c r="J62" s="43">
        <f t="shared" si="9"/>
        <v>-1163.3999999999996</v>
      </c>
      <c r="K62" s="43">
        <v>0</v>
      </c>
      <c r="L62" s="43">
        <f>L57*2+L56</f>
        <v>-1163.3999999999996</v>
      </c>
      <c r="M62" s="43">
        <v>0</v>
      </c>
      <c r="N62" s="1"/>
      <c r="O62" s="1"/>
      <c r="P62" s="1"/>
      <c r="Q62" s="24"/>
    </row>
    <row r="63" spans="1:17" ht="15.75" customHeight="1">
      <c r="A63" s="20" t="s">
        <v>269</v>
      </c>
      <c r="B63" s="61">
        <v>18</v>
      </c>
      <c r="C63" s="21">
        <f>D63/I54*B63</f>
        <v>1640.2500000000002</v>
      </c>
      <c r="D63" s="43">
        <f t="shared" si="13"/>
        <v>2041.2000000000003</v>
      </c>
      <c r="E63" s="22">
        <f>D63/D67</f>
        <v>0.11635542786784321</v>
      </c>
      <c r="F63" s="21">
        <f t="shared" si="12"/>
        <v>0</v>
      </c>
      <c r="G63" s="21">
        <f t="shared" si="14"/>
        <v>0</v>
      </c>
      <c r="H63" s="22">
        <f>G63/G67</f>
        <v>0</v>
      </c>
      <c r="I63" s="21">
        <f>J63/I54*B63</f>
        <v>-1640.2500000000002</v>
      </c>
      <c r="J63" s="43">
        <f t="shared" si="9"/>
        <v>-2041.2000000000003</v>
      </c>
      <c r="K63" s="43">
        <f>K60*5+K59*4+K58*3+K57*2</f>
        <v>-2041.2000000000003</v>
      </c>
      <c r="L63" s="43">
        <v>0</v>
      </c>
      <c r="M63" s="43">
        <v>0</v>
      </c>
      <c r="N63" s="1"/>
      <c r="O63" s="1"/>
      <c r="P63" s="1"/>
      <c r="Q63" s="24"/>
    </row>
    <row r="64" spans="1:17" ht="15.75" customHeight="1">
      <c r="A64" s="20" t="s">
        <v>108</v>
      </c>
      <c r="B64" s="61">
        <v>28</v>
      </c>
      <c r="C64" s="21">
        <v>0</v>
      </c>
      <c r="D64" s="43">
        <v>0</v>
      </c>
      <c r="E64" s="22">
        <f t="shared" ref="E64:E65" si="15">D64</f>
        <v>0</v>
      </c>
      <c r="F64" s="21">
        <f t="shared" si="12"/>
        <v>5460</v>
      </c>
      <c r="G64" s="21">
        <f t="shared" ref="G64:G65" si="16">J64</f>
        <v>4368</v>
      </c>
      <c r="H64" s="22">
        <f>G64/G67</f>
        <v>0.1822289250871407</v>
      </c>
      <c r="I64" s="21">
        <f>J64/I54*B64</f>
        <v>5460</v>
      </c>
      <c r="J64" s="43">
        <f t="shared" si="9"/>
        <v>4368</v>
      </c>
      <c r="K64" s="43">
        <f>-K60*5-K59*4-K58*3-K57*2</f>
        <v>2041.2000000000003</v>
      </c>
      <c r="L64" s="43">
        <f>-L57*4-L56*2</f>
        <v>2326.7999999999993</v>
      </c>
      <c r="M64" s="43">
        <v>0</v>
      </c>
      <c r="N64" s="1"/>
      <c r="O64" s="1"/>
      <c r="P64" s="1"/>
      <c r="Q64" s="24"/>
    </row>
    <row r="65" spans="1:17" ht="15.75" customHeight="1">
      <c r="A65" s="20" t="s">
        <v>270</v>
      </c>
      <c r="B65" s="61">
        <v>2</v>
      </c>
      <c r="C65" s="21">
        <v>0</v>
      </c>
      <c r="D65" s="43">
        <v>0</v>
      </c>
      <c r="E65" s="22">
        <f t="shared" si="15"/>
        <v>0</v>
      </c>
      <c r="F65" s="21">
        <f t="shared" si="12"/>
        <v>610.00000000000011</v>
      </c>
      <c r="G65" s="21">
        <f t="shared" si="16"/>
        <v>6832.0000000000009</v>
      </c>
      <c r="H65" s="22">
        <f>G65/G67</f>
        <v>0.2850247289824509</v>
      </c>
      <c r="I65" s="21">
        <f>J65/I54*B65</f>
        <v>610.00000000000011</v>
      </c>
      <c r="J65" s="43">
        <f t="shared" si="9"/>
        <v>6832.0000000000009</v>
      </c>
      <c r="K65" s="43">
        <f>-K60*11-K59*9-K58*7-K57*5</f>
        <v>4659.7250000000013</v>
      </c>
      <c r="L65" s="43">
        <f>-L57*3-L56*2</f>
        <v>2172.2749999999996</v>
      </c>
      <c r="M65" s="43">
        <v>0</v>
      </c>
      <c r="N65" s="1"/>
      <c r="O65" s="1"/>
      <c r="P65" s="1"/>
      <c r="Q65" s="24"/>
    </row>
    <row r="66" spans="1:17" ht="15.75" customHeight="1">
      <c r="A66" s="20" t="s">
        <v>271</v>
      </c>
      <c r="B66" s="61">
        <v>28</v>
      </c>
      <c r="C66" s="21">
        <f>D66/I54*B66</f>
        <v>10943.750000000002</v>
      </c>
      <c r="D66" s="43">
        <f>G52*L51+G26</f>
        <v>8755</v>
      </c>
      <c r="E66" s="22">
        <f>D66/D67</f>
        <v>0.49906514353466941</v>
      </c>
      <c r="F66" s="21">
        <f>I66+C66</f>
        <v>10943.750000000002</v>
      </c>
      <c r="G66" s="21">
        <f>D66+J66</f>
        <v>8755</v>
      </c>
      <c r="H66" s="22">
        <f>G66/G67</f>
        <v>0.36525051262314945</v>
      </c>
      <c r="I66" s="21">
        <v>0</v>
      </c>
      <c r="J66" s="43">
        <f t="shared" si="9"/>
        <v>0</v>
      </c>
      <c r="K66" s="43">
        <v>0</v>
      </c>
      <c r="L66" s="43">
        <v>0</v>
      </c>
      <c r="M66" s="43">
        <v>0</v>
      </c>
      <c r="N66" s="1"/>
      <c r="O66" s="1"/>
      <c r="P66" s="1"/>
      <c r="Q66" s="24"/>
    </row>
    <row r="67" spans="1:17" ht="15.75" customHeight="1">
      <c r="A67" s="33" t="s">
        <v>54</v>
      </c>
      <c r="B67" s="15"/>
      <c r="C67" s="62">
        <f t="shared" ref="C67:H67" si="17">SUM(C56:C66)</f>
        <v>19868.75</v>
      </c>
      <c r="D67" s="43">
        <f t="shared" si="17"/>
        <v>17542.800000000003</v>
      </c>
      <c r="E67" s="22">
        <f t="shared" si="17"/>
        <v>0.99999999999999978</v>
      </c>
      <c r="F67" s="62">
        <f t="shared" si="17"/>
        <v>19868.75</v>
      </c>
      <c r="G67" s="21">
        <f t="shared" si="17"/>
        <v>23969.850000000002</v>
      </c>
      <c r="H67" s="22">
        <f t="shared" si="17"/>
        <v>0.99999999999999989</v>
      </c>
      <c r="I67" s="21">
        <f>SUM(I56:I66)</f>
        <v>1.1368683772161603E-13</v>
      </c>
      <c r="J67" s="43">
        <f t="shared" si="9"/>
        <v>6409.2000000000007</v>
      </c>
      <c r="K67" s="21">
        <f>SUM(K56:K66)</f>
        <v>4082.400000000001</v>
      </c>
      <c r="L67" s="21">
        <f>SUM(L56:L66)</f>
        <v>2326.7999999999993</v>
      </c>
      <c r="M67" s="21">
        <f>SUM(M56:M66)</f>
        <v>0</v>
      </c>
      <c r="N67" s="1"/>
      <c r="O67" s="1"/>
      <c r="P67" s="1"/>
      <c r="Q67" s="24"/>
    </row>
    <row r="68" spans="1:17" ht="15.75" customHeight="1">
      <c r="A68" s="1"/>
      <c r="B68" s="1"/>
      <c r="C68" s="24"/>
      <c r="D68" s="24"/>
      <c r="E68" s="1"/>
      <c r="F68" s="1"/>
      <c r="G68" s="1"/>
      <c r="H68" s="1"/>
      <c r="I68" s="4"/>
      <c r="J68" s="1"/>
      <c r="K68" s="1"/>
      <c r="L68" s="1"/>
      <c r="M68" s="1"/>
      <c r="N68" s="1"/>
      <c r="O68" s="1"/>
      <c r="P68" s="1"/>
      <c r="Q68" s="1"/>
    </row>
    <row r="69" spans="1:17" ht="15.75" customHeight="1">
      <c r="A69" s="1"/>
      <c r="B69" s="4"/>
      <c r="C69" s="4"/>
      <c r="D69" s="4"/>
      <c r="E69" s="1"/>
      <c r="F69" s="1"/>
      <c r="G69" s="63" t="s">
        <v>111</v>
      </c>
      <c r="H69" s="7"/>
      <c r="I69" s="43">
        <f>G65/G64</f>
        <v>1.5641025641025643</v>
      </c>
      <c r="J69" s="1"/>
      <c r="K69" s="24">
        <f>D59-D62/4</f>
        <v>6.6499999999999773</v>
      </c>
      <c r="L69" s="1"/>
      <c r="M69" s="1">
        <f>D59*4</f>
        <v>1190</v>
      </c>
      <c r="N69" s="1" t="s">
        <v>112</v>
      </c>
      <c r="O69" s="1"/>
      <c r="P69" s="1"/>
      <c r="Q69" s="1"/>
    </row>
    <row r="70" spans="1:17" ht="15.75" customHeight="1">
      <c r="A70" s="7"/>
      <c r="B70" s="89" t="s">
        <v>113</v>
      </c>
      <c r="C70" s="15"/>
      <c r="D70" s="15">
        <v>9</v>
      </c>
      <c r="E70" s="1" t="s">
        <v>114</v>
      </c>
      <c r="F70" s="65">
        <v>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>
      <c r="A71" s="66" t="s">
        <v>94</v>
      </c>
      <c r="B71" s="89" t="s">
        <v>115</v>
      </c>
      <c r="C71" s="4"/>
      <c r="D71" s="15">
        <v>7</v>
      </c>
      <c r="E71" s="1" t="s">
        <v>116</v>
      </c>
      <c r="F71" s="65">
        <v>7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>
      <c r="A72" s="7"/>
      <c r="B72" s="89" t="s">
        <v>117</v>
      </c>
      <c r="C72" s="4"/>
      <c r="D72" s="15">
        <v>5</v>
      </c>
      <c r="E72" s="1" t="s">
        <v>116</v>
      </c>
      <c r="F72" s="65">
        <v>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>
      <c r="A73" s="7"/>
      <c r="B73" s="89" t="s">
        <v>120</v>
      </c>
      <c r="C73" s="4"/>
      <c r="D73" s="15">
        <v>3</v>
      </c>
      <c r="E73" s="1" t="s">
        <v>116</v>
      </c>
      <c r="F73" s="65">
        <v>3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>
      <c r="A74" s="7"/>
      <c r="B74" s="89" t="s">
        <v>122</v>
      </c>
      <c r="C74" s="4"/>
      <c r="D74" s="15">
        <v>1</v>
      </c>
      <c r="E74" s="1" t="s">
        <v>116</v>
      </c>
      <c r="F74" s="65">
        <v>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>
      <c r="A75" s="7"/>
      <c r="B75" s="15"/>
      <c r="C75" s="15"/>
      <c r="D75" s="15"/>
      <c r="E75" s="1"/>
      <c r="F75" s="6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>
      <c r="A76" s="7"/>
      <c r="B76" s="89" t="s">
        <v>125</v>
      </c>
      <c r="C76" s="4"/>
      <c r="D76" s="15">
        <v>10</v>
      </c>
      <c r="E76" s="1" t="s">
        <v>116</v>
      </c>
      <c r="F76" s="65">
        <v>10</v>
      </c>
      <c r="G76" s="1"/>
      <c r="H76" s="24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>
      <c r="A77" s="66" t="s">
        <v>95</v>
      </c>
      <c r="B77" s="4" t="s">
        <v>128</v>
      </c>
      <c r="C77" s="4"/>
      <c r="D77" s="15">
        <v>8</v>
      </c>
      <c r="E77" s="1" t="s">
        <v>116</v>
      </c>
      <c r="F77" s="65">
        <v>8</v>
      </c>
      <c r="G77" s="1"/>
      <c r="H77" s="1"/>
      <c r="I77" s="1"/>
      <c r="J77" s="1"/>
      <c r="K77" s="24"/>
      <c r="L77" s="1"/>
      <c r="M77" s="24"/>
      <c r="N77" s="1"/>
      <c r="O77" s="1"/>
      <c r="P77" s="1"/>
      <c r="Q77" s="1"/>
    </row>
    <row r="78" spans="1:17" ht="15.75" customHeight="1">
      <c r="A78" s="7"/>
      <c r="B78" s="4" t="s">
        <v>130</v>
      </c>
      <c r="C78" s="4"/>
      <c r="D78" s="15">
        <v>6</v>
      </c>
      <c r="E78" s="1" t="s">
        <v>114</v>
      </c>
      <c r="F78" s="65">
        <v>6</v>
      </c>
      <c r="G78" s="1"/>
      <c r="H78" s="1"/>
      <c r="I78" s="1"/>
      <c r="J78" s="1"/>
      <c r="K78" s="1"/>
      <c r="L78" s="24"/>
      <c r="M78" s="24"/>
      <c r="N78" s="1"/>
      <c r="O78" s="1"/>
      <c r="P78" s="1"/>
      <c r="Q78" s="1"/>
    </row>
    <row r="79" spans="1:17" ht="15.75" customHeight="1">
      <c r="A79" s="7"/>
      <c r="B79" s="4" t="s">
        <v>132</v>
      </c>
      <c r="C79" s="4"/>
      <c r="D79" s="15">
        <v>4</v>
      </c>
      <c r="E79" s="1" t="s">
        <v>114</v>
      </c>
      <c r="F79" s="65">
        <v>4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>
      <c r="A80" s="7"/>
      <c r="B80" s="4" t="s">
        <v>133</v>
      </c>
      <c r="C80" s="4"/>
      <c r="D80" s="15">
        <v>2</v>
      </c>
      <c r="E80" s="1" t="s">
        <v>114</v>
      </c>
      <c r="F80" s="65">
        <v>2</v>
      </c>
      <c r="G80" s="1"/>
      <c r="H80" s="1"/>
      <c r="I80" s="1"/>
      <c r="J80" s="1"/>
      <c r="K80" s="24"/>
      <c r="L80" s="1"/>
      <c r="M80" s="24"/>
      <c r="N80" s="1"/>
      <c r="O80" s="1"/>
      <c r="P80" s="1"/>
      <c r="Q80" s="1"/>
    </row>
    <row r="81" spans="1:17" ht="15.75" customHeight="1">
      <c r="A81" s="7"/>
      <c r="B81" s="15"/>
      <c r="C81" s="15"/>
      <c r="D81" s="1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>
      <c r="A82" s="7"/>
      <c r="B82" s="4" t="s">
        <v>134</v>
      </c>
      <c r="C82" s="4"/>
      <c r="D82" s="15">
        <v>8</v>
      </c>
      <c r="E82" s="1" t="s">
        <v>114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>
      <c r="A83" s="66" t="s">
        <v>96</v>
      </c>
      <c r="B83" s="4" t="s">
        <v>135</v>
      </c>
      <c r="C83" s="4"/>
      <c r="D83" s="15">
        <v>6</v>
      </c>
      <c r="E83" s="1" t="s">
        <v>114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>
      <c r="A84" s="7"/>
      <c r="B84" s="4" t="s">
        <v>136</v>
      </c>
      <c r="C84" s="4"/>
      <c r="D84" s="15">
        <v>2</v>
      </c>
      <c r="E84" s="1" t="s">
        <v>114</v>
      </c>
      <c r="F84" s="1"/>
      <c r="G84" s="1"/>
      <c r="H84" s="1"/>
      <c r="I84" s="1"/>
      <c r="J84" s="1"/>
      <c r="K84" s="1"/>
      <c r="L84" s="1"/>
      <c r="M84" s="1"/>
      <c r="N84" s="24"/>
      <c r="O84" s="24"/>
      <c r="P84" s="24"/>
      <c r="Q84" s="24"/>
    </row>
    <row r="85" spans="1:17" ht="15.75" customHeight="1">
      <c r="A85" s="7"/>
      <c r="B85" s="4" t="s">
        <v>137</v>
      </c>
      <c r="C85" s="4"/>
      <c r="D85" s="15">
        <v>3</v>
      </c>
      <c r="E85" s="1" t="s">
        <v>114</v>
      </c>
      <c r="F85" s="1"/>
      <c r="G85" s="1"/>
      <c r="H85" s="1"/>
      <c r="I85" s="1"/>
      <c r="J85" s="1"/>
      <c r="K85" s="1"/>
      <c r="L85" s="1"/>
      <c r="M85" s="1"/>
      <c r="N85" s="24"/>
      <c r="O85" s="24"/>
      <c r="P85" s="24"/>
      <c r="Q85" s="24"/>
    </row>
    <row r="86" spans="1:17" ht="15.75" customHeight="1">
      <c r="A86" s="7"/>
      <c r="B86" s="89" t="s">
        <v>138</v>
      </c>
      <c r="C86" s="4"/>
      <c r="D86" s="15">
        <v>1</v>
      </c>
      <c r="E86" s="1" t="s">
        <v>114</v>
      </c>
      <c r="F86" s="1"/>
      <c r="G86" s="1"/>
      <c r="H86" s="1"/>
      <c r="I86" s="1"/>
      <c r="J86" s="1"/>
      <c r="K86" s="1"/>
      <c r="L86" s="1"/>
      <c r="M86" s="1"/>
      <c r="N86" s="24"/>
      <c r="O86" s="24"/>
      <c r="P86" s="24"/>
      <c r="Q86" s="24"/>
    </row>
    <row r="87" spans="1:17" ht="15.75" customHeight="1">
      <c r="A87" s="1"/>
      <c r="B87" s="71"/>
      <c r="C87" s="71"/>
      <c r="D87" s="71"/>
      <c r="E87" s="1"/>
      <c r="F87" s="1"/>
      <c r="G87" s="1"/>
      <c r="H87" s="1"/>
      <c r="I87" s="1"/>
      <c r="J87" s="1"/>
      <c r="K87" s="1"/>
      <c r="L87" s="1"/>
      <c r="M87" s="1"/>
      <c r="N87" s="24"/>
      <c r="O87" s="24"/>
      <c r="P87" s="24"/>
      <c r="Q87" s="24"/>
    </row>
    <row r="88" spans="1:17" ht="15.75" customHeight="1">
      <c r="A88" s="72"/>
      <c r="B88" s="72"/>
      <c r="C88" s="51"/>
      <c r="D88" s="50"/>
      <c r="E88" s="1"/>
      <c r="F88" s="117" t="s">
        <v>139</v>
      </c>
      <c r="G88" s="118"/>
      <c r="H88" s="118"/>
      <c r="I88" s="118"/>
      <c r="J88" s="71"/>
      <c r="K88" s="71"/>
      <c r="L88" s="71"/>
      <c r="M88" s="71"/>
      <c r="N88" s="71"/>
      <c r="O88" s="24"/>
      <c r="P88" s="24"/>
      <c r="Q88" s="24"/>
    </row>
    <row r="89" spans="1:17" ht="15.75" customHeight="1">
      <c r="A89" s="4"/>
      <c r="B89" s="39" t="s">
        <v>140</v>
      </c>
      <c r="C89" s="40" t="s">
        <v>59</v>
      </c>
      <c r="D89" s="50"/>
      <c r="E89" s="4"/>
      <c r="F89" s="4"/>
      <c r="G89" s="1"/>
      <c r="H89" s="73"/>
      <c r="I89" s="74"/>
      <c r="J89" s="74"/>
      <c r="K89" s="74"/>
      <c r="L89" s="74"/>
      <c r="M89" s="74"/>
      <c r="N89" s="75"/>
      <c r="O89" s="24"/>
      <c r="P89" s="24"/>
      <c r="Q89" s="24"/>
    </row>
    <row r="90" spans="1:17" ht="15.75" customHeight="1" thickTop="1" thickBot="1">
      <c r="A90" s="76" t="s">
        <v>26</v>
      </c>
      <c r="B90" s="77" t="s">
        <v>60</v>
      </c>
      <c r="C90" s="77" t="s">
        <v>272</v>
      </c>
      <c r="D90" s="78">
        <v>11</v>
      </c>
      <c r="E90" s="37" t="s">
        <v>113</v>
      </c>
      <c r="F90" s="7"/>
      <c r="G90" s="7"/>
      <c r="H90" s="79" t="s">
        <v>142</v>
      </c>
      <c r="I90" s="79" t="s">
        <v>143</v>
      </c>
      <c r="J90" s="79" t="s">
        <v>144</v>
      </c>
      <c r="K90" s="79" t="s">
        <v>145</v>
      </c>
      <c r="L90" s="79" t="s">
        <v>146</v>
      </c>
      <c r="M90" s="79" t="s">
        <v>147</v>
      </c>
      <c r="N90" s="71"/>
      <c r="O90" s="1"/>
      <c r="P90" s="1"/>
      <c r="Q90" s="1"/>
    </row>
    <row r="91" spans="1:17" ht="15.75" customHeight="1" thickTop="1" thickBot="1">
      <c r="A91" s="20" t="s">
        <v>273</v>
      </c>
      <c r="B91" s="43">
        <v>35.700000000000003</v>
      </c>
      <c r="C91" s="43">
        <v>-74.599999999999994</v>
      </c>
      <c r="D91" s="78">
        <v>12</v>
      </c>
      <c r="E91" s="37" t="s">
        <v>115</v>
      </c>
      <c r="F91" s="7"/>
      <c r="G91" s="7"/>
      <c r="H91" s="21">
        <f>H36</f>
        <v>12862540.130208338</v>
      </c>
      <c r="I91" s="109">
        <f>E6*(1-I6)/D13*N50*20*1000/3600</f>
        <v>59921.399305555555</v>
      </c>
      <c r="J91" s="109">
        <f>(K60/D13*C108+K59/D13*C107+K58/D13*C106+K57/D13*C105)*1000/3600*1000</f>
        <v>-4151399.5659722229</v>
      </c>
      <c r="K91" s="109">
        <f>(L56/D13*C109+L57/D13*C110)*1000/3600*1000</f>
        <v>-3439272.5694444436</v>
      </c>
      <c r="L91" s="21">
        <v>0</v>
      </c>
      <c r="M91" s="21">
        <f>H91+I91+J91+K91</f>
        <v>5331789.3940972276</v>
      </c>
      <c r="N91" s="80"/>
      <c r="O91" s="1"/>
      <c r="P91" s="1"/>
      <c r="Q91" s="1"/>
    </row>
    <row r="92" spans="1:17" ht="15.75" customHeight="1" thickTop="1" thickBot="1">
      <c r="A92" s="20" t="s">
        <v>274</v>
      </c>
      <c r="B92" s="43">
        <v>52.49</v>
      </c>
      <c r="C92" s="43">
        <v>-84</v>
      </c>
      <c r="D92" s="78">
        <v>13</v>
      </c>
      <c r="E92" s="37" t="s">
        <v>117</v>
      </c>
      <c r="F92" s="7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thickTop="1" thickBot="1">
      <c r="A93" s="20" t="s">
        <v>275</v>
      </c>
      <c r="B93" s="43">
        <v>73.599999999999994</v>
      </c>
      <c r="C93" s="43">
        <f>-103.85</f>
        <v>-103.85</v>
      </c>
      <c r="D93" s="78">
        <v>14</v>
      </c>
      <c r="E93" s="37" t="s">
        <v>120</v>
      </c>
      <c r="F93" s="7"/>
      <c r="G93" s="1"/>
      <c r="H93" s="4"/>
      <c r="I93" s="4"/>
      <c r="J93" s="1"/>
      <c r="K93" s="1"/>
      <c r="L93" s="1"/>
      <c r="M93" s="1"/>
      <c r="N93" s="1"/>
      <c r="O93" s="1"/>
      <c r="P93" s="1"/>
      <c r="Q93" s="1"/>
    </row>
    <row r="94" spans="1:17" ht="15.75" customHeight="1" thickTop="1" thickBot="1">
      <c r="A94" s="20" t="s">
        <v>276</v>
      </c>
      <c r="B94" s="43">
        <v>98.49</v>
      </c>
      <c r="C94" s="43">
        <f>-125.77</f>
        <v>-125.77</v>
      </c>
      <c r="D94" s="78">
        <v>15</v>
      </c>
      <c r="E94" s="37" t="s">
        <v>122</v>
      </c>
      <c r="F94" s="7"/>
      <c r="G94" s="7"/>
      <c r="H94" s="82" t="s">
        <v>152</v>
      </c>
      <c r="I94" s="110">
        <f>M91/(G67/D13*1000/3600*B103)</f>
        <v>593.77948617439847</v>
      </c>
      <c r="J94" s="1" t="s">
        <v>153</v>
      </c>
      <c r="K94" s="1"/>
      <c r="L94" s="1"/>
      <c r="M94" s="1"/>
      <c r="N94" s="1"/>
      <c r="O94" s="1"/>
      <c r="P94" s="1"/>
      <c r="Q94" s="1"/>
    </row>
    <row r="95" spans="1:17" ht="15.75" customHeight="1" thickTop="1" thickBot="1">
      <c r="A95" s="20" t="s">
        <v>277</v>
      </c>
      <c r="B95" s="43">
        <v>120.04</v>
      </c>
      <c r="C95" s="43">
        <f>-146.36</f>
        <v>-146.36000000000001</v>
      </c>
      <c r="D95" s="7"/>
      <c r="E95" s="1"/>
      <c r="F95" s="7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thickTop="1" thickBot="1">
      <c r="A96" s="20" t="s">
        <v>278</v>
      </c>
      <c r="B96" s="43">
        <v>29.38</v>
      </c>
      <c r="C96" s="43">
        <f>0</f>
        <v>0</v>
      </c>
      <c r="D96" s="78">
        <v>21</v>
      </c>
      <c r="E96" s="37" t="s">
        <v>125</v>
      </c>
      <c r="F96" s="7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thickTop="1" thickBot="1">
      <c r="A97" s="20" t="s">
        <v>279</v>
      </c>
      <c r="B97" s="43">
        <v>37.14</v>
      </c>
      <c r="C97" s="43">
        <f>-393.51</f>
        <v>-393.51</v>
      </c>
      <c r="D97" s="78">
        <v>22</v>
      </c>
      <c r="E97" s="1" t="s">
        <v>128</v>
      </c>
      <c r="F97" s="7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thickTop="1" thickBot="1">
      <c r="A98" s="20" t="s">
        <v>280</v>
      </c>
      <c r="B98" s="43">
        <v>33.6</v>
      </c>
      <c r="C98" s="43">
        <f>-241.83</f>
        <v>-241.83</v>
      </c>
      <c r="D98" s="78">
        <v>23</v>
      </c>
      <c r="E98" s="1" t="s">
        <v>130</v>
      </c>
      <c r="F98" s="7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thickTop="1" thickBot="1">
      <c r="A99" s="20" t="s">
        <v>108</v>
      </c>
      <c r="B99" s="43">
        <v>29.14</v>
      </c>
      <c r="C99" s="43">
        <v>-110.53</v>
      </c>
      <c r="D99" s="78">
        <v>24</v>
      </c>
      <c r="E99" s="1" t="s">
        <v>132</v>
      </c>
      <c r="F99" s="7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 thickTop="1" thickBot="1">
      <c r="A100" s="20" t="s">
        <v>281</v>
      </c>
      <c r="B100" s="43">
        <v>28.84</v>
      </c>
      <c r="C100" s="43">
        <v>0</v>
      </c>
      <c r="D100" s="78">
        <v>25</v>
      </c>
      <c r="E100" s="1" t="s">
        <v>133</v>
      </c>
      <c r="F100" s="7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.75" customHeight="1" thickTop="1" thickBot="1">
      <c r="A101" s="84" t="s">
        <v>282</v>
      </c>
      <c r="B101" s="43">
        <v>29.12</v>
      </c>
      <c r="C101" s="43">
        <v>0</v>
      </c>
      <c r="D101" s="7"/>
      <c r="E101" s="1"/>
      <c r="F101" s="7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.75" customHeight="1" thickTop="1" thickBot="1">
      <c r="A102" s="85" t="s">
        <v>283</v>
      </c>
      <c r="B102" s="104">
        <f>B91*E56+B92*E57+B93*E58+B94*E59+B95*E60+B96*E61+B97*E62+B98*E63+B99*E64+B100*E65+B101*E66</f>
        <v>34.10296788426021</v>
      </c>
      <c r="C102" s="75"/>
      <c r="D102" s="78">
        <v>31</v>
      </c>
      <c r="E102" s="1" t="s">
        <v>134</v>
      </c>
      <c r="F102" s="7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.75" customHeight="1" thickTop="1" thickBot="1">
      <c r="A103" s="85" t="s">
        <v>284</v>
      </c>
      <c r="B103" s="105">
        <f>B91*H56+B92*H57+B93*H58+B94*H59+B95*H60+B96*H61+B97*H62+B98*H63+B99*H64+B100*H65+B101*H66</f>
        <v>30.208767013560788</v>
      </c>
      <c r="C103" s="86"/>
      <c r="D103" s="78">
        <v>32</v>
      </c>
      <c r="E103" s="1" t="s">
        <v>135</v>
      </c>
      <c r="F103" s="7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.75" customHeight="1" thickTop="1" thickBot="1">
      <c r="A104" s="7"/>
      <c r="B104" s="53" t="s">
        <v>162</v>
      </c>
      <c r="C104" s="46"/>
      <c r="D104" s="78">
        <v>33</v>
      </c>
      <c r="E104" s="1" t="s">
        <v>136</v>
      </c>
      <c r="F104" s="7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.75" customHeight="1" thickTop="1" thickBot="1">
      <c r="A105" s="7"/>
      <c r="B105" s="53" t="s">
        <v>163</v>
      </c>
      <c r="C105" s="47">
        <f>C99*2+C100*5-C92-2*C98</f>
        <v>346.6</v>
      </c>
      <c r="D105" s="78">
        <v>34</v>
      </c>
      <c r="E105" s="1" t="s">
        <v>137</v>
      </c>
      <c r="F105" s="7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.75" customHeight="1" thickTop="1" thickBot="1">
      <c r="A106" s="7"/>
      <c r="B106" s="53" t="s">
        <v>164</v>
      </c>
      <c r="C106" s="47">
        <f>3*C99+7*C100-C93-3*C98</f>
        <v>497.75</v>
      </c>
      <c r="D106" s="78">
        <v>35</v>
      </c>
      <c r="E106" s="89" t="s">
        <v>138</v>
      </c>
      <c r="F106" s="15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.75" customHeight="1" thickTop="1" thickBot="1">
      <c r="A107" s="7"/>
      <c r="B107" s="53" t="s">
        <v>165</v>
      </c>
      <c r="C107" s="47">
        <f>4*C99+9*C100-C94-4*C98</f>
        <v>650.97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.75" customHeight="1" thickTop="1" thickBot="1">
      <c r="A108" s="7"/>
      <c r="B108" s="53" t="s">
        <v>166</v>
      </c>
      <c r="C108" s="47">
        <f>5*C99-C95-C98*5</f>
        <v>802.86000000000013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.75" customHeight="1" thickTop="1" thickBot="1">
      <c r="A109" s="7"/>
      <c r="B109" s="53" t="s">
        <v>167</v>
      </c>
      <c r="C109" s="111">
        <f>2*C99-C91-C97</f>
        <v>247.04999999999998</v>
      </c>
      <c r="D109" s="1" t="s">
        <v>79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.75" customHeight="1" thickTop="1" thickBot="1">
      <c r="A110" s="7"/>
      <c r="B110" s="53" t="s">
        <v>168</v>
      </c>
      <c r="C110" s="47">
        <f>4*C99-C92-2*C97</f>
        <v>428.9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.75" customHeight="1" thickTop="1" thickBot="1">
      <c r="A111" s="7"/>
      <c r="B111" s="53" t="s">
        <v>169</v>
      </c>
      <c r="C111" s="47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.75" customHeight="1">
      <c r="A112" s="7"/>
      <c r="B112" s="53" t="s">
        <v>170</v>
      </c>
      <c r="C112" s="4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.75" customHeight="1">
      <c r="A113" s="7"/>
      <c r="B113" s="53" t="s">
        <v>171</v>
      </c>
      <c r="C113" s="4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.75" customHeight="1">
      <c r="A114" s="7"/>
      <c r="B114" s="53" t="s">
        <v>172</v>
      </c>
      <c r="C114" s="47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.75" customHeight="1">
      <c r="A115" s="7"/>
      <c r="B115" s="53" t="s">
        <v>173</v>
      </c>
      <c r="C115" s="47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.75" customHeight="1">
      <c r="A116" s="7"/>
      <c r="B116" s="53" t="s">
        <v>174</v>
      </c>
      <c r="C116" s="47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.75" customHeight="1">
      <c r="A117" s="7"/>
      <c r="B117" s="53" t="s">
        <v>175</v>
      </c>
      <c r="C117" s="47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.75" customHeight="1">
      <c r="A118" s="7"/>
      <c r="B118" s="53" t="s">
        <v>176</v>
      </c>
      <c r="C118" s="47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.75" customHeight="1"/>
    <row r="138" spans="1:17" ht="15.75" customHeight="1"/>
    <row r="139" spans="1:17" ht="15.75" customHeight="1"/>
    <row r="140" spans="1:17" ht="15.75" customHeight="1"/>
    <row r="141" spans="1:17" ht="15.75" customHeight="1"/>
    <row r="142" spans="1:17" ht="15.75" customHeight="1"/>
    <row r="143" spans="1:17" ht="15.75" customHeight="1"/>
    <row r="144" spans="1:17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6:E16"/>
    <mergeCell ref="F16:H16"/>
    <mergeCell ref="F88:I88"/>
    <mergeCell ref="D53:I53"/>
    <mergeCell ref="M7:O7"/>
    <mergeCell ref="M9:O9"/>
    <mergeCell ref="M11:O11"/>
    <mergeCell ref="M13:O13"/>
    <mergeCell ref="M15:O15"/>
  </mergeCells>
  <pageMargins left="0.78749999999999998" right="0.78749999999999998" top="1.05277777777778" bottom="1.05277777777778" header="0" footer="0"/>
  <pageSetup paperSize="9" orientation="portrait"/>
  <headerFooter>
    <oddHeader>&amp;Cffffff&amp;A</oddHeader>
    <oddFooter>&amp;CffffffСтраница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opLeftCell="A49" workbookViewId="0">
      <selection activeCell="D66" sqref="D66"/>
    </sheetView>
  </sheetViews>
  <sheetFormatPr defaultColWidth="12.5703125" defaultRowHeight="15" customHeight="1"/>
  <cols>
    <col min="1" max="6" width="12.5703125" customWidth="1"/>
  </cols>
  <sheetData>
    <row r="1" spans="1:17" ht="15.75" customHeight="1">
      <c r="A1" s="1" t="s">
        <v>0</v>
      </c>
    </row>
    <row r="2" spans="1:17" ht="15.75" customHeight="1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 t="s">
        <v>2</v>
      </c>
      <c r="L3" s="1"/>
      <c r="M3" s="1"/>
      <c r="N3" s="1"/>
      <c r="O3" s="1"/>
      <c r="P3" s="1"/>
      <c r="Q3" s="1"/>
    </row>
    <row r="4" spans="1:17" ht="15.75" customHeight="1">
      <c r="A4" s="3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.75" customHeight="1">
      <c r="A5" s="1"/>
      <c r="B5" s="1"/>
      <c r="C5" s="4"/>
      <c r="D5" s="5" t="s">
        <v>4</v>
      </c>
      <c r="E5" s="6"/>
      <c r="F5" s="1"/>
      <c r="G5" s="4"/>
      <c r="H5" s="4"/>
      <c r="I5" s="6"/>
      <c r="J5" s="1"/>
      <c r="K5" s="1"/>
      <c r="L5" s="1"/>
      <c r="M5" s="1"/>
      <c r="N5" s="1"/>
      <c r="O5" s="1"/>
      <c r="P5" s="1"/>
      <c r="Q5" s="1"/>
    </row>
    <row r="6" spans="1:17" ht="15.75" customHeight="1">
      <c r="A6" s="1"/>
      <c r="B6" s="7"/>
      <c r="C6" s="8" t="s">
        <v>5</v>
      </c>
      <c r="D6" s="9"/>
      <c r="E6" s="10">
        <v>7000</v>
      </c>
      <c r="F6" s="7" t="s">
        <v>6</v>
      </c>
      <c r="G6" s="8" t="s">
        <v>7</v>
      </c>
      <c r="H6" s="9"/>
      <c r="I6" s="10">
        <v>0.15</v>
      </c>
      <c r="J6" s="1"/>
      <c r="K6" s="1"/>
      <c r="L6" s="1"/>
      <c r="M6" s="1"/>
      <c r="N6" s="1"/>
      <c r="O6" s="1"/>
      <c r="P6" s="1"/>
      <c r="Q6" s="1"/>
    </row>
    <row r="7" spans="1:17" ht="15.75" customHeight="1">
      <c r="A7" s="1"/>
      <c r="B7" s="7"/>
      <c r="C7" s="11" t="s">
        <v>8</v>
      </c>
      <c r="D7" s="12" t="s">
        <v>9</v>
      </c>
      <c r="E7" s="10">
        <v>0.8</v>
      </c>
      <c r="F7" s="7"/>
      <c r="G7" s="8" t="s">
        <v>10</v>
      </c>
      <c r="H7" s="9"/>
      <c r="I7" s="13">
        <v>1.4</v>
      </c>
      <c r="J7" s="1"/>
      <c r="K7" s="1"/>
      <c r="L7" s="1"/>
      <c r="M7" s="120"/>
      <c r="N7" s="118"/>
      <c r="O7" s="118"/>
      <c r="P7" s="1"/>
      <c r="Q7" s="1"/>
    </row>
    <row r="8" spans="1:17" ht="15.75" customHeight="1">
      <c r="A8" s="1"/>
      <c r="B8" s="1"/>
      <c r="C8" s="7"/>
      <c r="D8" s="12" t="s">
        <v>11</v>
      </c>
      <c r="E8" s="10">
        <v>0.03</v>
      </c>
      <c r="F8" s="1"/>
      <c r="G8" s="14" t="s">
        <v>12</v>
      </c>
      <c r="H8" s="4"/>
      <c r="I8" s="4"/>
      <c r="J8" s="1"/>
      <c r="K8" s="1"/>
      <c r="L8" s="1"/>
      <c r="M8" s="1"/>
      <c r="N8" s="1"/>
      <c r="O8" s="1"/>
      <c r="P8" s="1"/>
      <c r="Q8" s="1"/>
    </row>
    <row r="9" spans="1:17" ht="15.75" customHeight="1">
      <c r="A9" s="1"/>
      <c r="B9" s="1"/>
      <c r="C9" s="7"/>
      <c r="D9" s="12" t="s">
        <v>13</v>
      </c>
      <c r="E9" s="10">
        <v>0.04</v>
      </c>
      <c r="F9" s="7"/>
      <c r="G9" s="4" t="s">
        <v>14</v>
      </c>
      <c r="H9" s="15"/>
      <c r="I9" s="15">
        <v>5</v>
      </c>
      <c r="J9" s="1"/>
      <c r="K9" s="1"/>
      <c r="L9" s="1"/>
      <c r="M9" s="120"/>
      <c r="N9" s="118"/>
      <c r="O9" s="118"/>
      <c r="P9" s="1"/>
      <c r="Q9" s="1"/>
    </row>
    <row r="10" spans="1:17" ht="15.75" customHeight="1">
      <c r="A10" s="1"/>
      <c r="B10" s="1"/>
      <c r="C10" s="7"/>
      <c r="D10" s="12" t="s">
        <v>15</v>
      </c>
      <c r="E10" s="10">
        <v>0.05</v>
      </c>
      <c r="F10" s="7"/>
      <c r="G10" s="4" t="s">
        <v>16</v>
      </c>
      <c r="H10" s="15"/>
      <c r="I10" s="15">
        <v>4</v>
      </c>
      <c r="J10" s="1"/>
      <c r="K10" s="1"/>
      <c r="L10" s="1"/>
      <c r="M10" s="1"/>
      <c r="N10" s="1"/>
      <c r="O10" s="1"/>
      <c r="P10" s="1"/>
      <c r="Q10" s="1"/>
    </row>
    <row r="11" spans="1:17" ht="15.75" customHeight="1">
      <c r="A11" s="1"/>
      <c r="B11" s="1"/>
      <c r="C11" s="7"/>
      <c r="D11" s="12" t="s">
        <v>17</v>
      </c>
      <c r="E11" s="10">
        <v>3.0000000000000001E-3</v>
      </c>
      <c r="F11" s="7"/>
      <c r="G11" s="4" t="s">
        <v>18</v>
      </c>
      <c r="H11" s="15"/>
      <c r="I11" s="15">
        <v>3</v>
      </c>
      <c r="J11" s="1"/>
      <c r="K11" s="1"/>
      <c r="L11" s="1"/>
      <c r="M11" s="120"/>
      <c r="N11" s="118"/>
      <c r="O11" s="118"/>
      <c r="P11" s="1"/>
      <c r="Q11" s="1"/>
    </row>
    <row r="12" spans="1:17" ht="15.75" customHeight="1">
      <c r="A12" s="1"/>
      <c r="B12" s="1"/>
      <c r="C12" s="7"/>
      <c r="D12" s="12" t="s">
        <v>19</v>
      </c>
      <c r="E12" s="6">
        <f>1-(E7+E8+E9+E10+E11)</f>
        <v>7.6999999999999846E-2</v>
      </c>
      <c r="F12" s="7"/>
      <c r="G12" s="4" t="s">
        <v>20</v>
      </c>
      <c r="H12" s="15"/>
      <c r="I12" s="15">
        <v>2</v>
      </c>
      <c r="J12" s="1"/>
      <c r="K12" s="1"/>
      <c r="L12" s="1"/>
      <c r="M12" s="1"/>
      <c r="N12" s="1"/>
      <c r="O12" s="1"/>
      <c r="P12" s="1"/>
      <c r="Q12" s="1"/>
    </row>
    <row r="13" spans="1:17" ht="15.75" customHeight="1">
      <c r="A13" s="1"/>
      <c r="B13" s="1"/>
      <c r="C13" s="1"/>
      <c r="D13" s="16">
        <v>22.4</v>
      </c>
      <c r="E13" s="1"/>
      <c r="F13" s="7"/>
      <c r="G13" s="4" t="s">
        <v>21</v>
      </c>
      <c r="H13" s="15"/>
      <c r="I13" s="15">
        <v>1</v>
      </c>
      <c r="J13" s="1"/>
      <c r="K13" s="1"/>
      <c r="L13" s="1"/>
      <c r="M13" s="120"/>
      <c r="N13" s="118"/>
      <c r="O13" s="118"/>
      <c r="P13" s="1"/>
      <c r="Q13" s="1"/>
    </row>
    <row r="14" spans="1:17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.75" customHeight="1">
      <c r="A15" s="4"/>
      <c r="B15" s="4"/>
      <c r="C15" s="4"/>
      <c r="D15" s="4"/>
      <c r="E15" s="5" t="s">
        <v>22</v>
      </c>
      <c r="F15" s="4"/>
      <c r="G15" s="4"/>
      <c r="H15" s="4"/>
      <c r="I15" s="4"/>
      <c r="J15" s="4"/>
      <c r="K15" s="1"/>
      <c r="L15" s="1"/>
      <c r="M15" s="120"/>
      <c r="N15" s="118"/>
      <c r="O15" s="118"/>
      <c r="P15" s="1"/>
      <c r="Q15" s="1"/>
    </row>
    <row r="16" spans="1:17" ht="15.75" customHeight="1">
      <c r="A16" s="17"/>
      <c r="B16" s="15"/>
      <c r="C16" s="114" t="s">
        <v>23</v>
      </c>
      <c r="D16" s="115"/>
      <c r="E16" s="116"/>
      <c r="F16" s="114" t="s">
        <v>24</v>
      </c>
      <c r="G16" s="115"/>
      <c r="H16" s="116"/>
      <c r="I16" s="8" t="s">
        <v>25</v>
      </c>
      <c r="J16" s="15"/>
      <c r="K16" s="1"/>
      <c r="L16" s="1"/>
      <c r="M16" s="1"/>
      <c r="N16" s="1"/>
      <c r="O16" s="1">
        <f>O23/2</f>
        <v>-7.3499999999999091</v>
      </c>
      <c r="P16" s="1"/>
      <c r="Q16" s="1"/>
    </row>
    <row r="17" spans="1:19" ht="15.75" customHeight="1">
      <c r="A17" s="18" t="s">
        <v>26</v>
      </c>
      <c r="B17" s="19" t="s">
        <v>27</v>
      </c>
      <c r="C17" s="19" t="s">
        <v>28</v>
      </c>
      <c r="D17" s="19" t="s">
        <v>29</v>
      </c>
      <c r="E17" s="19" t="s">
        <v>30</v>
      </c>
      <c r="F17" s="19" t="s">
        <v>31</v>
      </c>
      <c r="G17" s="19" t="s">
        <v>32</v>
      </c>
      <c r="H17" s="19" t="s">
        <v>33</v>
      </c>
      <c r="I17" s="19" t="s">
        <v>34</v>
      </c>
      <c r="J17" s="19" t="s">
        <v>35</v>
      </c>
      <c r="K17" s="1"/>
      <c r="L17" s="1"/>
      <c r="M17" s="1" t="s">
        <v>35</v>
      </c>
      <c r="N17" s="1" t="s">
        <v>34</v>
      </c>
      <c r="O17" s="1" t="s">
        <v>32</v>
      </c>
      <c r="P17" s="1"/>
      <c r="Q17" s="1"/>
    </row>
    <row r="18" spans="1:19" ht="15.75" customHeight="1">
      <c r="A18" s="20" t="s">
        <v>36</v>
      </c>
      <c r="B18" s="15">
        <v>16</v>
      </c>
      <c r="C18" s="21">
        <f>D18/D13*B18</f>
        <v>600</v>
      </c>
      <c r="D18" s="21">
        <f>F29*E7</f>
        <v>840</v>
      </c>
      <c r="E18" s="22">
        <f>D18/D27</f>
        <v>6.8571428571428575E-2</v>
      </c>
      <c r="F18" s="21">
        <f t="shared" ref="F18:F26" si="0">C18+I18</f>
        <v>5.2499999999998863</v>
      </c>
      <c r="G18" s="22">
        <f>-O16</f>
        <v>7.3499999999999091</v>
      </c>
      <c r="H18" s="22">
        <f>G18/G27</f>
        <v>5.9308630817893522E-4</v>
      </c>
      <c r="I18" s="21">
        <f>J18/D13*B18</f>
        <v>-594.75000000000011</v>
      </c>
      <c r="J18" s="21">
        <f>G18-D18</f>
        <v>-832.65000000000009</v>
      </c>
      <c r="K18" s="1"/>
      <c r="L18" s="1" t="s">
        <v>37</v>
      </c>
      <c r="M18" s="23">
        <f t="shared" ref="M18:M22" si="1">-D18</f>
        <v>-840</v>
      </c>
      <c r="N18" s="1">
        <f>M18/22.4*B18</f>
        <v>-600</v>
      </c>
      <c r="O18" s="24">
        <f>M18+D18</f>
        <v>0</v>
      </c>
      <c r="Q18" s="24"/>
      <c r="R18" s="24"/>
    </row>
    <row r="19" spans="1:19" ht="15.75" customHeight="1">
      <c r="A19" s="20" t="s">
        <v>38</v>
      </c>
      <c r="B19" s="15">
        <v>30</v>
      </c>
      <c r="C19" s="21">
        <f>D19/D13*B19</f>
        <v>42.1875</v>
      </c>
      <c r="D19" s="21">
        <f>F29*E8</f>
        <v>31.5</v>
      </c>
      <c r="E19" s="22">
        <f>D19/D27</f>
        <v>2.5714285714285713E-3</v>
      </c>
      <c r="F19" s="21">
        <f t="shared" si="0"/>
        <v>0</v>
      </c>
      <c r="G19" s="21">
        <f>D19+(J19)</f>
        <v>0</v>
      </c>
      <c r="H19" s="22">
        <f>G19/G27</f>
        <v>0</v>
      </c>
      <c r="I19" s="21">
        <f>J19/D13*B19</f>
        <v>-42.1875</v>
      </c>
      <c r="J19" s="21">
        <f t="shared" ref="J19:J22" si="2">-D19</f>
        <v>-31.5</v>
      </c>
      <c r="K19" s="1"/>
      <c r="L19" s="1" t="s">
        <v>39</v>
      </c>
      <c r="M19" s="23">
        <f t="shared" si="1"/>
        <v>-31.5</v>
      </c>
      <c r="N19" s="1">
        <f>M19/D13*B19</f>
        <v>-42.1875</v>
      </c>
      <c r="O19" s="24">
        <f>J19+D19</f>
        <v>0</v>
      </c>
      <c r="Q19" s="24"/>
      <c r="R19" s="24"/>
    </row>
    <row r="20" spans="1:19" ht="15.75" customHeight="1">
      <c r="A20" s="20" t="s">
        <v>40</v>
      </c>
      <c r="B20" s="15">
        <v>44</v>
      </c>
      <c r="C20" s="21">
        <f>D20/D13*B20</f>
        <v>82.500000000000014</v>
      </c>
      <c r="D20" s="21">
        <f>F29*E9</f>
        <v>42</v>
      </c>
      <c r="E20" s="22">
        <f>D20/D27</f>
        <v>3.4285714285714284E-3</v>
      </c>
      <c r="F20" s="21">
        <f t="shared" si="0"/>
        <v>0</v>
      </c>
      <c r="G20" s="21">
        <f t="shared" ref="G20:G26" si="3">D20+J20</f>
        <v>0</v>
      </c>
      <c r="H20" s="22">
        <f>G20/G27</f>
        <v>0</v>
      </c>
      <c r="I20" s="21">
        <f>J20/D13*B20</f>
        <v>-82.500000000000014</v>
      </c>
      <c r="J20" s="21">
        <f t="shared" si="2"/>
        <v>-42</v>
      </c>
      <c r="K20" s="1"/>
      <c r="L20" s="1" t="s">
        <v>41</v>
      </c>
      <c r="M20" s="23">
        <f t="shared" si="1"/>
        <v>-42</v>
      </c>
      <c r="N20" s="1">
        <f>M20/D13*B20</f>
        <v>-82.500000000000014</v>
      </c>
      <c r="O20" s="23">
        <f t="shared" ref="O20:O26" si="4">M20+D20</f>
        <v>0</v>
      </c>
      <c r="Q20" s="24"/>
      <c r="R20" s="24"/>
      <c r="S20" s="24"/>
    </row>
    <row r="21" spans="1:19" ht="15.75" customHeight="1">
      <c r="A21" s="20" t="s">
        <v>42</v>
      </c>
      <c r="B21" s="15">
        <v>58</v>
      </c>
      <c r="C21" s="21">
        <f>D21/D13*B21</f>
        <v>135.9375</v>
      </c>
      <c r="D21" s="21">
        <f>F29*E10</f>
        <v>52.5</v>
      </c>
      <c r="E21" s="22">
        <f>D21/D27</f>
        <v>4.2857142857142859E-3</v>
      </c>
      <c r="F21" s="21">
        <f t="shared" si="0"/>
        <v>0</v>
      </c>
      <c r="G21" s="21">
        <f t="shared" si="3"/>
        <v>0</v>
      </c>
      <c r="H21" s="22">
        <f>G21/G27</f>
        <v>0</v>
      </c>
      <c r="I21" s="21">
        <f>J21/D13*B21</f>
        <v>-135.9375</v>
      </c>
      <c r="J21" s="21">
        <f t="shared" si="2"/>
        <v>-52.5</v>
      </c>
      <c r="K21" s="1"/>
      <c r="L21" s="4" t="s">
        <v>43</v>
      </c>
      <c r="M21" s="23">
        <f t="shared" si="1"/>
        <v>-52.5</v>
      </c>
      <c r="N21" s="1">
        <f>M21/D13*B21</f>
        <v>-135.9375</v>
      </c>
      <c r="O21" s="23">
        <f t="shared" si="4"/>
        <v>0</v>
      </c>
      <c r="Q21" s="24"/>
      <c r="R21" s="24"/>
    </row>
    <row r="22" spans="1:19" ht="15.75" customHeight="1">
      <c r="A22" s="20" t="s">
        <v>44</v>
      </c>
      <c r="B22" s="15">
        <v>72</v>
      </c>
      <c r="C22" s="21">
        <f>D22/D13*B22</f>
        <v>10.125</v>
      </c>
      <c r="D22" s="21">
        <f>F29*E11</f>
        <v>3.15</v>
      </c>
      <c r="E22" s="22">
        <f>D22/D27</f>
        <v>2.5714285714285715E-4</v>
      </c>
      <c r="F22" s="21">
        <f t="shared" si="0"/>
        <v>0</v>
      </c>
      <c r="G22" s="25">
        <f t="shared" si="3"/>
        <v>0</v>
      </c>
      <c r="H22" s="22">
        <f>G22/G27</f>
        <v>0</v>
      </c>
      <c r="I22" s="21">
        <f>J22/D13*B22</f>
        <v>-10.125</v>
      </c>
      <c r="J22" s="21">
        <f t="shared" si="2"/>
        <v>-3.15</v>
      </c>
      <c r="K22" s="7"/>
      <c r="L22" s="26" t="s">
        <v>45</v>
      </c>
      <c r="M22" s="23">
        <f t="shared" si="1"/>
        <v>-3.15</v>
      </c>
      <c r="N22" s="1">
        <f>M22/D13*B22</f>
        <v>-10.125</v>
      </c>
      <c r="O22" s="23">
        <f t="shared" si="4"/>
        <v>0</v>
      </c>
      <c r="R22" s="24"/>
      <c r="S22" s="1"/>
    </row>
    <row r="23" spans="1:19" ht="15.75" customHeight="1">
      <c r="A23" s="20" t="s">
        <v>46</v>
      </c>
      <c r="B23" s="15">
        <v>32</v>
      </c>
      <c r="C23" s="21">
        <f>D23/D13*B23</f>
        <v>3360</v>
      </c>
      <c r="D23" s="21">
        <f>F29*E7*I7*2</f>
        <v>2352</v>
      </c>
      <c r="E23" s="22">
        <f>D23/D27</f>
        <v>0.192</v>
      </c>
      <c r="F23" s="27">
        <f t="shared" si="0"/>
        <v>0</v>
      </c>
      <c r="G23" s="28">
        <f t="shared" si="3"/>
        <v>0</v>
      </c>
      <c r="H23" s="22">
        <f>G23/G27</f>
        <v>0</v>
      </c>
      <c r="I23" s="21">
        <f>J23/D13*B23</f>
        <v>-3360</v>
      </c>
      <c r="J23" s="21">
        <f>J22*8+J21*6.5+J20*5+J19*3.5+J18*2</f>
        <v>-2352</v>
      </c>
      <c r="K23" s="7"/>
      <c r="L23" s="29" t="s">
        <v>47</v>
      </c>
      <c r="M23" s="1">
        <f>(M22*8+M21*6.5+M20*5+M19*3.5+M18*2)</f>
        <v>-2366.6999999999998</v>
      </c>
      <c r="N23" s="1">
        <f>M23/D13*B23</f>
        <v>-3381</v>
      </c>
      <c r="O23" s="30">
        <f t="shared" si="4"/>
        <v>-14.699999999999818</v>
      </c>
      <c r="Q23" s="24"/>
      <c r="R23" s="24"/>
      <c r="S23" s="1"/>
    </row>
    <row r="24" spans="1:19" ht="15.75" customHeight="1">
      <c r="A24" s="20" t="s">
        <v>48</v>
      </c>
      <c r="B24" s="15">
        <v>44</v>
      </c>
      <c r="C24" s="21">
        <f>D24/D13*B24</f>
        <v>0</v>
      </c>
      <c r="D24" s="21">
        <v>0</v>
      </c>
      <c r="E24" s="22">
        <f>D24/D27</f>
        <v>0</v>
      </c>
      <c r="F24" s="21">
        <f t="shared" si="0"/>
        <v>2450.2500000000005</v>
      </c>
      <c r="G24" s="21">
        <f t="shared" si="3"/>
        <v>1247.4000000000001</v>
      </c>
      <c r="H24" s="22">
        <f>G24/G27</f>
        <v>0.10065521915951198</v>
      </c>
      <c r="I24" s="21">
        <f>J24/D13*B24</f>
        <v>2450.2500000000005</v>
      </c>
      <c r="J24" s="21">
        <f>-J22*5+(-J21*4)+(-J20*3)+(-J19*2)+(-J18*1)</f>
        <v>1247.4000000000001</v>
      </c>
      <c r="K24" s="7"/>
      <c r="L24" s="31" t="s">
        <v>49</v>
      </c>
      <c r="M24" s="23">
        <f>-(M22*8+M21*4+M20*3+M19*2+M18)</f>
        <v>1264.2</v>
      </c>
      <c r="N24" s="1">
        <f>M24/D13*B24</f>
        <v>2483.2500000000005</v>
      </c>
      <c r="O24" s="23">
        <f t="shared" si="4"/>
        <v>1264.2</v>
      </c>
      <c r="Q24" s="24"/>
      <c r="R24" s="24"/>
      <c r="S24" s="1"/>
    </row>
    <row r="25" spans="1:19" ht="15.75" customHeight="1">
      <c r="A25" s="20" t="s">
        <v>50</v>
      </c>
      <c r="B25" s="15">
        <v>18</v>
      </c>
      <c r="C25" s="21">
        <f>D25/D13*B25</f>
        <v>0</v>
      </c>
      <c r="D25" s="21">
        <v>0</v>
      </c>
      <c r="E25" s="22">
        <f>D25/D27</f>
        <v>0</v>
      </c>
      <c r="F25" s="21">
        <f t="shared" si="0"/>
        <v>1775.2500000000002</v>
      </c>
      <c r="G25" s="21">
        <f t="shared" si="3"/>
        <v>2209.2000000000003</v>
      </c>
      <c r="H25" s="22">
        <f>G25/G27</f>
        <v>0.17826479891549932</v>
      </c>
      <c r="I25" s="21">
        <f>J25/D13*B25</f>
        <v>1775.2500000000002</v>
      </c>
      <c r="J25" s="21">
        <f>-J22*6+(-J21*5)+(-J20*4)+(-J19*3)+(-J18*2)</f>
        <v>2209.2000000000003</v>
      </c>
      <c r="K25" s="7"/>
      <c r="L25" s="31" t="s">
        <v>51</v>
      </c>
      <c r="M25" s="1">
        <f>-(M22*6+M21*5+M20*4+M19*3+M18*2)</f>
        <v>2223.9</v>
      </c>
      <c r="N25" s="1">
        <f>M25/D13*B25</f>
        <v>1787.0625000000002</v>
      </c>
      <c r="O25" s="23">
        <f t="shared" si="4"/>
        <v>2223.9</v>
      </c>
      <c r="Q25" s="24"/>
      <c r="R25" s="24"/>
      <c r="S25" s="1"/>
    </row>
    <row r="26" spans="1:19" ht="15.75" customHeight="1">
      <c r="A26" s="20" t="s">
        <v>52</v>
      </c>
      <c r="B26" s="15">
        <v>28</v>
      </c>
      <c r="C26" s="25">
        <f>D26/D13*B26</f>
        <v>11161.062500000002</v>
      </c>
      <c r="D26" s="21">
        <f>D23*79/21+F29*(1-E7-E8-E9-E10-E11)</f>
        <v>8928.85</v>
      </c>
      <c r="E26" s="32">
        <f>D26/D27</f>
        <v>0.72888571428571436</v>
      </c>
      <c r="F26" s="25">
        <f t="shared" si="0"/>
        <v>11161.062500000002</v>
      </c>
      <c r="G26" s="21">
        <f t="shared" si="3"/>
        <v>8928.85</v>
      </c>
      <c r="H26" s="32">
        <f>G26/G27</f>
        <v>0.72048689561680967</v>
      </c>
      <c r="I26" s="25">
        <f>J26/D13*B26</f>
        <v>0</v>
      </c>
      <c r="J26" s="21">
        <v>0</v>
      </c>
      <c r="K26" s="1"/>
      <c r="L26" s="31" t="s">
        <v>53</v>
      </c>
      <c r="M26" s="1">
        <v>0</v>
      </c>
      <c r="N26" s="1">
        <f>M26/D13*B26</f>
        <v>0</v>
      </c>
      <c r="O26" s="24">
        <f t="shared" si="4"/>
        <v>8928.85</v>
      </c>
      <c r="P26" s="24"/>
      <c r="Q26" s="24"/>
    </row>
    <row r="27" spans="1:19" ht="15.75" customHeight="1">
      <c r="A27" s="33" t="s">
        <v>54</v>
      </c>
      <c r="B27" s="9"/>
      <c r="C27" s="28">
        <f t="shared" ref="C27:J27" si="5">SUM(C18:C26)</f>
        <v>15391.812500000002</v>
      </c>
      <c r="D27" s="27">
        <f t="shared" si="5"/>
        <v>12250</v>
      </c>
      <c r="E27" s="34">
        <f t="shared" si="5"/>
        <v>1</v>
      </c>
      <c r="F27" s="28">
        <f t="shared" si="5"/>
        <v>15391.812500000004</v>
      </c>
      <c r="G27" s="27">
        <f t="shared" si="5"/>
        <v>12392.800000000001</v>
      </c>
      <c r="H27" s="34">
        <f t="shared" si="5"/>
        <v>0.99999999999999989</v>
      </c>
      <c r="I27" s="28">
        <f t="shared" si="5"/>
        <v>6.8212102632969618E-13</v>
      </c>
      <c r="J27" s="21">
        <f t="shared" si="5"/>
        <v>142.80000000000018</v>
      </c>
      <c r="K27" s="1"/>
      <c r="L27" s="1"/>
      <c r="M27" s="35"/>
      <c r="N27" s="1">
        <f t="shared" ref="N27:O27" si="6">SUM(N18:N26)</f>
        <v>18.562500000000682</v>
      </c>
      <c r="O27" s="24">
        <f t="shared" si="6"/>
        <v>12402.25</v>
      </c>
      <c r="P27" s="24"/>
      <c r="Q27" s="24"/>
    </row>
    <row r="28" spans="1:19" ht="15.75" customHeight="1">
      <c r="A28" s="1"/>
      <c r="B28" s="1"/>
      <c r="C28" s="1"/>
      <c r="D28" s="1"/>
      <c r="E28" s="1"/>
      <c r="F28" s="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9" ht="15.75" customHeight="1">
      <c r="A29" s="36">
        <f>-(D63+K63)</f>
        <v>-4.5474735088646412E-13</v>
      </c>
      <c r="B29" s="1"/>
      <c r="C29" s="37" t="s">
        <v>55</v>
      </c>
      <c r="D29" s="1"/>
      <c r="E29" s="7"/>
      <c r="F29" s="15">
        <f>E6*I6</f>
        <v>1050</v>
      </c>
      <c r="G29" s="1"/>
      <c r="H29" s="1" t="s">
        <v>56</v>
      </c>
      <c r="I29" s="1">
        <v>450</v>
      </c>
      <c r="J29" s="1" t="s">
        <v>57</v>
      </c>
      <c r="K29" s="1"/>
      <c r="L29" s="1"/>
      <c r="M29" s="1"/>
      <c r="N29" s="1"/>
      <c r="O29" s="1"/>
      <c r="P29" s="1"/>
      <c r="Q29" s="1"/>
    </row>
    <row r="30" spans="1:19" ht="15.75" customHeight="1">
      <c r="A30" s="38"/>
      <c r="B30" s="39" t="s">
        <v>58</v>
      </c>
      <c r="C30" s="40" t="s">
        <v>59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9" ht="15.75" customHeight="1">
      <c r="A31" s="41" t="s">
        <v>26</v>
      </c>
      <c r="B31" s="42" t="s">
        <v>60</v>
      </c>
      <c r="C31" s="42" t="s">
        <v>61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9" ht="15.75" customHeight="1">
      <c r="A32" s="20" t="s">
        <v>62</v>
      </c>
      <c r="B32" s="43">
        <v>35.700000000000003</v>
      </c>
      <c r="C32" s="43">
        <v>-74.599999999999994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>
      <c r="A33" s="20" t="s">
        <v>63</v>
      </c>
      <c r="B33" s="43">
        <v>52.49</v>
      </c>
      <c r="C33" s="43">
        <v>-84</v>
      </c>
      <c r="D33" s="1"/>
      <c r="E33" s="1"/>
      <c r="F33" s="3" t="s">
        <v>64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>
      <c r="A34" s="20" t="s">
        <v>65</v>
      </c>
      <c r="B34" s="43">
        <v>73.599999999999994</v>
      </c>
      <c r="C34" s="43">
        <f>-103.85</f>
        <v>-103.85</v>
      </c>
      <c r="D34" s="1"/>
      <c r="E34" s="1"/>
      <c r="F34" s="4"/>
      <c r="G34" s="4"/>
      <c r="H34" s="4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>
      <c r="A35" s="20" t="s">
        <v>66</v>
      </c>
      <c r="B35" s="43">
        <v>98.49</v>
      </c>
      <c r="C35" s="43">
        <f>-125.77</f>
        <v>-125.77</v>
      </c>
      <c r="D35" s="1"/>
      <c r="E35" s="7"/>
      <c r="F35" s="44" t="s">
        <v>67</v>
      </c>
      <c r="G35" s="44" t="s">
        <v>68</v>
      </c>
      <c r="H35" s="45" t="s">
        <v>69</v>
      </c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>
      <c r="A36" s="20" t="s">
        <v>70</v>
      </c>
      <c r="B36" s="43">
        <v>120.04</v>
      </c>
      <c r="C36" s="43">
        <f>-146.36</f>
        <v>-146.36000000000001</v>
      </c>
      <c r="D36" s="1"/>
      <c r="E36" s="7" t="s">
        <v>71</v>
      </c>
      <c r="F36" s="43">
        <f>I29*B42*D27/22.4*1000/3600</f>
        <v>2061335.7031250005</v>
      </c>
      <c r="G36" s="46">
        <f>(J22*C45/1+J21*C46/1+J20*C47/1+J19*C48/1+J18*C49/1)/22.4*(1000/3600)*1000</f>
        <v>11767458.593750004</v>
      </c>
      <c r="H36" s="47">
        <f>F36+G36</f>
        <v>13828794.296875004</v>
      </c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>
      <c r="A37" s="20" t="s">
        <v>72</v>
      </c>
      <c r="B37" s="43">
        <v>29.38</v>
      </c>
      <c r="C37" s="43">
        <f>0</f>
        <v>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>
      <c r="A38" s="20" t="s">
        <v>73</v>
      </c>
      <c r="B38" s="43">
        <v>37.14</v>
      </c>
      <c r="C38" s="43">
        <f>-393.51</f>
        <v>-393.51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>
      <c r="A39" s="20" t="s">
        <v>74</v>
      </c>
      <c r="B39" s="43">
        <v>33.6</v>
      </c>
      <c r="C39" s="43">
        <f>-241.83</f>
        <v>-241.83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>
      <c r="A40" s="20" t="s">
        <v>75</v>
      </c>
      <c r="B40" s="43">
        <v>29.12</v>
      </c>
      <c r="C40" s="43">
        <f>0</f>
        <v>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>
      <c r="A41" s="4"/>
      <c r="B41" s="48"/>
      <c r="C41" s="2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>
      <c r="A42" s="49" t="s">
        <v>76</v>
      </c>
      <c r="B42" s="47">
        <f>B32*E18+B33*E19+B34*E20+B35*E21+B36*E22+B37*E23+B38*E24+B39*E25+B40*E26</f>
        <v>30.154396571428574</v>
      </c>
      <c r="C42" s="50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>
      <c r="A43" s="49" t="s">
        <v>77</v>
      </c>
      <c r="B43" s="47">
        <f>B32*H18+B33*H19+B34*H20+B35*H21+B36*H22+B37*H23+B38*H24+B39*H25+B40*H26</f>
        <v>30.729783664708538</v>
      </c>
      <c r="C43" s="5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>
      <c r="A44" s="1"/>
      <c r="B44" s="52"/>
      <c r="C44" s="4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>
      <c r="A45" s="7"/>
      <c r="B45" s="53" t="s">
        <v>78</v>
      </c>
      <c r="C45" s="47">
        <f>((5*C38+6*C39)-(C36+8*C37))</f>
        <v>-3272.1699999999996</v>
      </c>
      <c r="D45" s="1" t="s">
        <v>79</v>
      </c>
      <c r="E45" s="1"/>
      <c r="F45" s="1"/>
      <c r="G45" s="1"/>
      <c r="H45" s="1"/>
      <c r="I45" s="1"/>
      <c r="J45" s="1"/>
      <c r="K45" s="4"/>
      <c r="L45" s="54" t="s">
        <v>8</v>
      </c>
      <c r="M45" s="54" t="s">
        <v>80</v>
      </c>
      <c r="N45" s="1"/>
      <c r="O45" s="1"/>
      <c r="P45" s="1"/>
      <c r="Q45" s="1"/>
    </row>
    <row r="46" spans="1:17" ht="15.75" customHeight="1">
      <c r="A46" s="7"/>
      <c r="B46" s="53" t="s">
        <v>81</v>
      </c>
      <c r="C46" s="47">
        <f>((4*C38+5*C39)-(1*C35))</f>
        <v>-2657.42</v>
      </c>
      <c r="D46" s="1" t="s">
        <v>79</v>
      </c>
      <c r="E46" s="1"/>
      <c r="F46" s="1"/>
      <c r="G46" s="1"/>
      <c r="H46" s="1"/>
      <c r="I46" s="1"/>
      <c r="J46" s="7"/>
      <c r="K46" s="55" t="s">
        <v>82</v>
      </c>
      <c r="L46" s="10">
        <v>0.8</v>
      </c>
      <c r="M46" s="43">
        <v>35.700000000000003</v>
      </c>
      <c r="N46" s="1"/>
      <c r="O46" s="1"/>
      <c r="P46" s="1"/>
      <c r="Q46" s="1"/>
    </row>
    <row r="47" spans="1:17" ht="15.75" customHeight="1">
      <c r="A47" s="7"/>
      <c r="B47" s="53" t="s">
        <v>83</v>
      </c>
      <c r="C47" s="47">
        <f>((3*C38+4*C39)-(1*C34))</f>
        <v>-2044</v>
      </c>
      <c r="D47" s="1" t="s">
        <v>79</v>
      </c>
      <c r="E47" s="1"/>
      <c r="F47" s="1"/>
      <c r="G47" s="1"/>
      <c r="H47" s="1"/>
      <c r="I47" s="1"/>
      <c r="J47" s="7"/>
      <c r="K47" s="55" t="s">
        <v>84</v>
      </c>
      <c r="L47" s="10">
        <v>0.03</v>
      </c>
      <c r="M47" s="43">
        <v>52.49</v>
      </c>
      <c r="N47" s="1"/>
      <c r="O47" s="1"/>
      <c r="P47" s="1"/>
      <c r="Q47" s="1"/>
    </row>
    <row r="48" spans="1:17" ht="15.75" customHeight="1">
      <c r="A48" s="7"/>
      <c r="B48" s="53" t="s">
        <v>85</v>
      </c>
      <c r="C48" s="47">
        <f>((2*C38+3*C39)-(C33))</f>
        <v>-1428.51</v>
      </c>
      <c r="D48" s="1" t="s">
        <v>79</v>
      </c>
      <c r="E48" s="1"/>
      <c r="F48" s="1"/>
      <c r="G48" s="1"/>
      <c r="H48" s="1"/>
      <c r="I48" s="1"/>
      <c r="J48" s="7"/>
      <c r="K48" s="55" t="s">
        <v>86</v>
      </c>
      <c r="L48" s="10">
        <v>0.04</v>
      </c>
      <c r="M48" s="43">
        <v>73.599999999999994</v>
      </c>
      <c r="N48" s="1"/>
      <c r="O48" s="1"/>
      <c r="P48" s="1"/>
      <c r="Q48" s="1"/>
    </row>
    <row r="49" spans="1:17" ht="15.75" customHeight="1">
      <c r="A49" s="7"/>
      <c r="B49" s="53" t="s">
        <v>87</v>
      </c>
      <c r="C49" s="47">
        <f>((1*C38+2*C39)-(1*C32))</f>
        <v>-802.57</v>
      </c>
      <c r="D49" s="1" t="s">
        <v>79</v>
      </c>
      <c r="E49" s="1"/>
      <c r="F49" s="1"/>
      <c r="G49" s="1"/>
      <c r="H49" s="1"/>
      <c r="I49" s="1"/>
      <c r="J49" s="7"/>
      <c r="K49" s="55" t="s">
        <v>88</v>
      </c>
      <c r="L49" s="10">
        <v>0.05</v>
      </c>
      <c r="M49" s="43">
        <v>98.49</v>
      </c>
      <c r="N49" s="5" t="s">
        <v>89</v>
      </c>
      <c r="O49" s="1"/>
      <c r="P49" s="1"/>
      <c r="Q49" s="1"/>
    </row>
    <row r="50" spans="1:17" ht="15.75" customHeight="1">
      <c r="A50" s="1"/>
      <c r="B50" s="24"/>
      <c r="C50" s="24"/>
      <c r="D50" s="1"/>
      <c r="E50" s="1"/>
      <c r="F50" s="1"/>
      <c r="G50" s="1"/>
      <c r="H50" s="1"/>
      <c r="I50" s="1"/>
      <c r="J50" s="7"/>
      <c r="K50" s="55" t="s">
        <v>90</v>
      </c>
      <c r="L50" s="10">
        <v>3.0000000000000001E-3</v>
      </c>
      <c r="M50" s="43">
        <v>120.04</v>
      </c>
      <c r="N50" s="56">
        <f>L46*M46+L47*M47+L48*M48+L49*M49+L50*M50+L51*M51</f>
        <v>40.605560000000004</v>
      </c>
      <c r="O50" s="1"/>
      <c r="P50" s="1"/>
      <c r="Q50" s="1"/>
    </row>
    <row r="51" spans="1:17" ht="15.75" customHeight="1">
      <c r="A51" s="1"/>
      <c r="B51" s="1"/>
      <c r="C51" s="1"/>
      <c r="D51" s="1"/>
      <c r="E51" s="1"/>
      <c r="F51" s="1"/>
      <c r="G51" s="4"/>
      <c r="H51" s="1"/>
      <c r="I51" s="1"/>
      <c r="J51" s="7"/>
      <c r="K51" s="55" t="s">
        <v>19</v>
      </c>
      <c r="L51" s="6">
        <f>1-(L46+L47+L48+L49+L50)</f>
        <v>7.6999999999999846E-2</v>
      </c>
      <c r="M51" s="43">
        <v>29.12</v>
      </c>
      <c r="N51" s="1"/>
      <c r="O51" s="1"/>
      <c r="P51" s="1"/>
      <c r="Q51" s="1"/>
    </row>
    <row r="52" spans="1:17" ht="15.75" customHeight="1">
      <c r="A52" s="3" t="s">
        <v>91</v>
      </c>
      <c r="B52" s="1"/>
      <c r="C52" s="1"/>
      <c r="D52" s="1"/>
      <c r="E52" s="37" t="s">
        <v>92</v>
      </c>
      <c r="F52" s="7"/>
      <c r="G52" s="15">
        <f>E6-F29</f>
        <v>5950</v>
      </c>
      <c r="H52" s="1" t="s">
        <v>6</v>
      </c>
      <c r="I52" s="1"/>
      <c r="J52" s="1"/>
      <c r="K52" s="1"/>
      <c r="L52" s="1"/>
      <c r="M52" s="1"/>
      <c r="N52" s="1"/>
      <c r="O52" s="1"/>
      <c r="P52" s="1"/>
      <c r="Q52" s="1"/>
    </row>
    <row r="53" spans="1:17" ht="13.5" customHeight="1">
      <c r="A53" s="1"/>
      <c r="B53" s="1"/>
      <c r="C53" s="1"/>
      <c r="D53" s="119" t="s">
        <v>93</v>
      </c>
      <c r="E53" s="118"/>
      <c r="F53" s="118"/>
      <c r="G53" s="118"/>
      <c r="H53" s="118"/>
      <c r="I53" s="118"/>
      <c r="J53" s="1"/>
      <c r="K53" s="1"/>
      <c r="L53" s="1"/>
      <c r="M53" s="1"/>
      <c r="N53" s="1"/>
      <c r="O53" s="1"/>
      <c r="P53" s="1"/>
      <c r="Q53" s="1"/>
    </row>
    <row r="54" spans="1:17" ht="15.75" customHeight="1">
      <c r="A54" s="4"/>
      <c r="B54" s="4"/>
      <c r="C54" s="4"/>
      <c r="D54" s="4"/>
      <c r="E54" s="4"/>
      <c r="F54" s="4"/>
      <c r="G54" s="4"/>
      <c r="H54" s="4"/>
      <c r="I54" s="57">
        <v>22.4</v>
      </c>
      <c r="J54" s="4"/>
      <c r="K54" s="58" t="s">
        <v>94</v>
      </c>
      <c r="L54" s="58" t="s">
        <v>95</v>
      </c>
      <c r="M54" s="58" t="s">
        <v>96</v>
      </c>
      <c r="N54" s="1"/>
      <c r="O54" s="1"/>
      <c r="P54" s="1"/>
      <c r="Q54" s="1"/>
    </row>
    <row r="55" spans="1:17" ht="15.75" customHeight="1">
      <c r="A55" s="59" t="s">
        <v>26</v>
      </c>
      <c r="B55" s="44" t="s">
        <v>27</v>
      </c>
      <c r="C55" s="44" t="s">
        <v>28</v>
      </c>
      <c r="D55" s="44" t="s">
        <v>29</v>
      </c>
      <c r="E55" s="44" t="s">
        <v>30</v>
      </c>
      <c r="F55" s="44" t="s">
        <v>31</v>
      </c>
      <c r="G55" s="44" t="s">
        <v>32</v>
      </c>
      <c r="H55" s="44" t="s">
        <v>33</v>
      </c>
      <c r="I55" s="44" t="s">
        <v>34</v>
      </c>
      <c r="J55" s="44" t="s">
        <v>35</v>
      </c>
      <c r="K55" s="44" t="s">
        <v>97</v>
      </c>
      <c r="L55" s="44" t="s">
        <v>98</v>
      </c>
      <c r="M55" s="44" t="s">
        <v>99</v>
      </c>
      <c r="N55" s="60"/>
      <c r="O55" s="1"/>
      <c r="P55" s="1"/>
      <c r="Q55" s="1"/>
    </row>
    <row r="56" spans="1:17" ht="15.75" customHeight="1">
      <c r="A56" s="20" t="s">
        <v>100</v>
      </c>
      <c r="B56" s="61">
        <v>16</v>
      </c>
      <c r="C56" s="21">
        <f>D56/I54*B56</f>
        <v>3405.2500000000005</v>
      </c>
      <c r="D56" s="43">
        <f>G52*L46+G18</f>
        <v>4767.3500000000004</v>
      </c>
      <c r="E56" s="22">
        <f>D56/D67</f>
        <v>0.25990306823385739</v>
      </c>
      <c r="F56" s="21">
        <f t="shared" ref="F56:G56" si="7">C56+I56</f>
        <v>2615.0000000000005</v>
      </c>
      <c r="G56" s="21">
        <f t="shared" si="7"/>
        <v>3661.0000000000005</v>
      </c>
      <c r="H56" s="22">
        <f>G56/G67</f>
        <v>0.14485327720153443</v>
      </c>
      <c r="I56" s="21">
        <f>J56/I54*B56</f>
        <v>-790.25</v>
      </c>
      <c r="J56" s="43">
        <f t="shared" ref="J56:J66" si="8">SUM(K56:M56)</f>
        <v>-1106.3499999999999</v>
      </c>
      <c r="K56" s="43"/>
      <c r="L56" s="43">
        <v>-1106.3499999999999</v>
      </c>
      <c r="M56" s="43"/>
      <c r="N56" s="1"/>
      <c r="O56" s="1"/>
      <c r="P56" s="1"/>
      <c r="Q56" s="24"/>
    </row>
    <row r="57" spans="1:17" ht="15.75" customHeight="1">
      <c r="A57" s="20" t="s">
        <v>101</v>
      </c>
      <c r="B57" s="61">
        <v>30</v>
      </c>
      <c r="C57" s="21">
        <f>D57/I54*B57</f>
        <v>239.06250000000003</v>
      </c>
      <c r="D57" s="43">
        <f>G52*L47</f>
        <v>178.5</v>
      </c>
      <c r="E57" s="22">
        <f>D57/D67</f>
        <v>9.7313387269119204E-3</v>
      </c>
      <c r="F57" s="21">
        <f t="shared" ref="F57:G57" si="9">C57+I57</f>
        <v>0</v>
      </c>
      <c r="G57" s="21">
        <f t="shared" si="9"/>
        <v>0</v>
      </c>
      <c r="H57" s="22">
        <f>G57/G67</f>
        <v>0</v>
      </c>
      <c r="I57" s="21">
        <f>J57/I54*B57</f>
        <v>-239.06250000000003</v>
      </c>
      <c r="J57" s="43">
        <f t="shared" si="8"/>
        <v>-178.5</v>
      </c>
      <c r="K57" s="43">
        <f>-215.95/2</f>
        <v>-107.97499999999999</v>
      </c>
      <c r="L57" s="43">
        <f>-D57-K57</f>
        <v>-70.525000000000006</v>
      </c>
      <c r="M57" s="43"/>
      <c r="N57" s="1"/>
      <c r="O57" s="1"/>
      <c r="P57" s="1"/>
      <c r="Q57" s="24"/>
    </row>
    <row r="58" spans="1:17" ht="15.75" customHeight="1">
      <c r="A58" s="20" t="s">
        <v>102</v>
      </c>
      <c r="B58" s="61">
        <v>44</v>
      </c>
      <c r="C58" s="21">
        <f>D58/I54*B58</f>
        <v>467.5</v>
      </c>
      <c r="D58" s="43">
        <f>G52*L48</f>
        <v>238</v>
      </c>
      <c r="E58" s="22">
        <f>D58/D67</f>
        <v>1.2975118302549228E-2</v>
      </c>
      <c r="F58" s="21">
        <f t="shared" ref="F58:G58" si="10">C58+I58</f>
        <v>0</v>
      </c>
      <c r="G58" s="21">
        <f t="shared" si="10"/>
        <v>0</v>
      </c>
      <c r="H58" s="22">
        <f>G58/G67</f>
        <v>0</v>
      </c>
      <c r="I58" s="21">
        <f>J58/I54*B58</f>
        <v>-467.5</v>
      </c>
      <c r="J58" s="43">
        <f t="shared" si="8"/>
        <v>-238</v>
      </c>
      <c r="K58" s="43">
        <f>-D58</f>
        <v>-238</v>
      </c>
      <c r="L58" s="43"/>
      <c r="M58" s="43"/>
      <c r="N58" s="1"/>
      <c r="O58" s="1"/>
      <c r="P58" s="1"/>
      <c r="Q58" s="24"/>
    </row>
    <row r="59" spans="1:17" ht="15.75" customHeight="1">
      <c r="A59" s="20" t="s">
        <v>103</v>
      </c>
      <c r="B59" s="61">
        <v>58</v>
      </c>
      <c r="C59" s="21">
        <f>D59/I54*B59</f>
        <v>770.3125</v>
      </c>
      <c r="D59" s="43">
        <f>G52*L49</f>
        <v>297.5</v>
      </c>
      <c r="E59" s="22">
        <f>D59/D67</f>
        <v>1.6218897878186533E-2</v>
      </c>
      <c r="F59" s="21">
        <f t="shared" ref="F59:G59" si="11">C59+I59</f>
        <v>0</v>
      </c>
      <c r="G59" s="21">
        <f t="shared" si="11"/>
        <v>0</v>
      </c>
      <c r="H59" s="22">
        <f>G59/G67</f>
        <v>0</v>
      </c>
      <c r="I59" s="21">
        <f>J59/I54*B59</f>
        <v>-770.3125</v>
      </c>
      <c r="J59" s="43">
        <f t="shared" si="8"/>
        <v>-297.5</v>
      </c>
      <c r="K59" s="43">
        <f>-D59</f>
        <v>-297.5</v>
      </c>
      <c r="L59" s="43"/>
      <c r="M59" s="43"/>
      <c r="N59" s="1"/>
      <c r="O59" s="1"/>
      <c r="P59" s="24">
        <f>D63+K60*5</f>
        <v>2119.9500000000003</v>
      </c>
      <c r="Q59" s="24"/>
    </row>
    <row r="60" spans="1:17" ht="15.75" customHeight="1">
      <c r="A60" s="20" t="s">
        <v>104</v>
      </c>
      <c r="B60" s="61">
        <v>72</v>
      </c>
      <c r="C60" s="21">
        <f>D60/I54*B60</f>
        <v>57.375000000000007</v>
      </c>
      <c r="D60" s="43">
        <f>G52*L50</f>
        <v>17.850000000000001</v>
      </c>
      <c r="E60" s="22">
        <f>D60/D67</f>
        <v>9.7313387269119215E-4</v>
      </c>
      <c r="F60" s="21">
        <f t="shared" ref="F60:F65" si="12">C60+I60</f>
        <v>0</v>
      </c>
      <c r="G60" s="21">
        <f>D60+L60</f>
        <v>17.850000000000001</v>
      </c>
      <c r="H60" s="22">
        <f>G60/G67</f>
        <v>7.0626358864992877E-4</v>
      </c>
      <c r="I60" s="21">
        <f>J60/I54*B60</f>
        <v>-57.375000000000007</v>
      </c>
      <c r="J60" s="43">
        <f t="shared" si="8"/>
        <v>-17.850000000000001</v>
      </c>
      <c r="K60" s="43">
        <f>-D60</f>
        <v>-17.850000000000001</v>
      </c>
      <c r="L60" s="43"/>
      <c r="M60" s="43"/>
      <c r="N60" s="1"/>
      <c r="O60" s="1"/>
      <c r="P60" s="24">
        <f>P59+K59*4</f>
        <v>929.95000000000027</v>
      </c>
      <c r="Q60" s="24"/>
    </row>
    <row r="61" spans="1:17" ht="15.75" customHeight="1">
      <c r="A61" s="20" t="s">
        <v>105</v>
      </c>
      <c r="B61" s="61">
        <v>32</v>
      </c>
      <c r="C61" s="21">
        <f>D61</f>
        <v>0</v>
      </c>
      <c r="D61" s="43">
        <v>0</v>
      </c>
      <c r="E61" s="22">
        <f>D61</f>
        <v>0</v>
      </c>
      <c r="F61" s="21">
        <f t="shared" si="12"/>
        <v>0</v>
      </c>
      <c r="G61" s="21">
        <f>J61</f>
        <v>0</v>
      </c>
      <c r="H61" s="22">
        <f>G61/G67</f>
        <v>0</v>
      </c>
      <c r="I61" s="21">
        <f>0</f>
        <v>0</v>
      </c>
      <c r="J61" s="43">
        <f t="shared" si="8"/>
        <v>0</v>
      </c>
      <c r="K61" s="43"/>
      <c r="L61" s="43"/>
      <c r="M61" s="43"/>
      <c r="N61" s="1"/>
      <c r="O61" s="1"/>
      <c r="P61" s="24">
        <f>P60+K58*3</f>
        <v>215.95000000000027</v>
      </c>
      <c r="Q61" s="24"/>
    </row>
    <row r="62" spans="1:17" ht="15.75" customHeight="1">
      <c r="A62" s="20" t="s">
        <v>106</v>
      </c>
      <c r="B62" s="61">
        <v>44</v>
      </c>
      <c r="C62" s="21">
        <f>D62/I54*B62</f>
        <v>2450.2500000000005</v>
      </c>
      <c r="D62" s="43">
        <f t="shared" ref="D62:D63" si="13">G24</f>
        <v>1247.4000000000001</v>
      </c>
      <c r="E62" s="22">
        <f>D62/D67</f>
        <v>6.8004884750419783E-2</v>
      </c>
      <c r="F62" s="21">
        <f t="shared" si="12"/>
        <v>0</v>
      </c>
      <c r="G62" s="21">
        <f t="shared" ref="G62:G63" si="14">J62+D62</f>
        <v>0</v>
      </c>
      <c r="H62" s="22">
        <f>G62/G67</f>
        <v>0</v>
      </c>
      <c r="I62" s="21">
        <f>J62/I54*B62</f>
        <v>-2450.25</v>
      </c>
      <c r="J62" s="43">
        <f t="shared" si="8"/>
        <v>-1247.3999999999999</v>
      </c>
      <c r="K62" s="43"/>
      <c r="L62" s="43">
        <f>L57*2+L56</f>
        <v>-1247.3999999999999</v>
      </c>
      <c r="M62" s="43"/>
      <c r="N62" s="1"/>
      <c r="O62" s="1"/>
      <c r="P62" s="1"/>
      <c r="Q62" s="24"/>
    </row>
    <row r="63" spans="1:17" ht="15.75" customHeight="1">
      <c r="A63" s="20" t="s">
        <v>107</v>
      </c>
      <c r="B63" s="61">
        <v>18</v>
      </c>
      <c r="C63" s="21">
        <f>D63/I54*B63</f>
        <v>1775.2500000000002</v>
      </c>
      <c r="D63" s="43">
        <f t="shared" si="13"/>
        <v>2209.2000000000003</v>
      </c>
      <c r="E63" s="22">
        <f>D63/D67</f>
        <v>0.12043962753778048</v>
      </c>
      <c r="F63" s="21">
        <f t="shared" si="12"/>
        <v>0</v>
      </c>
      <c r="G63" s="21">
        <f t="shared" si="14"/>
        <v>0</v>
      </c>
      <c r="H63" s="22">
        <f>G63/G67</f>
        <v>0</v>
      </c>
      <c r="I63" s="21">
        <f>J63/I54*B63</f>
        <v>-1775.25</v>
      </c>
      <c r="J63" s="43">
        <f t="shared" si="8"/>
        <v>-2209.1999999999998</v>
      </c>
      <c r="K63" s="43">
        <f>K60*5+K59*4+K58*3+K57*2+K56</f>
        <v>-2209.1999999999998</v>
      </c>
      <c r="L63" s="43"/>
      <c r="M63" s="43"/>
      <c r="N63" s="1"/>
      <c r="O63" s="1"/>
      <c r="P63" s="1">
        <f>-(D63+K60*5+K59*4+K58*3)/2</f>
        <v>-107.97500000000014</v>
      </c>
      <c r="Q63" s="24"/>
    </row>
    <row r="64" spans="1:17" ht="15.75" customHeight="1">
      <c r="A64" s="20" t="s">
        <v>108</v>
      </c>
      <c r="B64" s="61">
        <v>28</v>
      </c>
      <c r="C64" s="21">
        <v>0</v>
      </c>
      <c r="D64" s="43">
        <v>0</v>
      </c>
      <c r="E64" s="22">
        <f t="shared" ref="E64:E65" si="15">D64</f>
        <v>0</v>
      </c>
      <c r="F64" s="21">
        <f t="shared" si="12"/>
        <v>5880</v>
      </c>
      <c r="G64" s="21">
        <f t="shared" ref="G64:G65" si="16">J64</f>
        <v>4704</v>
      </c>
      <c r="H64" s="22">
        <f>G64/G67</f>
        <v>0.18612122806774592</v>
      </c>
      <c r="I64" s="21">
        <f>J64/I54*B64</f>
        <v>5880</v>
      </c>
      <c r="J64" s="43">
        <f t="shared" si="8"/>
        <v>4704</v>
      </c>
      <c r="K64" s="43">
        <f>-K60*5-K59*4-K58*3-K57*2</f>
        <v>2209.1999999999998</v>
      </c>
      <c r="L64" s="43">
        <f>-L57*4-L56*2</f>
        <v>2494.7999999999997</v>
      </c>
      <c r="M64" s="43"/>
      <c r="N64" s="1"/>
      <c r="O64" s="1"/>
      <c r="P64" s="1"/>
      <c r="Q64" s="24"/>
    </row>
    <row r="65" spans="1:17" ht="15.75" customHeight="1">
      <c r="A65" s="20" t="s">
        <v>109</v>
      </c>
      <c r="B65" s="61">
        <v>2</v>
      </c>
      <c r="C65" s="21">
        <v>0</v>
      </c>
      <c r="D65" s="43">
        <v>0</v>
      </c>
      <c r="E65" s="22">
        <f t="shared" si="15"/>
        <v>0</v>
      </c>
      <c r="F65" s="21">
        <f t="shared" si="12"/>
        <v>670</v>
      </c>
      <c r="G65" s="21">
        <f t="shared" si="16"/>
        <v>7504</v>
      </c>
      <c r="H65" s="22">
        <f>G65/G67</f>
        <v>0.29690767334616613</v>
      </c>
      <c r="I65" s="21">
        <f>J65/I54*B65</f>
        <v>670</v>
      </c>
      <c r="J65" s="43">
        <f t="shared" si="8"/>
        <v>7504</v>
      </c>
      <c r="K65" s="43">
        <f>-K60*11-K59*9-K58*7-K57*5</f>
        <v>5079.7250000000004</v>
      </c>
      <c r="L65" s="43">
        <f>-L57*3-L56*2</f>
        <v>2424.2749999999996</v>
      </c>
      <c r="M65" s="43"/>
      <c r="N65" s="1"/>
      <c r="O65" s="1"/>
      <c r="P65" s="1"/>
      <c r="Q65" s="24"/>
    </row>
    <row r="66" spans="1:17" ht="15.75" customHeight="1">
      <c r="A66" s="20" t="s">
        <v>110</v>
      </c>
      <c r="B66" s="61">
        <v>28</v>
      </c>
      <c r="C66" s="21">
        <f>D66/I54*B66</f>
        <v>11733.75</v>
      </c>
      <c r="D66" s="43">
        <f>G52*L51+G26</f>
        <v>9387</v>
      </c>
      <c r="E66" s="22">
        <f>D66/D67</f>
        <v>0.51175393069760333</v>
      </c>
      <c r="F66" s="21">
        <f>I66+C66</f>
        <v>11733.75</v>
      </c>
      <c r="G66" s="21">
        <f>D66+J66</f>
        <v>9387</v>
      </c>
      <c r="H66" s="22">
        <f>G66/G67</f>
        <v>0.37141155779590368</v>
      </c>
      <c r="I66" s="21">
        <v>0</v>
      </c>
      <c r="J66" s="43">
        <f t="shared" si="8"/>
        <v>0</v>
      </c>
      <c r="K66" s="43"/>
      <c r="L66" s="43"/>
      <c r="M66" s="43"/>
      <c r="N66" s="1"/>
      <c r="O66" s="24">
        <f>D62+L62</f>
        <v>0</v>
      </c>
      <c r="P66" s="1"/>
      <c r="Q66" s="24"/>
    </row>
    <row r="67" spans="1:17" ht="15.75" customHeight="1">
      <c r="A67" s="33" t="s">
        <v>54</v>
      </c>
      <c r="B67" s="15"/>
      <c r="C67" s="62">
        <f t="shared" ref="C67:H67" si="17">SUM(C56:C66)</f>
        <v>20898.75</v>
      </c>
      <c r="D67" s="43">
        <f t="shared" si="17"/>
        <v>18342.800000000003</v>
      </c>
      <c r="E67" s="22">
        <f t="shared" si="17"/>
        <v>0.99999999999999978</v>
      </c>
      <c r="F67" s="62">
        <f t="shared" si="17"/>
        <v>20898.75</v>
      </c>
      <c r="G67" s="21">
        <f t="shared" si="17"/>
        <v>25273.85</v>
      </c>
      <c r="H67" s="22">
        <f t="shared" si="17"/>
        <v>1</v>
      </c>
      <c r="I67" s="21">
        <f>SUM(I56:I66)</f>
        <v>0</v>
      </c>
      <c r="J67" s="21">
        <f>SUM(J56:J66)</f>
        <v>6913.2000000000007</v>
      </c>
      <c r="K67" s="21"/>
      <c r="L67" s="21"/>
      <c r="M67" s="21"/>
      <c r="N67" s="1"/>
      <c r="O67" s="1"/>
      <c r="P67" s="1"/>
      <c r="Q67" s="24"/>
    </row>
    <row r="68" spans="1:17" ht="15.75" customHeight="1">
      <c r="A68" s="1"/>
      <c r="B68" s="1"/>
      <c r="C68" s="24"/>
      <c r="D68" s="24"/>
      <c r="E68" s="1"/>
      <c r="F68" s="1"/>
      <c r="G68" s="1"/>
      <c r="H68" s="1"/>
      <c r="I68" s="4"/>
      <c r="J68" s="1"/>
      <c r="K68" s="1"/>
      <c r="L68" s="1"/>
      <c r="M68" s="1"/>
      <c r="N68" s="1"/>
      <c r="O68" s="1"/>
      <c r="P68" s="1"/>
      <c r="Q68" s="1"/>
    </row>
    <row r="69" spans="1:17" ht="15.75" customHeight="1">
      <c r="A69" s="1"/>
      <c r="B69" s="4"/>
      <c r="C69" s="4"/>
      <c r="D69" s="4"/>
      <c r="E69" s="1"/>
      <c r="F69" s="1"/>
      <c r="G69" s="63" t="s">
        <v>111</v>
      </c>
      <c r="H69" s="7"/>
      <c r="I69" s="43">
        <f>G65/G64</f>
        <v>1.5952380952380953</v>
      </c>
      <c r="J69" s="1"/>
      <c r="K69" s="24">
        <f>D59-D62/4</f>
        <v>-14.350000000000023</v>
      </c>
      <c r="L69" s="1"/>
      <c r="M69" s="1">
        <f>D59*4</f>
        <v>1190</v>
      </c>
      <c r="N69" s="1" t="s">
        <v>112</v>
      </c>
      <c r="O69" s="24">
        <f>D62+L57</f>
        <v>1176.875</v>
      </c>
      <c r="P69" s="1"/>
      <c r="Q69" s="1"/>
    </row>
    <row r="70" spans="1:17" ht="15.75" customHeight="1">
      <c r="A70" s="7"/>
      <c r="B70" s="64" t="s">
        <v>113</v>
      </c>
      <c r="C70" s="15"/>
      <c r="D70" s="15">
        <v>9</v>
      </c>
      <c r="E70" s="1" t="s">
        <v>114</v>
      </c>
      <c r="F70" s="65">
        <v>9</v>
      </c>
      <c r="G70" s="1"/>
      <c r="H70" s="1"/>
      <c r="I70" s="1"/>
      <c r="J70" s="1"/>
      <c r="K70" s="1"/>
      <c r="L70" s="1"/>
      <c r="M70" s="1">
        <v>1247</v>
      </c>
      <c r="N70" s="1"/>
      <c r="O70" s="1"/>
      <c r="P70" s="1"/>
      <c r="Q70" s="1"/>
    </row>
    <row r="71" spans="1:17" ht="15.75" customHeight="1">
      <c r="A71" s="66" t="s">
        <v>94</v>
      </c>
      <c r="B71" s="67" t="s">
        <v>115</v>
      </c>
      <c r="C71" s="4"/>
      <c r="D71" s="15">
        <v>7</v>
      </c>
      <c r="E71" s="1" t="s">
        <v>116</v>
      </c>
      <c r="F71" s="65">
        <v>7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>
      <c r="A72" s="7"/>
      <c r="B72" s="67" t="s">
        <v>117</v>
      </c>
      <c r="C72" s="4"/>
      <c r="D72" s="15">
        <v>5</v>
      </c>
      <c r="E72" s="1" t="s">
        <v>116</v>
      </c>
      <c r="F72" s="65">
        <v>5</v>
      </c>
      <c r="G72" s="1">
        <f>D59*4</f>
        <v>1190</v>
      </c>
      <c r="H72" s="1"/>
      <c r="I72" s="1"/>
      <c r="J72" s="1" t="s">
        <v>118</v>
      </c>
      <c r="K72" s="1" t="s">
        <v>119</v>
      </c>
      <c r="L72" s="1"/>
      <c r="M72" s="1"/>
      <c r="N72" s="1"/>
      <c r="O72" s="1"/>
      <c r="P72" s="1"/>
      <c r="Q72" s="1"/>
    </row>
    <row r="73" spans="1:17" ht="15.75" customHeight="1">
      <c r="A73" s="7"/>
      <c r="B73" s="67" t="s">
        <v>120</v>
      </c>
      <c r="C73" s="4"/>
      <c r="D73" s="15">
        <v>3</v>
      </c>
      <c r="E73" s="1" t="s">
        <v>116</v>
      </c>
      <c r="F73" s="65">
        <v>3</v>
      </c>
      <c r="G73" s="1"/>
      <c r="H73" s="1"/>
      <c r="I73" s="1"/>
      <c r="J73" s="1">
        <v>2209</v>
      </c>
      <c r="K73" s="1">
        <f>5*D60</f>
        <v>89.25</v>
      </c>
      <c r="L73" s="1" t="s">
        <v>121</v>
      </c>
      <c r="M73" s="1"/>
      <c r="N73" s="1"/>
      <c r="O73" s="1"/>
      <c r="P73" s="1"/>
      <c r="Q73" s="1"/>
    </row>
    <row r="74" spans="1:17" ht="15.75" customHeight="1">
      <c r="A74" s="7"/>
      <c r="B74" s="67" t="s">
        <v>122</v>
      </c>
      <c r="C74" s="4"/>
      <c r="D74" s="15">
        <v>1</v>
      </c>
      <c r="E74" s="1" t="s">
        <v>116</v>
      </c>
      <c r="F74" s="65">
        <v>1</v>
      </c>
      <c r="G74" s="1"/>
      <c r="H74" s="1"/>
      <c r="I74" s="1" t="s">
        <v>123</v>
      </c>
      <c r="J74" s="1">
        <f>J73-K73</f>
        <v>2119.75</v>
      </c>
      <c r="K74" s="1">
        <f>D59*4</f>
        <v>1190</v>
      </c>
      <c r="L74" s="1" t="s">
        <v>124</v>
      </c>
      <c r="M74" s="1">
        <f>K74-J74</f>
        <v>-929.75</v>
      </c>
      <c r="N74" s="1"/>
      <c r="O74" s="1"/>
      <c r="P74" s="1"/>
      <c r="Q74" s="1"/>
    </row>
    <row r="75" spans="1:17" ht="15.75" customHeight="1">
      <c r="A75" s="7"/>
      <c r="B75" s="15"/>
      <c r="C75" s="15"/>
      <c r="D75" s="15"/>
      <c r="E75" s="1"/>
      <c r="F75" s="65"/>
      <c r="G75" s="1"/>
      <c r="H75" s="1"/>
      <c r="I75" s="1"/>
      <c r="J75" s="1"/>
      <c r="K75" s="24">
        <f>D59-J75</f>
        <v>297.5</v>
      </c>
      <c r="L75" s="1"/>
      <c r="M75" s="1"/>
      <c r="N75" s="1">
        <f>2209-1190</f>
        <v>1019</v>
      </c>
      <c r="O75" s="1"/>
      <c r="P75" s="1"/>
      <c r="Q75" s="1"/>
    </row>
    <row r="76" spans="1:17" ht="15.75" customHeight="1">
      <c r="A76" s="7"/>
      <c r="B76" s="67" t="s">
        <v>125</v>
      </c>
      <c r="C76" s="4"/>
      <c r="D76" s="15">
        <v>10</v>
      </c>
      <c r="E76" s="1" t="s">
        <v>116</v>
      </c>
      <c r="F76" s="65">
        <v>10</v>
      </c>
      <c r="G76" s="1"/>
      <c r="H76" s="24"/>
      <c r="I76" s="1" t="s">
        <v>126</v>
      </c>
      <c r="J76" s="1">
        <f>D59*4</f>
        <v>1190</v>
      </c>
      <c r="K76" s="1">
        <f>J73-K73</f>
        <v>2119.75</v>
      </c>
      <c r="L76" s="1" t="s">
        <v>127</v>
      </c>
      <c r="M76" s="1"/>
      <c r="N76" s="1"/>
      <c r="O76" s="1"/>
      <c r="P76" s="1"/>
      <c r="Q76" s="1"/>
    </row>
    <row r="77" spans="1:17" ht="15.75" customHeight="1">
      <c r="A77" s="66" t="s">
        <v>95</v>
      </c>
      <c r="B77" s="67" t="s">
        <v>128</v>
      </c>
      <c r="C77" s="67"/>
      <c r="D77" s="15">
        <v>8</v>
      </c>
      <c r="E77" s="1" t="s">
        <v>116</v>
      </c>
      <c r="F77" s="65">
        <v>8</v>
      </c>
      <c r="G77" s="1"/>
      <c r="H77" s="1"/>
      <c r="I77" s="1" t="s">
        <v>129</v>
      </c>
      <c r="J77" s="1">
        <f>D58*3</f>
        <v>714</v>
      </c>
      <c r="K77" s="68">
        <f>2209-1190</f>
        <v>1019</v>
      </c>
      <c r="L77" s="69" t="s">
        <v>127</v>
      </c>
      <c r="M77" s="24">
        <f>K77-J77</f>
        <v>305</v>
      </c>
      <c r="N77" s="1"/>
      <c r="O77" s="1"/>
      <c r="P77" s="1"/>
      <c r="Q77" s="1"/>
    </row>
    <row r="78" spans="1:17" ht="15.75" customHeight="1">
      <c r="A78" s="7"/>
      <c r="B78" s="64" t="s">
        <v>130</v>
      </c>
      <c r="C78" s="67"/>
      <c r="D78" s="15">
        <v>6</v>
      </c>
      <c r="E78" s="1" t="s">
        <v>114</v>
      </c>
      <c r="F78" s="65">
        <v>6</v>
      </c>
      <c r="G78" s="1"/>
      <c r="H78" s="1"/>
      <c r="I78" s="1" t="s">
        <v>131</v>
      </c>
      <c r="J78" s="1">
        <f>D57*2</f>
        <v>357</v>
      </c>
      <c r="K78" s="70">
        <f>K77-J77</f>
        <v>305</v>
      </c>
      <c r="L78" s="23" t="s">
        <v>124</v>
      </c>
      <c r="M78" s="24"/>
      <c r="N78" s="1"/>
      <c r="O78" s="1"/>
      <c r="P78" s="1"/>
      <c r="Q78" s="1"/>
    </row>
    <row r="79" spans="1:17" ht="15.75" customHeight="1">
      <c r="A79" s="7"/>
      <c r="B79" s="64" t="s">
        <v>132</v>
      </c>
      <c r="C79" s="67"/>
      <c r="D79" s="15">
        <v>4</v>
      </c>
      <c r="E79" s="1" t="s">
        <v>114</v>
      </c>
      <c r="F79" s="65">
        <v>4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>
      <c r="A80" s="7"/>
      <c r="B80" s="64" t="s">
        <v>133</v>
      </c>
      <c r="C80" s="67"/>
      <c r="D80" s="15">
        <v>2</v>
      </c>
      <c r="E80" s="1" t="s">
        <v>114</v>
      </c>
      <c r="F80" s="65">
        <v>2</v>
      </c>
      <c r="G80" s="1"/>
      <c r="H80" s="1"/>
      <c r="I80" s="1"/>
      <c r="J80" s="1"/>
      <c r="K80" s="24"/>
      <c r="L80" s="1"/>
      <c r="M80" s="24"/>
      <c r="N80" s="1"/>
      <c r="O80" s="1"/>
      <c r="P80" s="1"/>
      <c r="Q80" s="1"/>
    </row>
    <row r="81" spans="1:17" ht="15.75" customHeight="1">
      <c r="A81" s="7"/>
      <c r="B81" s="15"/>
      <c r="C81" s="15"/>
      <c r="D81" s="1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>
      <c r="A82" s="7"/>
      <c r="B82" s="4" t="s">
        <v>134</v>
      </c>
      <c r="C82" s="4"/>
      <c r="D82" s="15">
        <v>8</v>
      </c>
      <c r="E82" s="1" t="s">
        <v>114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>
      <c r="A83" s="66" t="s">
        <v>96</v>
      </c>
      <c r="B83" s="4" t="s">
        <v>135</v>
      </c>
      <c r="C83" s="4"/>
      <c r="D83" s="15">
        <v>6</v>
      </c>
      <c r="E83" s="1" t="s">
        <v>114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>
      <c r="A84" s="7"/>
      <c r="B84" s="4" t="s">
        <v>136</v>
      </c>
      <c r="C84" s="4"/>
      <c r="D84" s="15">
        <v>2</v>
      </c>
      <c r="E84" s="1" t="s">
        <v>114</v>
      </c>
      <c r="F84" s="1"/>
      <c r="G84" s="1"/>
      <c r="H84" s="1"/>
      <c r="I84" s="1"/>
      <c r="J84" s="1"/>
      <c r="K84" s="1"/>
      <c r="L84" s="1"/>
      <c r="M84" s="1"/>
      <c r="N84" s="24"/>
      <c r="O84" s="24"/>
      <c r="P84" s="24"/>
      <c r="Q84" s="24"/>
    </row>
    <row r="85" spans="1:17" ht="15.75" customHeight="1">
      <c r="A85" s="7"/>
      <c r="B85" s="4" t="s">
        <v>137</v>
      </c>
      <c r="C85" s="4"/>
      <c r="D85" s="15">
        <v>3</v>
      </c>
      <c r="E85" s="1" t="s">
        <v>114</v>
      </c>
      <c r="F85" s="1"/>
      <c r="G85" s="1"/>
      <c r="H85" s="1"/>
      <c r="I85" s="1"/>
      <c r="J85" s="1"/>
      <c r="K85" s="1"/>
      <c r="L85" s="1"/>
      <c r="M85" s="1"/>
      <c r="N85" s="24"/>
      <c r="O85" s="24"/>
      <c r="P85" s="24"/>
      <c r="Q85" s="24"/>
    </row>
    <row r="86" spans="1:17" ht="15.75" customHeight="1">
      <c r="A86" s="7"/>
      <c r="B86" s="64" t="s">
        <v>138</v>
      </c>
      <c r="C86" s="4"/>
      <c r="D86" s="15">
        <v>1</v>
      </c>
      <c r="E86" s="1" t="s">
        <v>114</v>
      </c>
      <c r="F86" s="1"/>
      <c r="G86" s="1"/>
      <c r="H86" s="1"/>
      <c r="I86" s="1"/>
      <c r="J86" s="1"/>
      <c r="K86" s="1"/>
      <c r="L86" s="1"/>
      <c r="M86" s="1"/>
      <c r="N86" s="24"/>
      <c r="O86" s="24"/>
      <c r="P86" s="24"/>
      <c r="Q86" s="24"/>
    </row>
    <row r="87" spans="1:17" ht="15.75" customHeight="1">
      <c r="A87" s="1"/>
      <c r="B87" s="71"/>
      <c r="C87" s="71"/>
      <c r="D87" s="71"/>
      <c r="E87" s="1"/>
      <c r="F87" s="1"/>
      <c r="G87" s="1"/>
      <c r="H87" s="1"/>
      <c r="I87" s="1"/>
      <c r="J87" s="1"/>
      <c r="K87" s="1"/>
      <c r="L87" s="1"/>
      <c r="M87" s="1"/>
      <c r="N87" s="24"/>
      <c r="O87" s="24"/>
      <c r="P87" s="24"/>
      <c r="Q87" s="24"/>
    </row>
    <row r="88" spans="1:17" ht="15.75" customHeight="1">
      <c r="A88" s="72"/>
      <c r="B88" s="72"/>
      <c r="C88" s="51"/>
      <c r="D88" s="50"/>
      <c r="E88" s="1"/>
      <c r="F88" s="117" t="s">
        <v>139</v>
      </c>
      <c r="G88" s="118"/>
      <c r="H88" s="118"/>
      <c r="I88" s="118"/>
      <c r="J88" s="71"/>
      <c r="K88" s="71"/>
      <c r="L88" s="71"/>
      <c r="M88" s="71"/>
      <c r="N88" s="71"/>
      <c r="O88" s="24"/>
      <c r="P88" s="24"/>
      <c r="Q88" s="24"/>
    </row>
    <row r="89" spans="1:17" ht="15.75" customHeight="1">
      <c r="A89" s="4"/>
      <c r="B89" s="39" t="s">
        <v>140</v>
      </c>
      <c r="C89" s="40" t="s">
        <v>59</v>
      </c>
      <c r="D89" s="50"/>
      <c r="E89" s="4"/>
      <c r="F89" s="4"/>
      <c r="G89" s="1"/>
      <c r="H89" s="73"/>
      <c r="I89" s="74"/>
      <c r="J89" s="74"/>
      <c r="K89" s="74"/>
      <c r="L89" s="74"/>
      <c r="M89" s="74"/>
      <c r="N89" s="75"/>
      <c r="O89" s="24"/>
      <c r="P89" s="24"/>
      <c r="Q89" s="24"/>
    </row>
    <row r="90" spans="1:17" ht="15.75" customHeight="1" thickTop="1" thickBot="1">
      <c r="A90" s="76" t="s">
        <v>26</v>
      </c>
      <c r="B90" s="77" t="s">
        <v>60</v>
      </c>
      <c r="C90" s="77" t="s">
        <v>141</v>
      </c>
      <c r="D90" s="78">
        <v>11</v>
      </c>
      <c r="E90" s="37" t="s">
        <v>113</v>
      </c>
      <c r="F90" s="7"/>
      <c r="G90" s="7"/>
      <c r="H90" s="79" t="s">
        <v>142</v>
      </c>
      <c r="I90" s="79" t="s">
        <v>143</v>
      </c>
      <c r="J90" s="79" t="s">
        <v>144</v>
      </c>
      <c r="K90" s="79" t="s">
        <v>145</v>
      </c>
      <c r="L90" s="79" t="s">
        <v>146</v>
      </c>
      <c r="M90" s="79" t="s">
        <v>147</v>
      </c>
      <c r="N90" s="71"/>
      <c r="O90" s="1"/>
      <c r="P90" s="1"/>
      <c r="Q90" s="1"/>
    </row>
    <row r="91" spans="1:17" ht="15.75" customHeight="1" thickTop="1" thickBot="1">
      <c r="A91" s="20" t="s">
        <v>148</v>
      </c>
      <c r="B91" s="43">
        <v>35.700000000000003</v>
      </c>
      <c r="C91" s="43">
        <v>-74.599999999999994</v>
      </c>
      <c r="D91" s="78">
        <v>12</v>
      </c>
      <c r="E91" s="37" t="s">
        <v>115</v>
      </c>
      <c r="F91" s="7"/>
      <c r="G91" s="7"/>
      <c r="H91" s="21">
        <f>H36</f>
        <v>13828794.296875004</v>
      </c>
      <c r="I91" s="109">
        <f>E6*(1-I6)/D13*N50*20*1000/3600</f>
        <v>59921.399305555555</v>
      </c>
      <c r="J91" s="109">
        <f>(K60/D13*C108+K59/D13*C107+K58/D13*C106+K57/D13*C105)*1000/3600*1000</f>
        <v>-4512441.232638889</v>
      </c>
      <c r="K91" s="109">
        <f>(L56/D13*C109+L57/D13*C110)*1000/3600*1000</f>
        <v>-3764532.9861111105</v>
      </c>
      <c r="L91" s="21">
        <v>0</v>
      </c>
      <c r="M91" s="21">
        <f>H91+I91+J91+K91</f>
        <v>5611741.4774305616</v>
      </c>
      <c r="N91" s="80"/>
      <c r="O91" s="1"/>
      <c r="P91" s="1"/>
      <c r="Q91" s="1"/>
    </row>
    <row r="92" spans="1:17" ht="15.75" customHeight="1" thickTop="1" thickBot="1">
      <c r="A92" s="20" t="s">
        <v>149</v>
      </c>
      <c r="B92" s="43">
        <v>52.49</v>
      </c>
      <c r="C92" s="43">
        <v>-84</v>
      </c>
      <c r="D92" s="78">
        <v>13</v>
      </c>
      <c r="E92" s="37" t="s">
        <v>117</v>
      </c>
      <c r="F92" s="7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thickTop="1" thickBot="1">
      <c r="A93" s="20" t="s">
        <v>150</v>
      </c>
      <c r="B93" s="43">
        <v>73.599999999999994</v>
      </c>
      <c r="C93" s="43">
        <f>-103.85</f>
        <v>-103.85</v>
      </c>
      <c r="D93" s="78">
        <v>14</v>
      </c>
      <c r="E93" s="37" t="s">
        <v>120</v>
      </c>
      <c r="F93" s="7"/>
      <c r="G93" s="1"/>
      <c r="H93" s="4"/>
      <c r="I93" s="4"/>
      <c r="J93" s="1"/>
      <c r="K93" s="1"/>
      <c r="L93" s="1"/>
      <c r="M93" s="1"/>
      <c r="N93" s="1"/>
      <c r="O93" s="1"/>
      <c r="P93" s="1"/>
      <c r="Q93" s="1"/>
    </row>
    <row r="94" spans="1:17" ht="15.75" customHeight="1" thickTop="1" thickBot="1">
      <c r="A94" s="20" t="s">
        <v>151</v>
      </c>
      <c r="B94" s="43">
        <v>98.49</v>
      </c>
      <c r="C94" s="43">
        <f>-125.77</f>
        <v>-125.77</v>
      </c>
      <c r="D94" s="78">
        <v>15</v>
      </c>
      <c r="E94" s="81" t="s">
        <v>122</v>
      </c>
      <c r="F94" s="7"/>
      <c r="G94" s="7"/>
      <c r="H94" s="82" t="s">
        <v>152</v>
      </c>
      <c r="I94" s="110">
        <f>M91/(G67/D13*1000/3600*B103)</f>
        <v>595.68629865878268</v>
      </c>
      <c r="J94" s="1" t="s">
        <v>153</v>
      </c>
      <c r="K94" s="1"/>
      <c r="L94" s="1"/>
      <c r="M94" s="1"/>
      <c r="N94" s="1"/>
      <c r="O94" s="1"/>
      <c r="P94" s="1"/>
      <c r="Q94" s="1"/>
    </row>
    <row r="95" spans="1:17" ht="15.75" customHeight="1" thickTop="1" thickBot="1">
      <c r="A95" s="20" t="s">
        <v>154</v>
      </c>
      <c r="B95" s="43">
        <v>120.04</v>
      </c>
      <c r="C95" s="43">
        <f>-146.36</f>
        <v>-146.36000000000001</v>
      </c>
      <c r="D95" s="7"/>
      <c r="E95" s="1"/>
      <c r="F95" s="7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>
      <c r="A96" s="20" t="s">
        <v>155</v>
      </c>
      <c r="B96" s="43">
        <v>29.38</v>
      </c>
      <c r="C96" s="43">
        <f>0</f>
        <v>0</v>
      </c>
      <c r="D96" s="78">
        <v>21</v>
      </c>
      <c r="E96" s="81" t="s">
        <v>125</v>
      </c>
      <c r="F96" s="7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>
      <c r="A97" s="20" t="s">
        <v>156</v>
      </c>
      <c r="B97" s="43">
        <v>37.14</v>
      </c>
      <c r="C97" s="43">
        <f>-393.51</f>
        <v>-393.51</v>
      </c>
      <c r="D97" s="78">
        <v>22</v>
      </c>
      <c r="E97" s="1" t="s">
        <v>128</v>
      </c>
      <c r="F97" s="7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>
      <c r="A98" s="20" t="s">
        <v>157</v>
      </c>
      <c r="B98" s="43">
        <v>33.6</v>
      </c>
      <c r="C98" s="43">
        <f>-241.83</f>
        <v>-241.83</v>
      </c>
      <c r="D98" s="78">
        <v>23</v>
      </c>
      <c r="E98" s="1" t="s">
        <v>130</v>
      </c>
      <c r="F98" s="7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>
      <c r="A99" s="20" t="s">
        <v>108</v>
      </c>
      <c r="B99" s="43">
        <v>29.14</v>
      </c>
      <c r="C99" s="43">
        <v>-110.53</v>
      </c>
      <c r="D99" s="78">
        <v>24</v>
      </c>
      <c r="E99" s="83" t="s">
        <v>132</v>
      </c>
      <c r="F99" s="7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>
      <c r="A100" s="20" t="s">
        <v>158</v>
      </c>
      <c r="B100" s="43">
        <v>28.84</v>
      </c>
      <c r="C100" s="43">
        <v>0</v>
      </c>
      <c r="D100" s="78">
        <v>25</v>
      </c>
      <c r="E100" s="83" t="s">
        <v>133</v>
      </c>
      <c r="F100" s="7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.75" customHeight="1" thickTop="1" thickBot="1">
      <c r="A101" s="84" t="s">
        <v>159</v>
      </c>
      <c r="B101" s="43">
        <v>29.12</v>
      </c>
      <c r="C101" s="43">
        <v>0</v>
      </c>
      <c r="D101" s="7"/>
      <c r="E101" s="1"/>
      <c r="F101" s="7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.75" customHeight="1" thickTop="1" thickBot="1">
      <c r="A102" s="85" t="s">
        <v>160</v>
      </c>
      <c r="B102" s="104">
        <f>B91*E56+B92*E57+B93*E58+B94*E59+B95*E60+B96*E61+B97*E62+B98*E63+B99*E64+B100*E65+B101*E66</f>
        <v>33.933267821706607</v>
      </c>
      <c r="C102" s="75"/>
      <c r="D102" s="78">
        <v>31</v>
      </c>
      <c r="E102" s="1" t="s">
        <v>134</v>
      </c>
      <c r="F102" s="7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.75" customHeight="1" thickTop="1" thickBot="1">
      <c r="A103" s="85" t="s">
        <v>161</v>
      </c>
      <c r="B103" s="105">
        <f>B91*H56+B92*H57+B93*H58+B94*H59+B95*H60+B96*H61+B97*H62+B98*H63+B99*H64+B100*H65+B101*H66</f>
        <v>30.05793632549058</v>
      </c>
      <c r="C103" s="86"/>
      <c r="D103" s="78">
        <v>32</v>
      </c>
      <c r="E103" s="1" t="s">
        <v>135</v>
      </c>
      <c r="F103" s="7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.75" customHeight="1" thickTop="1" thickBot="1">
      <c r="A104" s="7"/>
      <c r="B104" s="53" t="s">
        <v>162</v>
      </c>
      <c r="C104" s="46"/>
      <c r="D104" s="78">
        <v>33</v>
      </c>
      <c r="E104" s="1" t="s">
        <v>136</v>
      </c>
      <c r="F104" s="7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.75" customHeight="1">
      <c r="A105" s="7"/>
      <c r="B105" s="53" t="s">
        <v>163</v>
      </c>
      <c r="C105" s="47">
        <f>C99*2+C100*5-C92-2*C98</f>
        <v>346.6</v>
      </c>
      <c r="D105" s="78">
        <v>34</v>
      </c>
      <c r="E105" s="1" t="s">
        <v>137</v>
      </c>
      <c r="F105" s="7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.75" customHeight="1">
      <c r="A106" s="7"/>
      <c r="B106" s="53" t="s">
        <v>164</v>
      </c>
      <c r="C106" s="47">
        <f>3*C99+7*C100-C93-3*C98</f>
        <v>497.75</v>
      </c>
      <c r="D106" s="78">
        <v>35</v>
      </c>
      <c r="E106" s="64" t="s">
        <v>138</v>
      </c>
      <c r="F106" s="15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.75" customHeight="1">
      <c r="A107" s="7"/>
      <c r="B107" s="53" t="s">
        <v>165</v>
      </c>
      <c r="C107" s="47">
        <f>4*C99+9*C100-C94-4*C98</f>
        <v>650.97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.75" customHeight="1" thickTop="1" thickBot="1">
      <c r="A108" s="7"/>
      <c r="B108" s="53" t="s">
        <v>166</v>
      </c>
      <c r="C108" s="47">
        <f>5*C99-C95-C98*5</f>
        <v>802.86000000000013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.75" customHeight="1" thickTop="1" thickBot="1">
      <c r="A109" s="7"/>
      <c r="B109" s="53" t="s">
        <v>167</v>
      </c>
      <c r="C109" s="111">
        <f>2*C99-C91-C97</f>
        <v>247.04999999999998</v>
      </c>
      <c r="D109" s="1" t="s">
        <v>79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.75" customHeight="1" thickTop="1" thickBot="1">
      <c r="A110" s="7"/>
      <c r="B110" s="53" t="s">
        <v>168</v>
      </c>
      <c r="C110" s="47">
        <f>4*C99-C92-2*C97</f>
        <v>428.9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.75" customHeight="1">
      <c r="A111" s="7"/>
      <c r="B111" s="53" t="s">
        <v>169</v>
      </c>
      <c r="C111" s="47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.75" customHeight="1">
      <c r="A112" s="7"/>
      <c r="B112" s="53" t="s">
        <v>170</v>
      </c>
      <c r="C112" s="4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.75" customHeight="1">
      <c r="A113" s="7"/>
      <c r="B113" s="53" t="s">
        <v>171</v>
      </c>
      <c r="C113" s="4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.75" customHeight="1">
      <c r="A114" s="7"/>
      <c r="B114" s="53" t="s">
        <v>172</v>
      </c>
      <c r="C114" s="47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.75" customHeight="1">
      <c r="A115" s="7"/>
      <c r="B115" s="53" t="s">
        <v>173</v>
      </c>
      <c r="C115" s="47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.75" customHeight="1">
      <c r="A116" s="7"/>
      <c r="B116" s="53" t="s">
        <v>174</v>
      </c>
      <c r="C116" s="47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.75" customHeight="1">
      <c r="A117" s="7"/>
      <c r="B117" s="53" t="s">
        <v>175</v>
      </c>
      <c r="C117" s="47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.75" customHeight="1">
      <c r="A118" s="7"/>
      <c r="B118" s="53" t="s">
        <v>176</v>
      </c>
      <c r="C118" s="47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.75" customHeight="1"/>
    <row r="138" spans="1:17" ht="15.75" customHeight="1"/>
    <row r="139" spans="1:17" ht="15.75" customHeight="1"/>
    <row r="140" spans="1:17" ht="15.75" customHeight="1"/>
    <row r="141" spans="1:17" ht="15.75" customHeight="1"/>
    <row r="142" spans="1:17" ht="15.75" customHeight="1"/>
    <row r="143" spans="1:17" ht="15.75" customHeight="1"/>
    <row r="144" spans="1:17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D53:I53"/>
    <mergeCell ref="F88:I88"/>
    <mergeCell ref="M7:O7"/>
    <mergeCell ref="M9:O9"/>
    <mergeCell ref="M11:O11"/>
    <mergeCell ref="M13:O13"/>
    <mergeCell ref="M15:O15"/>
    <mergeCell ref="C16:E16"/>
    <mergeCell ref="F16:H16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00"/>
  <sheetViews>
    <sheetView topLeftCell="A56" workbookViewId="0">
      <selection activeCell="D66" sqref="D66"/>
    </sheetView>
  </sheetViews>
  <sheetFormatPr defaultColWidth="12.5703125" defaultRowHeight="15" customHeight="1"/>
  <cols>
    <col min="1" max="19" width="12.5703125" customWidth="1"/>
    <col min="20" max="26" width="11.42578125" customWidth="1"/>
  </cols>
  <sheetData>
    <row r="1" spans="1:17" ht="15.75" customHeight="1">
      <c r="A1" s="1" t="s">
        <v>0</v>
      </c>
    </row>
    <row r="2" spans="1:17" ht="15.75" customHeight="1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.75" customHeight="1">
      <c r="A4" s="3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.75" customHeight="1">
      <c r="A5" s="1"/>
      <c r="B5" s="1"/>
      <c r="C5" s="4"/>
      <c r="D5" s="5" t="s">
        <v>4</v>
      </c>
      <c r="E5" s="6"/>
      <c r="F5" s="1"/>
      <c r="G5" s="4"/>
      <c r="H5" s="4"/>
      <c r="I5" s="6"/>
      <c r="J5" s="1"/>
      <c r="K5" s="1"/>
      <c r="L5" s="1"/>
      <c r="M5" s="1"/>
      <c r="N5" s="1"/>
      <c r="O5" s="1"/>
      <c r="P5" s="1"/>
      <c r="Q5" s="1"/>
    </row>
    <row r="6" spans="1:17" ht="15.75" customHeight="1">
      <c r="A6" s="1"/>
      <c r="B6" s="7"/>
      <c r="C6" s="8" t="s">
        <v>5</v>
      </c>
      <c r="D6" s="9"/>
      <c r="E6" s="10">
        <v>7000</v>
      </c>
      <c r="F6" s="7" t="s">
        <v>6</v>
      </c>
      <c r="G6" s="8" t="s">
        <v>7</v>
      </c>
      <c r="H6" s="9"/>
      <c r="I6" s="10">
        <v>0.2</v>
      </c>
      <c r="J6" s="1"/>
      <c r="K6" s="1"/>
      <c r="L6" s="1"/>
      <c r="M6" s="1"/>
      <c r="N6" s="1"/>
      <c r="O6" s="1"/>
      <c r="P6" s="1"/>
      <c r="Q6" s="1"/>
    </row>
    <row r="7" spans="1:17" ht="15.75" customHeight="1">
      <c r="A7" s="1"/>
      <c r="B7" s="7"/>
      <c r="C7" s="11" t="s">
        <v>8</v>
      </c>
      <c r="D7" s="12" t="s">
        <v>285</v>
      </c>
      <c r="E7" s="10">
        <v>0.8</v>
      </c>
      <c r="F7" s="7"/>
      <c r="G7" s="8" t="s">
        <v>10</v>
      </c>
      <c r="H7" s="9"/>
      <c r="I7" s="13">
        <v>1.4</v>
      </c>
      <c r="J7" s="1"/>
      <c r="K7" s="1"/>
      <c r="L7" s="1"/>
      <c r="M7" s="120"/>
      <c r="N7" s="118"/>
      <c r="O7" s="118"/>
      <c r="P7" s="1"/>
      <c r="Q7" s="1"/>
    </row>
    <row r="8" spans="1:17" ht="15.75" customHeight="1">
      <c r="A8" s="1"/>
      <c r="B8" s="1"/>
      <c r="C8" s="7"/>
      <c r="D8" s="12" t="s">
        <v>286</v>
      </c>
      <c r="E8" s="10">
        <v>0.03</v>
      </c>
      <c r="F8" s="1"/>
      <c r="G8" s="14" t="s">
        <v>12</v>
      </c>
      <c r="H8" s="4"/>
      <c r="I8" s="4"/>
      <c r="J8" s="1"/>
      <c r="K8" s="1"/>
      <c r="L8" s="1"/>
      <c r="M8" s="1"/>
      <c r="N8" s="1"/>
      <c r="O8" s="1"/>
      <c r="P8" s="1"/>
      <c r="Q8" s="1"/>
    </row>
    <row r="9" spans="1:17" ht="15.75" customHeight="1">
      <c r="A9" s="1"/>
      <c r="B9" s="1"/>
      <c r="C9" s="7"/>
      <c r="D9" s="12" t="s">
        <v>287</v>
      </c>
      <c r="E9" s="10">
        <v>0.04</v>
      </c>
      <c r="F9" s="7"/>
      <c r="G9" s="4" t="s">
        <v>14</v>
      </c>
      <c r="H9" s="15"/>
      <c r="I9" s="15">
        <v>5</v>
      </c>
      <c r="J9" s="1"/>
      <c r="K9" s="1"/>
      <c r="L9" s="1"/>
      <c r="M9" s="120"/>
      <c r="N9" s="118"/>
      <c r="O9" s="118"/>
      <c r="P9" s="1"/>
      <c r="Q9" s="1"/>
    </row>
    <row r="10" spans="1:17" ht="15.75" customHeight="1">
      <c r="A10" s="1"/>
      <c r="B10" s="1"/>
      <c r="C10" s="7"/>
      <c r="D10" s="12" t="s">
        <v>288</v>
      </c>
      <c r="E10" s="10">
        <v>0.05</v>
      </c>
      <c r="F10" s="7"/>
      <c r="G10" s="4" t="s">
        <v>16</v>
      </c>
      <c r="H10" s="15"/>
      <c r="I10" s="15">
        <v>4</v>
      </c>
      <c r="J10" s="1"/>
      <c r="K10" s="1"/>
      <c r="L10" s="1"/>
      <c r="M10" s="1"/>
      <c r="N10" s="1"/>
      <c r="O10" s="1"/>
      <c r="P10" s="1"/>
      <c r="Q10" s="1"/>
    </row>
    <row r="11" spans="1:17" ht="15.75" customHeight="1">
      <c r="A11" s="1"/>
      <c r="B11" s="1"/>
      <c r="C11" s="7"/>
      <c r="D11" s="12" t="s">
        <v>289</v>
      </c>
      <c r="E11" s="10">
        <v>3.0000000000000001E-3</v>
      </c>
      <c r="F11" s="7"/>
      <c r="G11" s="4" t="s">
        <v>18</v>
      </c>
      <c r="H11" s="15"/>
      <c r="I11" s="15">
        <v>3</v>
      </c>
      <c r="J11" s="1"/>
      <c r="K11" s="1"/>
      <c r="L11" s="1"/>
      <c r="M11" s="120"/>
      <c r="N11" s="118"/>
      <c r="O11" s="118"/>
      <c r="P11" s="1"/>
      <c r="Q11" s="1"/>
    </row>
    <row r="12" spans="1:17" ht="15.75" customHeight="1">
      <c r="A12" s="1"/>
      <c r="B12" s="1"/>
      <c r="C12" s="7"/>
      <c r="D12" s="12" t="s">
        <v>19</v>
      </c>
      <c r="E12" s="6">
        <f>1-(E7+E8+E9+E10+E11)</f>
        <v>7.6999999999999846E-2</v>
      </c>
      <c r="F12" s="7"/>
      <c r="G12" s="4" t="s">
        <v>20</v>
      </c>
      <c r="H12" s="15"/>
      <c r="I12" s="15">
        <v>2</v>
      </c>
      <c r="J12" s="1"/>
      <c r="K12" s="1"/>
      <c r="L12" s="1"/>
      <c r="M12" s="1"/>
      <c r="N12" s="1"/>
      <c r="O12" s="1"/>
      <c r="P12" s="1"/>
      <c r="Q12" s="1"/>
    </row>
    <row r="13" spans="1:17" ht="15.75" customHeight="1">
      <c r="A13" s="1"/>
      <c r="B13" s="1"/>
      <c r="C13" s="1"/>
      <c r="D13" s="16">
        <v>22.4</v>
      </c>
      <c r="E13" s="1"/>
      <c r="F13" s="7"/>
      <c r="G13" s="4" t="s">
        <v>21</v>
      </c>
      <c r="H13" s="15"/>
      <c r="I13" s="15">
        <v>1</v>
      </c>
      <c r="J13" s="1"/>
      <c r="K13" s="1"/>
      <c r="L13" s="1"/>
      <c r="M13" s="120"/>
      <c r="N13" s="118"/>
      <c r="O13" s="118"/>
      <c r="P13" s="1"/>
      <c r="Q13" s="1"/>
    </row>
    <row r="14" spans="1:17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.75" customHeight="1">
      <c r="A15" s="4"/>
      <c r="B15" s="4"/>
      <c r="C15" s="4"/>
      <c r="D15" s="4"/>
      <c r="E15" s="5" t="s">
        <v>22</v>
      </c>
      <c r="F15" s="4"/>
      <c r="G15" s="4"/>
      <c r="H15" s="4"/>
      <c r="I15" s="4"/>
      <c r="J15" s="4"/>
      <c r="K15" s="1"/>
      <c r="L15" s="1"/>
      <c r="M15" s="120"/>
      <c r="N15" s="118"/>
      <c r="O15" s="118"/>
      <c r="P15" s="1"/>
      <c r="Q15" s="1"/>
    </row>
    <row r="16" spans="1:17" ht="15.75" customHeight="1">
      <c r="A16" s="17"/>
      <c r="B16" s="15"/>
      <c r="C16" s="114" t="s">
        <v>23</v>
      </c>
      <c r="D16" s="115"/>
      <c r="E16" s="116"/>
      <c r="F16" s="114" t="s">
        <v>24</v>
      </c>
      <c r="G16" s="115"/>
      <c r="H16" s="116"/>
      <c r="I16" s="8" t="s">
        <v>25</v>
      </c>
      <c r="J16" s="15"/>
      <c r="K16" s="1"/>
      <c r="L16" s="1"/>
      <c r="M16" s="1"/>
      <c r="N16" s="1"/>
      <c r="O16" s="1">
        <f>O23/2</f>
        <v>-9.7999999999999545</v>
      </c>
      <c r="P16" s="1"/>
      <c r="Q16" s="1"/>
    </row>
    <row r="17" spans="1:19" ht="15.75" customHeight="1">
      <c r="A17" s="18" t="s">
        <v>26</v>
      </c>
      <c r="B17" s="19" t="s">
        <v>27</v>
      </c>
      <c r="C17" s="19" t="s">
        <v>28</v>
      </c>
      <c r="D17" s="19" t="s">
        <v>29</v>
      </c>
      <c r="E17" s="19" t="s">
        <v>30</v>
      </c>
      <c r="F17" s="19" t="s">
        <v>31</v>
      </c>
      <c r="G17" s="19" t="s">
        <v>32</v>
      </c>
      <c r="H17" s="90" t="s">
        <v>33</v>
      </c>
      <c r="I17" s="19" t="s">
        <v>34</v>
      </c>
      <c r="J17" s="19" t="s">
        <v>35</v>
      </c>
      <c r="K17" s="1"/>
      <c r="L17" s="1"/>
      <c r="M17" s="1" t="s">
        <v>35</v>
      </c>
      <c r="N17" s="1" t="s">
        <v>34</v>
      </c>
      <c r="O17" s="1" t="s">
        <v>32</v>
      </c>
      <c r="P17" s="1"/>
      <c r="Q17" s="1"/>
    </row>
    <row r="18" spans="1:19" ht="15.75" customHeight="1">
      <c r="A18" s="20" t="s">
        <v>290</v>
      </c>
      <c r="B18" s="15">
        <v>16</v>
      </c>
      <c r="C18" s="21">
        <f>D18/D13*B18</f>
        <v>800</v>
      </c>
      <c r="D18" s="21">
        <f>F29*E7</f>
        <v>1120</v>
      </c>
      <c r="E18" s="22">
        <f>D18/D27</f>
        <v>6.8571428571428575E-2</v>
      </c>
      <c r="F18" s="21">
        <f t="shared" ref="F18:F26" si="0">C18+I18</f>
        <v>6.9999999999998863</v>
      </c>
      <c r="G18" s="22">
        <f>-O16</f>
        <v>9.7999999999999545</v>
      </c>
      <c r="H18" s="91">
        <f>G18/G27</f>
        <v>5.9308630817893988E-4</v>
      </c>
      <c r="I18" s="21">
        <f>J18/D13*B18</f>
        <v>-793.00000000000011</v>
      </c>
      <c r="J18" s="21">
        <f>G18-D18</f>
        <v>-1110.2</v>
      </c>
      <c r="K18" s="1"/>
      <c r="L18" s="1" t="s">
        <v>37</v>
      </c>
      <c r="M18" s="23">
        <f t="shared" ref="M18:M22" si="1">-D18</f>
        <v>-1120</v>
      </c>
      <c r="N18" s="1">
        <f>M18/22.4*B18</f>
        <v>-800</v>
      </c>
      <c r="O18" s="24">
        <f>M18+D18</f>
        <v>0</v>
      </c>
      <c r="Q18" s="24"/>
      <c r="R18" s="24"/>
    </row>
    <row r="19" spans="1:19" ht="15.75" customHeight="1">
      <c r="A19" s="20" t="s">
        <v>291</v>
      </c>
      <c r="B19" s="15">
        <v>30</v>
      </c>
      <c r="C19" s="21">
        <f>D19/D13*B19</f>
        <v>56.250000000000007</v>
      </c>
      <c r="D19" s="21">
        <f>F29*E8</f>
        <v>42</v>
      </c>
      <c r="E19" s="22">
        <f>D19/D27</f>
        <v>2.5714285714285717E-3</v>
      </c>
      <c r="F19" s="21">
        <f t="shared" si="0"/>
        <v>0</v>
      </c>
      <c r="G19" s="21">
        <f>D19+(J19)</f>
        <v>0</v>
      </c>
      <c r="H19" s="91">
        <f>G19/G27</f>
        <v>0</v>
      </c>
      <c r="I19" s="21">
        <f>J19/D13*B19</f>
        <v>-56.250000000000007</v>
      </c>
      <c r="J19" s="21">
        <f t="shared" ref="J19:J22" si="2">-D19</f>
        <v>-42</v>
      </c>
      <c r="K19" s="1"/>
      <c r="L19" s="1" t="s">
        <v>39</v>
      </c>
      <c r="M19" s="23">
        <f t="shared" si="1"/>
        <v>-42</v>
      </c>
      <c r="N19" s="1">
        <f>M19/D13*B19</f>
        <v>-56.250000000000007</v>
      </c>
      <c r="O19" s="24">
        <f>J19+D19</f>
        <v>0</v>
      </c>
      <c r="Q19" s="24"/>
      <c r="R19" s="24"/>
    </row>
    <row r="20" spans="1:19" ht="15.75" customHeight="1">
      <c r="A20" s="20" t="s">
        <v>292</v>
      </c>
      <c r="B20" s="15">
        <v>44</v>
      </c>
      <c r="C20" s="21">
        <f>D20/D13*B20</f>
        <v>110</v>
      </c>
      <c r="D20" s="21">
        <f>F29*E9</f>
        <v>56</v>
      </c>
      <c r="E20" s="22">
        <f>D20/D27</f>
        <v>3.4285714285714288E-3</v>
      </c>
      <c r="F20" s="21">
        <f t="shared" si="0"/>
        <v>0</v>
      </c>
      <c r="G20" s="21">
        <f t="shared" ref="G20:G26" si="3">D20+J20</f>
        <v>0</v>
      </c>
      <c r="H20" s="91">
        <f>G20/G27</f>
        <v>0</v>
      </c>
      <c r="I20" s="21">
        <f>J20/D13*B20</f>
        <v>-110</v>
      </c>
      <c r="J20" s="21">
        <f t="shared" si="2"/>
        <v>-56</v>
      </c>
      <c r="K20" s="1"/>
      <c r="L20" s="1" t="s">
        <v>41</v>
      </c>
      <c r="M20" s="23">
        <f t="shared" si="1"/>
        <v>-56</v>
      </c>
      <c r="N20" s="1">
        <f>M20/D13*B20</f>
        <v>-110</v>
      </c>
      <c r="O20" s="23">
        <f t="shared" ref="O20:O26" si="4">M20+D20</f>
        <v>0</v>
      </c>
      <c r="Q20" s="24"/>
      <c r="R20" s="24"/>
      <c r="S20" s="24"/>
    </row>
    <row r="21" spans="1:19" ht="15.75" customHeight="1">
      <c r="A21" s="20" t="s">
        <v>293</v>
      </c>
      <c r="B21" s="15">
        <v>58</v>
      </c>
      <c r="C21" s="21">
        <f>D21/D13*B21</f>
        <v>181.25</v>
      </c>
      <c r="D21" s="21">
        <f>F29*E10</f>
        <v>70</v>
      </c>
      <c r="E21" s="22">
        <f>D21/D27</f>
        <v>4.2857142857142859E-3</v>
      </c>
      <c r="F21" s="21">
        <f t="shared" si="0"/>
        <v>0</v>
      </c>
      <c r="G21" s="21">
        <f t="shared" si="3"/>
        <v>0</v>
      </c>
      <c r="H21" s="91">
        <f>G21/G27</f>
        <v>0</v>
      </c>
      <c r="I21" s="21">
        <f>J21/D13*B21</f>
        <v>-181.25</v>
      </c>
      <c r="J21" s="21">
        <f t="shared" si="2"/>
        <v>-70</v>
      </c>
      <c r="K21" s="1"/>
      <c r="L21" s="4" t="s">
        <v>43</v>
      </c>
      <c r="M21" s="23">
        <f t="shared" si="1"/>
        <v>-70</v>
      </c>
      <c r="N21" s="1">
        <f>M21/D13*B21</f>
        <v>-181.25</v>
      </c>
      <c r="O21" s="23">
        <f t="shared" si="4"/>
        <v>0</v>
      </c>
      <c r="Q21" s="24"/>
      <c r="R21" s="24"/>
    </row>
    <row r="22" spans="1:19" ht="15.75" customHeight="1">
      <c r="A22" s="20" t="s">
        <v>294</v>
      </c>
      <c r="B22" s="15">
        <v>72</v>
      </c>
      <c r="C22" s="21">
        <f>D22/D13*B22</f>
        <v>13.500000000000002</v>
      </c>
      <c r="D22" s="21">
        <f>F29*E11</f>
        <v>4.2</v>
      </c>
      <c r="E22" s="22">
        <f>D22/D27</f>
        <v>2.5714285714285715E-4</v>
      </c>
      <c r="F22" s="21">
        <f t="shared" si="0"/>
        <v>0</v>
      </c>
      <c r="G22" s="25">
        <f t="shared" si="3"/>
        <v>0</v>
      </c>
      <c r="H22" s="91">
        <f>G22/G27</f>
        <v>0</v>
      </c>
      <c r="I22" s="21">
        <f>J22/D13*B22</f>
        <v>-13.500000000000002</v>
      </c>
      <c r="J22" s="21">
        <f t="shared" si="2"/>
        <v>-4.2</v>
      </c>
      <c r="K22" s="7"/>
      <c r="L22" s="26" t="s">
        <v>45</v>
      </c>
      <c r="M22" s="23">
        <f t="shared" si="1"/>
        <v>-4.2</v>
      </c>
      <c r="N22" s="1">
        <f>M22/D13*B22</f>
        <v>-13.500000000000002</v>
      </c>
      <c r="O22" s="23">
        <f t="shared" si="4"/>
        <v>0</v>
      </c>
      <c r="R22" s="24"/>
      <c r="S22" s="1"/>
    </row>
    <row r="23" spans="1:19" ht="15.75" customHeight="1">
      <c r="A23" s="20" t="s">
        <v>295</v>
      </c>
      <c r="B23" s="15">
        <v>32</v>
      </c>
      <c r="C23" s="21">
        <f>D23/D13*B23</f>
        <v>4480</v>
      </c>
      <c r="D23" s="21">
        <f>F29*E7*I7*2</f>
        <v>3136</v>
      </c>
      <c r="E23" s="22">
        <f>D23/D27</f>
        <v>0.192</v>
      </c>
      <c r="F23" s="27">
        <f t="shared" si="0"/>
        <v>0</v>
      </c>
      <c r="G23" s="28">
        <f t="shared" si="3"/>
        <v>0</v>
      </c>
      <c r="H23" s="91">
        <f>G23/G27</f>
        <v>0</v>
      </c>
      <c r="I23" s="21">
        <f>J23/D13*B23</f>
        <v>-4480</v>
      </c>
      <c r="J23" s="21">
        <f>J22*8+J21*6.5+J20*5+J19*3.5+J18*2</f>
        <v>-3136</v>
      </c>
      <c r="K23" s="7"/>
      <c r="L23" s="29" t="s">
        <v>296</v>
      </c>
      <c r="M23" s="1">
        <f>(M22*8+M21*6.5+M20*5+M19*3.5+M18*2)</f>
        <v>-3155.6</v>
      </c>
      <c r="N23" s="1">
        <f>M23/D13*B23</f>
        <v>-4508</v>
      </c>
      <c r="O23" s="30">
        <f t="shared" si="4"/>
        <v>-19.599999999999909</v>
      </c>
      <c r="Q23" s="24"/>
      <c r="R23" s="24"/>
      <c r="S23" s="1"/>
    </row>
    <row r="24" spans="1:19" ht="15.75" customHeight="1">
      <c r="A24" s="20" t="s">
        <v>297</v>
      </c>
      <c r="B24" s="15">
        <v>44</v>
      </c>
      <c r="C24" s="21">
        <f>D24/D13*B24</f>
        <v>0</v>
      </c>
      <c r="D24" s="21">
        <v>0</v>
      </c>
      <c r="E24" s="22">
        <f>D24/D27</f>
        <v>0</v>
      </c>
      <c r="F24" s="21">
        <f t="shared" si="0"/>
        <v>3267</v>
      </c>
      <c r="G24" s="21">
        <f t="shared" si="3"/>
        <v>1663.2</v>
      </c>
      <c r="H24" s="91">
        <f>G24/G27</f>
        <v>0.10065521915951198</v>
      </c>
      <c r="I24" s="21">
        <f>J24/D13*B24</f>
        <v>3267</v>
      </c>
      <c r="J24" s="21">
        <f>-J22*5+(-J21*4)+(-J20*3)+(-J19*2)+(-J18*1)</f>
        <v>1663.2</v>
      </c>
      <c r="K24" s="7"/>
      <c r="L24" s="31" t="s">
        <v>298</v>
      </c>
      <c r="M24" s="23">
        <f>-(M22*8+M21*4+M20*3+M19*2+M18)</f>
        <v>1685.6</v>
      </c>
      <c r="N24" s="1">
        <f>M24/D13*B24</f>
        <v>3311</v>
      </c>
      <c r="O24" s="23">
        <f t="shared" si="4"/>
        <v>1685.6</v>
      </c>
      <c r="Q24" s="24"/>
      <c r="R24" s="24"/>
      <c r="S24" s="1"/>
    </row>
    <row r="25" spans="1:19" ht="15.75" customHeight="1">
      <c r="A25" s="20" t="s">
        <v>299</v>
      </c>
      <c r="B25" s="15">
        <v>18</v>
      </c>
      <c r="C25" s="21">
        <f>D25/D13*B25</f>
        <v>0</v>
      </c>
      <c r="D25" s="21">
        <v>0</v>
      </c>
      <c r="E25" s="22">
        <f>D25/D27</f>
        <v>0</v>
      </c>
      <c r="F25" s="21">
        <f t="shared" si="0"/>
        <v>2367.0000000000005</v>
      </c>
      <c r="G25" s="21">
        <f t="shared" si="3"/>
        <v>2945.6000000000004</v>
      </c>
      <c r="H25" s="91">
        <f>G25/G27</f>
        <v>0.17826479891549935</v>
      </c>
      <c r="I25" s="21">
        <f>J25/D13*B25</f>
        <v>2367.0000000000005</v>
      </c>
      <c r="J25" s="21">
        <f>-J22*6+(-J21*5)+(-J20*4)+(-J19*3)+(-J18*2)</f>
        <v>2945.6000000000004</v>
      </c>
      <c r="K25" s="7"/>
      <c r="L25" s="31" t="s">
        <v>300</v>
      </c>
      <c r="M25" s="1">
        <f>-(M22*6+M21*5+M20*4+M19*3+M18*2)</f>
        <v>2965.2</v>
      </c>
      <c r="N25" s="1">
        <f>M25/D13*B25</f>
        <v>2382.75</v>
      </c>
      <c r="O25" s="23">
        <f t="shared" si="4"/>
        <v>2965.2</v>
      </c>
      <c r="Q25" s="24"/>
      <c r="R25" s="24"/>
      <c r="S25" s="1"/>
    </row>
    <row r="26" spans="1:19" ht="15.75" customHeight="1">
      <c r="A26" s="20" t="s">
        <v>301</v>
      </c>
      <c r="B26" s="15">
        <v>28</v>
      </c>
      <c r="C26" s="25">
        <f>D26/D13*B26</f>
        <v>14881.416666666668</v>
      </c>
      <c r="D26" s="21">
        <f>D23*79/21+F29*(1-E7-E8-E9-E10-E11)</f>
        <v>11905.133333333333</v>
      </c>
      <c r="E26" s="32">
        <f>D26/D27</f>
        <v>0.72888571428571436</v>
      </c>
      <c r="F26" s="25">
        <f t="shared" si="0"/>
        <v>14881.416666666668</v>
      </c>
      <c r="G26" s="21">
        <f t="shared" si="3"/>
        <v>11905.133333333333</v>
      </c>
      <c r="H26" s="92">
        <f>G26/G27</f>
        <v>0.72048689561680979</v>
      </c>
      <c r="I26" s="25">
        <f>J26/D13*B26</f>
        <v>0</v>
      </c>
      <c r="J26" s="21">
        <v>0</v>
      </c>
      <c r="K26" s="1"/>
      <c r="L26" s="31" t="s">
        <v>302</v>
      </c>
      <c r="M26" s="1">
        <v>0</v>
      </c>
      <c r="N26" s="1">
        <f>M26/D13*B26</f>
        <v>0</v>
      </c>
      <c r="O26" s="24">
        <f t="shared" si="4"/>
        <v>11905.133333333333</v>
      </c>
      <c r="P26" s="24"/>
      <c r="Q26" s="24"/>
    </row>
    <row r="27" spans="1:19" ht="15.75" customHeight="1">
      <c r="A27" s="33" t="s">
        <v>54</v>
      </c>
      <c r="B27" s="9"/>
      <c r="C27" s="28">
        <f t="shared" ref="C27:J27" si="5">SUM(C18:C26)</f>
        <v>20522.416666666668</v>
      </c>
      <c r="D27" s="27">
        <f t="shared" si="5"/>
        <v>16333.333333333332</v>
      </c>
      <c r="E27" s="47">
        <f t="shared" si="5"/>
        <v>1</v>
      </c>
      <c r="F27" s="28">
        <f t="shared" si="5"/>
        <v>20522.416666666668</v>
      </c>
      <c r="G27" s="27">
        <f t="shared" si="5"/>
        <v>16523.733333333334</v>
      </c>
      <c r="H27" s="93">
        <f t="shared" si="5"/>
        <v>1</v>
      </c>
      <c r="I27" s="28">
        <f t="shared" si="5"/>
        <v>4.5474735088646412E-13</v>
      </c>
      <c r="J27" s="21">
        <f t="shared" si="5"/>
        <v>190.40000000000055</v>
      </c>
      <c r="K27" s="1"/>
      <c r="L27" s="1"/>
      <c r="M27" s="35"/>
      <c r="N27" s="1">
        <f t="shared" ref="N27:O27" si="6">SUM(N18:N26)</f>
        <v>24.75</v>
      </c>
      <c r="O27" s="24">
        <f t="shared" si="6"/>
        <v>16536.333333333332</v>
      </c>
      <c r="P27" s="24"/>
      <c r="Q27" s="24"/>
    </row>
    <row r="28" spans="1:19" ht="15.75" customHeight="1">
      <c r="A28" s="1"/>
      <c r="B28" s="1"/>
      <c r="C28" s="1"/>
      <c r="D28" s="1"/>
      <c r="E28" s="1"/>
      <c r="F28" s="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9" ht="15.75" customHeight="1">
      <c r="A29" s="71"/>
      <c r="B29" s="1"/>
      <c r="C29" s="37" t="s">
        <v>55</v>
      </c>
      <c r="D29" s="1"/>
      <c r="E29" s="7"/>
      <c r="F29" s="15">
        <f>E6*I6</f>
        <v>1400</v>
      </c>
      <c r="G29" s="1"/>
      <c r="H29" s="1" t="s">
        <v>56</v>
      </c>
      <c r="I29" s="1">
        <v>450</v>
      </c>
      <c r="J29" s="1" t="s">
        <v>57</v>
      </c>
      <c r="K29" s="1"/>
      <c r="L29" s="1"/>
      <c r="M29" s="1"/>
      <c r="N29" s="1"/>
      <c r="O29" s="1"/>
      <c r="P29" s="1"/>
      <c r="Q29" s="1"/>
    </row>
    <row r="30" spans="1:19" ht="15.75" customHeight="1">
      <c r="A30" s="38"/>
      <c r="B30" s="39" t="s">
        <v>58</v>
      </c>
      <c r="C30" s="40" t="s">
        <v>59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9" ht="15.75" customHeight="1">
      <c r="A31" s="41" t="s">
        <v>26</v>
      </c>
      <c r="B31" s="42" t="s">
        <v>60</v>
      </c>
      <c r="C31" s="42" t="s">
        <v>303</v>
      </c>
      <c r="D31" s="1"/>
      <c r="E31" s="1"/>
      <c r="F31" s="1"/>
      <c r="G31" s="1"/>
      <c r="H31" s="1"/>
      <c r="I31" s="1"/>
      <c r="J31" s="1"/>
      <c r="K31" s="1"/>
      <c r="L31" s="1" t="s">
        <v>304</v>
      </c>
      <c r="M31" s="1"/>
      <c r="N31" s="1"/>
      <c r="O31" s="1"/>
      <c r="P31" s="1"/>
      <c r="Q31" s="1"/>
    </row>
    <row r="32" spans="1:19" ht="15.75" customHeight="1">
      <c r="A32" s="20" t="s">
        <v>305</v>
      </c>
      <c r="B32" s="43">
        <v>35.700000000000003</v>
      </c>
      <c r="C32" s="43">
        <v>-74.599999999999994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>
      <c r="A33" s="20" t="s">
        <v>306</v>
      </c>
      <c r="B33" s="43">
        <v>52.49</v>
      </c>
      <c r="C33" s="43">
        <v>-84</v>
      </c>
      <c r="D33" s="1"/>
      <c r="E33" s="1"/>
      <c r="F33" s="3" t="s">
        <v>64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>
      <c r="A34" s="20" t="s">
        <v>307</v>
      </c>
      <c r="B34" s="43">
        <v>73.599999999999994</v>
      </c>
      <c r="C34" s="43">
        <f>-103.85</f>
        <v>-103.85</v>
      </c>
      <c r="D34" s="1"/>
      <c r="E34" s="1"/>
      <c r="F34" s="4"/>
      <c r="G34" s="4"/>
      <c r="H34" s="4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>
      <c r="A35" s="20" t="s">
        <v>308</v>
      </c>
      <c r="B35" s="43">
        <v>98.49</v>
      </c>
      <c r="C35" s="43">
        <f>-125.77</f>
        <v>-125.77</v>
      </c>
      <c r="D35" s="1"/>
      <c r="E35" s="7"/>
      <c r="F35" s="44" t="s">
        <v>67</v>
      </c>
      <c r="G35" s="44" t="s">
        <v>68</v>
      </c>
      <c r="H35" s="45" t="s">
        <v>69</v>
      </c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>
      <c r="A36" s="20" t="s">
        <v>309</v>
      </c>
      <c r="B36" s="43">
        <v>120.04</v>
      </c>
      <c r="C36" s="43">
        <f>-146.36</f>
        <v>-146.36000000000001</v>
      </c>
      <c r="D36" s="1"/>
      <c r="E36" s="7" t="s">
        <v>71</v>
      </c>
      <c r="F36" s="43">
        <f>I29*B42*D27/22.4*1000/3600</f>
        <v>2748447.604166667</v>
      </c>
      <c r="G36" s="46">
        <f>(J22*C45/1+J21*C46/1+J20*C47/1+J19*C48/1+J18*C49/1)/22.4*(1000/3600)*1000</f>
        <v>15689944.791666668</v>
      </c>
      <c r="H36" s="47">
        <f>F36+G36</f>
        <v>18438392.395833336</v>
      </c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>
      <c r="A37" s="20" t="s">
        <v>310</v>
      </c>
      <c r="B37" s="43">
        <v>29.38</v>
      </c>
      <c r="C37" s="43">
        <f>0</f>
        <v>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>
      <c r="A38" s="20" t="s">
        <v>311</v>
      </c>
      <c r="B38" s="43">
        <v>37.14</v>
      </c>
      <c r="C38" s="43">
        <f>-393.51</f>
        <v>-393.51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>
      <c r="A39" s="20" t="s">
        <v>312</v>
      </c>
      <c r="B39" s="43">
        <v>33.6</v>
      </c>
      <c r="C39" s="43">
        <f>-241.83</f>
        <v>-241.83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>
      <c r="A40" s="20" t="s">
        <v>313</v>
      </c>
      <c r="B40" s="43">
        <v>29.12</v>
      </c>
      <c r="C40" s="43">
        <f>0</f>
        <v>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>
      <c r="A41" s="4"/>
      <c r="B41" s="48"/>
      <c r="C41" s="2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>
      <c r="A42" s="49" t="s">
        <v>314</v>
      </c>
      <c r="B42" s="47">
        <f>B32*E18+B33*E19+B34*E20+B35*E21+B36*E22+B37*E23+B38*E24+B39*E25+B40*E26</f>
        <v>30.154396571428574</v>
      </c>
      <c r="C42" s="50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>
      <c r="A43" s="49" t="s">
        <v>315</v>
      </c>
      <c r="B43" s="47">
        <f>B32*H18+B33*H19+B34*H20+B35*H21+B36*H22+B37*H23+B38*H24+B39*H25+B40*H26</f>
        <v>30.729783664708542</v>
      </c>
      <c r="C43" s="5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>
      <c r="A44" s="1"/>
      <c r="B44" s="52"/>
      <c r="C44" s="4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>
      <c r="A45" s="7"/>
      <c r="B45" s="53" t="s">
        <v>78</v>
      </c>
      <c r="C45" s="47">
        <f>((5*C38+6*C39)-(C36+8*C37))</f>
        <v>-3272.1699999999996</v>
      </c>
      <c r="D45" s="1" t="s">
        <v>79</v>
      </c>
      <c r="E45" s="1"/>
      <c r="F45" s="1"/>
      <c r="G45" s="1"/>
      <c r="H45" s="1"/>
      <c r="I45" s="1"/>
      <c r="J45" s="1"/>
      <c r="K45" s="4"/>
      <c r="L45" s="54" t="s">
        <v>8</v>
      </c>
      <c r="M45" s="54" t="s">
        <v>80</v>
      </c>
      <c r="N45" s="1"/>
      <c r="O45" s="1"/>
      <c r="P45" s="1"/>
      <c r="Q45" s="1"/>
    </row>
    <row r="46" spans="1:17" ht="15.75" customHeight="1">
      <c r="A46" s="7"/>
      <c r="B46" s="53" t="s">
        <v>81</v>
      </c>
      <c r="C46" s="47">
        <f>((4*C38+5*C39)-(1*C35))</f>
        <v>-2657.42</v>
      </c>
      <c r="D46" s="1" t="s">
        <v>79</v>
      </c>
      <c r="E46" s="1"/>
      <c r="F46" s="1"/>
      <c r="G46" s="1"/>
      <c r="H46" s="1"/>
      <c r="I46" s="1"/>
      <c r="J46" s="7"/>
      <c r="K46" s="55" t="s">
        <v>82</v>
      </c>
      <c r="L46" s="10">
        <v>0.8</v>
      </c>
      <c r="M46" s="43">
        <v>35.700000000000003</v>
      </c>
      <c r="N46" s="1"/>
      <c r="O46" s="1"/>
      <c r="P46" s="1"/>
      <c r="Q46" s="1"/>
    </row>
    <row r="47" spans="1:17" ht="15.75" customHeight="1">
      <c r="A47" s="7"/>
      <c r="B47" s="53" t="s">
        <v>83</v>
      </c>
      <c r="C47" s="47">
        <f>((3*C38+4*C39)-(1*C34))</f>
        <v>-2044</v>
      </c>
      <c r="D47" s="1" t="s">
        <v>79</v>
      </c>
      <c r="E47" s="1"/>
      <c r="F47" s="1"/>
      <c r="G47" s="1"/>
      <c r="H47" s="1"/>
      <c r="I47" s="1"/>
      <c r="J47" s="7"/>
      <c r="K47" s="55" t="s">
        <v>84</v>
      </c>
      <c r="L47" s="10">
        <v>0.03</v>
      </c>
      <c r="M47" s="43">
        <v>52.49</v>
      </c>
      <c r="N47" s="1"/>
      <c r="O47" s="1"/>
      <c r="P47" s="1"/>
      <c r="Q47" s="1"/>
    </row>
    <row r="48" spans="1:17" ht="15.75" customHeight="1">
      <c r="A48" s="7"/>
      <c r="B48" s="53" t="s">
        <v>85</v>
      </c>
      <c r="C48" s="47">
        <f>((2*C38+3*C39)-(C33))</f>
        <v>-1428.51</v>
      </c>
      <c r="D48" s="1" t="s">
        <v>79</v>
      </c>
      <c r="E48" s="1"/>
      <c r="F48" s="1"/>
      <c r="G48" s="1"/>
      <c r="H48" s="1"/>
      <c r="I48" s="1"/>
      <c r="J48" s="7"/>
      <c r="K48" s="55" t="s">
        <v>86</v>
      </c>
      <c r="L48" s="10">
        <v>0.04</v>
      </c>
      <c r="M48" s="43">
        <v>73.599999999999994</v>
      </c>
      <c r="N48" s="1"/>
      <c r="O48" s="1"/>
      <c r="P48" s="1"/>
      <c r="Q48" s="1"/>
    </row>
    <row r="49" spans="1:17" ht="15.75" customHeight="1">
      <c r="A49" s="7"/>
      <c r="B49" s="53" t="s">
        <v>87</v>
      </c>
      <c r="C49" s="47">
        <f>((1*C38+2*C39)-(1*C32))</f>
        <v>-802.57</v>
      </c>
      <c r="D49" s="1" t="s">
        <v>79</v>
      </c>
      <c r="E49" s="1"/>
      <c r="F49" s="1"/>
      <c r="G49" s="1"/>
      <c r="H49" s="1"/>
      <c r="I49" s="1"/>
      <c r="J49" s="7"/>
      <c r="K49" s="55" t="s">
        <v>88</v>
      </c>
      <c r="L49" s="10">
        <v>0.05</v>
      </c>
      <c r="M49" s="43">
        <v>98.49</v>
      </c>
      <c r="N49" s="5" t="s">
        <v>89</v>
      </c>
      <c r="O49" s="1"/>
      <c r="P49" s="1"/>
      <c r="Q49" s="1"/>
    </row>
    <row r="50" spans="1:17" ht="15.75" customHeight="1">
      <c r="A50" s="1"/>
      <c r="B50" s="24"/>
      <c r="C50" s="24"/>
      <c r="D50" s="1"/>
      <c r="E50" s="1"/>
      <c r="F50" s="1"/>
      <c r="G50" s="1"/>
      <c r="H50" s="1"/>
      <c r="I50" s="1"/>
      <c r="J50" s="7"/>
      <c r="K50" s="55" t="s">
        <v>90</v>
      </c>
      <c r="L50" s="10">
        <v>3.0000000000000001E-3</v>
      </c>
      <c r="M50" s="43">
        <v>120.04</v>
      </c>
      <c r="N50" s="56">
        <f>L46*M46+L47*M47+L48*M48+L49*M49+L50*M50+L51*M51</f>
        <v>40.605560000000004</v>
      </c>
      <c r="O50" s="1"/>
      <c r="P50" s="1"/>
      <c r="Q50" s="1"/>
    </row>
    <row r="51" spans="1:17" ht="15.75" customHeight="1">
      <c r="A51" s="1"/>
      <c r="B51" s="1"/>
      <c r="C51" s="1"/>
      <c r="D51" s="1"/>
      <c r="E51" s="1"/>
      <c r="F51" s="1"/>
      <c r="G51" s="4"/>
      <c r="H51" s="1"/>
      <c r="I51" s="1"/>
      <c r="J51" s="7"/>
      <c r="K51" s="55" t="s">
        <v>19</v>
      </c>
      <c r="L51" s="6">
        <f>1-(L46+L47+L48+L49+L50)</f>
        <v>7.6999999999999846E-2</v>
      </c>
      <c r="M51" s="43">
        <v>29.12</v>
      </c>
      <c r="N51" s="1"/>
      <c r="O51" s="1"/>
      <c r="P51" s="1"/>
      <c r="Q51" s="1"/>
    </row>
    <row r="52" spans="1:17" ht="15.75" customHeight="1">
      <c r="A52" s="3" t="s">
        <v>91</v>
      </c>
      <c r="B52" s="1"/>
      <c r="C52" s="1"/>
      <c r="D52" s="1"/>
      <c r="E52" s="37" t="s">
        <v>92</v>
      </c>
      <c r="F52" s="7"/>
      <c r="G52" s="15">
        <f>E6-F29</f>
        <v>5600</v>
      </c>
      <c r="H52" s="1" t="s">
        <v>6</v>
      </c>
      <c r="I52" s="1"/>
      <c r="J52" s="1"/>
      <c r="K52" s="1"/>
      <c r="L52" s="1"/>
      <c r="M52" s="1"/>
      <c r="N52" s="1"/>
      <c r="O52" s="1"/>
      <c r="P52" s="1"/>
      <c r="Q52" s="1"/>
    </row>
    <row r="53" spans="1:17" ht="29.25" customHeight="1">
      <c r="A53" s="1"/>
      <c r="B53" s="1"/>
      <c r="C53" s="1"/>
      <c r="D53" s="119" t="s">
        <v>93</v>
      </c>
      <c r="E53" s="118"/>
      <c r="F53" s="118"/>
      <c r="G53" s="118"/>
      <c r="H53" s="118"/>
      <c r="I53" s="118"/>
      <c r="J53" s="1"/>
      <c r="K53" s="1"/>
      <c r="L53" s="1"/>
      <c r="M53" s="1"/>
      <c r="N53" s="1"/>
      <c r="O53" s="1"/>
      <c r="P53" s="1"/>
      <c r="Q53" s="1"/>
    </row>
    <row r="54" spans="1:17" ht="15.75" customHeight="1">
      <c r="A54" s="4"/>
      <c r="B54" s="4"/>
      <c r="C54" s="4"/>
      <c r="D54" s="4"/>
      <c r="E54" s="4"/>
      <c r="F54" s="4"/>
      <c r="G54" s="4"/>
      <c r="H54" s="4"/>
      <c r="I54" s="57">
        <v>22.4</v>
      </c>
      <c r="J54" s="4"/>
      <c r="K54" s="58" t="s">
        <v>94</v>
      </c>
      <c r="L54" s="58" t="s">
        <v>95</v>
      </c>
      <c r="M54" s="58" t="s">
        <v>96</v>
      </c>
      <c r="N54" s="1"/>
      <c r="O54" s="1"/>
      <c r="P54" s="1"/>
      <c r="Q54" s="1"/>
    </row>
    <row r="55" spans="1:17" ht="15.75" customHeight="1">
      <c r="A55" s="59" t="s">
        <v>26</v>
      </c>
      <c r="B55" s="44" t="s">
        <v>27</v>
      </c>
      <c r="C55" s="44" t="s">
        <v>28</v>
      </c>
      <c r="D55" s="44" t="s">
        <v>29</v>
      </c>
      <c r="E55" s="44" t="s">
        <v>30</v>
      </c>
      <c r="F55" s="44" t="s">
        <v>31</v>
      </c>
      <c r="G55" s="44" t="s">
        <v>32</v>
      </c>
      <c r="H55" s="44" t="s">
        <v>33</v>
      </c>
      <c r="I55" s="44" t="s">
        <v>34</v>
      </c>
      <c r="J55" s="44" t="s">
        <v>35</v>
      </c>
      <c r="K55" s="44" t="s">
        <v>97</v>
      </c>
      <c r="L55" s="44" t="s">
        <v>98</v>
      </c>
      <c r="M55" s="44" t="s">
        <v>99</v>
      </c>
      <c r="N55" s="60"/>
      <c r="O55" s="1"/>
      <c r="P55" s="1"/>
      <c r="Q55" s="1"/>
    </row>
    <row r="56" spans="1:17" ht="15.75" customHeight="1">
      <c r="A56" s="20" t="s">
        <v>316</v>
      </c>
      <c r="B56" s="61">
        <v>16</v>
      </c>
      <c r="C56" s="21">
        <f>D56/I54*B56</f>
        <v>3207.0000000000005</v>
      </c>
      <c r="D56" s="43">
        <f>G52*L46+G18</f>
        <v>4489.8</v>
      </c>
      <c r="E56" s="22">
        <f>D56/D67</f>
        <v>0.20294043199460007</v>
      </c>
      <c r="F56" s="21">
        <f t="shared" ref="F56:G66" si="7">C56+I56</f>
        <v>1495.0000000000002</v>
      </c>
      <c r="G56" s="21">
        <f t="shared" si="7"/>
        <v>2093</v>
      </c>
      <c r="H56" s="22">
        <f>G56/G67</f>
        <v>6.6780821917808222E-2</v>
      </c>
      <c r="I56" s="21">
        <f>J56/I54*B56</f>
        <v>-1712.0000000000002</v>
      </c>
      <c r="J56" s="43">
        <f>SUM(K56:M56)</f>
        <v>-2396.8000000000002</v>
      </c>
      <c r="K56" s="43">
        <v>-733.6</v>
      </c>
      <c r="L56" s="43">
        <v>-1663.2</v>
      </c>
      <c r="M56" s="43">
        <v>0</v>
      </c>
      <c r="N56" s="1"/>
      <c r="O56" s="1"/>
      <c r="P56" s="1"/>
      <c r="Q56" s="24"/>
    </row>
    <row r="57" spans="1:17" ht="15.75" customHeight="1">
      <c r="A57" s="20" t="s">
        <v>317</v>
      </c>
      <c r="B57" s="61">
        <v>30</v>
      </c>
      <c r="C57" s="21">
        <f>D57/I54*B57</f>
        <v>225.00000000000003</v>
      </c>
      <c r="D57" s="43">
        <f>G52*L47</f>
        <v>168</v>
      </c>
      <c r="E57" s="22">
        <f>D57/D67</f>
        <v>7.5936550793115083E-3</v>
      </c>
      <c r="F57" s="21">
        <f t="shared" ref="F57" si="8">C57+I57</f>
        <v>0</v>
      </c>
      <c r="G57" s="21">
        <f t="shared" si="7"/>
        <v>0</v>
      </c>
      <c r="H57" s="22">
        <f>G57/G67</f>
        <v>0</v>
      </c>
      <c r="I57" s="21">
        <f>J57/I54*B57</f>
        <v>-225.00000000000003</v>
      </c>
      <c r="J57" s="43">
        <f t="shared" ref="J57:J66" si="9">SUM(K57:M57)</f>
        <v>-168</v>
      </c>
      <c r="K57" s="43">
        <f>-D57</f>
        <v>-168</v>
      </c>
      <c r="L57" s="43">
        <v>0</v>
      </c>
      <c r="M57" s="43">
        <v>0</v>
      </c>
      <c r="N57" s="1"/>
      <c r="O57" s="1"/>
      <c r="P57" s="1"/>
      <c r="Q57" s="24"/>
    </row>
    <row r="58" spans="1:17" ht="15.75" customHeight="1">
      <c r="A58" s="20" t="s">
        <v>318</v>
      </c>
      <c r="B58" s="61">
        <v>44</v>
      </c>
      <c r="C58" s="21">
        <f>D58/I54*B58</f>
        <v>440</v>
      </c>
      <c r="D58" s="43">
        <f>G52*L48</f>
        <v>224</v>
      </c>
      <c r="E58" s="22">
        <f>D58/D67</f>
        <v>1.0124873439082012E-2</v>
      </c>
      <c r="F58" s="21">
        <f t="shared" ref="F58" si="10">C58+I58</f>
        <v>0</v>
      </c>
      <c r="G58" s="21">
        <f t="shared" si="7"/>
        <v>0</v>
      </c>
      <c r="H58" s="22">
        <f>G58/G67</f>
        <v>0</v>
      </c>
      <c r="I58" s="21">
        <f>J58/I54*B58</f>
        <v>-440</v>
      </c>
      <c r="J58" s="43">
        <f t="shared" si="9"/>
        <v>-224</v>
      </c>
      <c r="K58" s="43">
        <f>-D58</f>
        <v>-224</v>
      </c>
      <c r="L58" s="43">
        <v>0</v>
      </c>
      <c r="M58" s="43">
        <v>0</v>
      </c>
      <c r="N58" s="1"/>
      <c r="O58" s="1"/>
      <c r="P58" s="1"/>
      <c r="Q58" s="24"/>
    </row>
    <row r="59" spans="1:17" ht="15.75" customHeight="1">
      <c r="A59" s="20" t="s">
        <v>319</v>
      </c>
      <c r="B59" s="61">
        <v>58</v>
      </c>
      <c r="C59" s="21">
        <f>D59/I54*B59</f>
        <v>725</v>
      </c>
      <c r="D59" s="43">
        <f>G52*L49</f>
        <v>280</v>
      </c>
      <c r="E59" s="22">
        <f>D59/D67</f>
        <v>1.2656091798852515E-2</v>
      </c>
      <c r="F59" s="21">
        <f t="shared" ref="F59" si="11">C59+I59</f>
        <v>0</v>
      </c>
      <c r="G59" s="21">
        <f t="shared" si="7"/>
        <v>0</v>
      </c>
      <c r="H59" s="22">
        <f>G59/G67</f>
        <v>0</v>
      </c>
      <c r="I59" s="21">
        <f>J59/I54*B59</f>
        <v>-725</v>
      </c>
      <c r="J59" s="43">
        <f t="shared" si="9"/>
        <v>-280</v>
      </c>
      <c r="K59" s="43">
        <f>-D59</f>
        <v>-280</v>
      </c>
      <c r="L59" s="43">
        <v>0</v>
      </c>
      <c r="M59" s="43">
        <v>0</v>
      </c>
      <c r="N59" s="1"/>
      <c r="O59" s="1"/>
      <c r="P59" s="1"/>
      <c r="Q59" s="24"/>
    </row>
    <row r="60" spans="1:17" ht="15.75" customHeight="1">
      <c r="A60" s="20" t="s">
        <v>320</v>
      </c>
      <c r="B60" s="61">
        <v>72</v>
      </c>
      <c r="C60" s="21">
        <f>D60/I54*B60</f>
        <v>54.000000000000007</v>
      </c>
      <c r="D60" s="43">
        <f>G52*L50</f>
        <v>16.8</v>
      </c>
      <c r="E60" s="22">
        <f>D60/D67</f>
        <v>7.5936550793115093E-4</v>
      </c>
      <c r="F60" s="21">
        <f t="shared" ref="F60:F65" si="12">C60+I60</f>
        <v>0</v>
      </c>
      <c r="G60" s="21">
        <f t="shared" si="7"/>
        <v>0</v>
      </c>
      <c r="H60" s="22">
        <f>G60/G67</f>
        <v>0</v>
      </c>
      <c r="I60" s="21">
        <f>J60/I54*B60</f>
        <v>-54.000000000000007</v>
      </c>
      <c r="J60" s="43">
        <f t="shared" si="9"/>
        <v>-16.8</v>
      </c>
      <c r="K60" s="43">
        <f>-D60</f>
        <v>-16.8</v>
      </c>
      <c r="L60" s="43">
        <v>0</v>
      </c>
      <c r="M60" s="43">
        <v>0</v>
      </c>
      <c r="N60" s="1"/>
      <c r="O60" s="1"/>
      <c r="P60" s="1"/>
      <c r="Q60" s="24"/>
    </row>
    <row r="61" spans="1:17" ht="15.75" customHeight="1">
      <c r="A61" s="20" t="s">
        <v>321</v>
      </c>
      <c r="B61" s="61">
        <v>32</v>
      </c>
      <c r="C61" s="21">
        <f>D61</f>
        <v>0</v>
      </c>
      <c r="D61" s="43">
        <v>0</v>
      </c>
      <c r="E61" s="22">
        <f>D61</f>
        <v>0</v>
      </c>
      <c r="F61" s="21">
        <f t="shared" si="12"/>
        <v>0</v>
      </c>
      <c r="G61" s="21">
        <f t="shared" si="7"/>
        <v>0</v>
      </c>
      <c r="H61" s="22">
        <f>G61/G67</f>
        <v>0</v>
      </c>
      <c r="I61" s="21">
        <f>0</f>
        <v>0</v>
      </c>
      <c r="J61" s="43">
        <f>SUM(K61:M61)</f>
        <v>0</v>
      </c>
      <c r="K61" s="43">
        <v>0</v>
      </c>
      <c r="L61" s="43">
        <v>0</v>
      </c>
      <c r="M61" s="43">
        <v>0</v>
      </c>
      <c r="N61" s="1"/>
      <c r="O61" s="1"/>
      <c r="P61" s="1"/>
      <c r="Q61" s="24"/>
    </row>
    <row r="62" spans="1:17" ht="15.75" customHeight="1">
      <c r="A62" s="20" t="s">
        <v>322</v>
      </c>
      <c r="B62" s="61">
        <v>44</v>
      </c>
      <c r="C62" s="21">
        <f>D62/I54*B62</f>
        <v>3267</v>
      </c>
      <c r="D62" s="43">
        <f t="shared" ref="D62:D63" si="13">G24</f>
        <v>1663.2</v>
      </c>
      <c r="E62" s="22">
        <f>D62/D67</f>
        <v>7.517718528518394E-2</v>
      </c>
      <c r="F62" s="21">
        <f t="shared" si="12"/>
        <v>0</v>
      </c>
      <c r="G62" s="21">
        <f t="shared" si="7"/>
        <v>0</v>
      </c>
      <c r="H62" s="22">
        <f>G62/G67</f>
        <v>0</v>
      </c>
      <c r="I62" s="21">
        <f>J62/I54*B62</f>
        <v>-3267</v>
      </c>
      <c r="J62" s="43">
        <f t="shared" si="9"/>
        <v>-1663.2</v>
      </c>
      <c r="K62" s="43">
        <v>0</v>
      </c>
      <c r="L62" s="43">
        <f>L56</f>
        <v>-1663.2</v>
      </c>
      <c r="M62" s="43">
        <v>0</v>
      </c>
      <c r="N62" s="1"/>
      <c r="O62" s="1"/>
      <c r="P62" s="1"/>
      <c r="Q62" s="24"/>
    </row>
    <row r="63" spans="1:17" ht="15.75" customHeight="1">
      <c r="A63" s="20" t="s">
        <v>323</v>
      </c>
      <c r="B63" s="61">
        <v>18</v>
      </c>
      <c r="C63" s="21">
        <f>D63/I54*B63</f>
        <v>2367.0000000000005</v>
      </c>
      <c r="D63" s="43">
        <f t="shared" si="13"/>
        <v>2945.6000000000004</v>
      </c>
      <c r="E63" s="22">
        <f>D63/D67</f>
        <v>0.13314208572392847</v>
      </c>
      <c r="F63" s="21">
        <f t="shared" si="12"/>
        <v>0</v>
      </c>
      <c r="G63" s="21">
        <f t="shared" si="7"/>
        <v>0</v>
      </c>
      <c r="H63" s="22">
        <f>G63/G67</f>
        <v>0</v>
      </c>
      <c r="I63" s="21">
        <f>J63/I54*B63</f>
        <v>-2367</v>
      </c>
      <c r="J63" s="43">
        <f t="shared" si="9"/>
        <v>-2945.6</v>
      </c>
      <c r="K63" s="43">
        <f>K60*5+K59*4+K58*3+K57*2+K56</f>
        <v>-2945.6</v>
      </c>
      <c r="L63" s="43">
        <v>0</v>
      </c>
      <c r="M63" s="43">
        <v>0</v>
      </c>
      <c r="N63" s="1"/>
      <c r="O63" s="1"/>
      <c r="P63" s="1"/>
      <c r="Q63" s="24"/>
    </row>
    <row r="64" spans="1:17" ht="15.75" customHeight="1">
      <c r="A64" s="20" t="s">
        <v>108</v>
      </c>
      <c r="B64" s="61">
        <v>28</v>
      </c>
      <c r="C64" s="21">
        <v>0</v>
      </c>
      <c r="D64" s="43">
        <v>0</v>
      </c>
      <c r="E64" s="22">
        <f t="shared" ref="E64:E65" si="14">D64</f>
        <v>0</v>
      </c>
      <c r="F64" s="21">
        <f t="shared" si="12"/>
        <v>7840</v>
      </c>
      <c r="G64" s="21">
        <f t="shared" si="7"/>
        <v>6272</v>
      </c>
      <c r="H64" s="22">
        <f>G64/G67</f>
        <v>0.20011911852293032</v>
      </c>
      <c r="I64" s="21">
        <f>J64/I54*B64</f>
        <v>7840</v>
      </c>
      <c r="J64" s="43">
        <f t="shared" si="9"/>
        <v>6272</v>
      </c>
      <c r="K64" s="43">
        <f>-K60*5-K59*4-K58*3-K57*2-K56</f>
        <v>2945.6</v>
      </c>
      <c r="L64" s="43">
        <f>-L56*2</f>
        <v>3326.4</v>
      </c>
      <c r="M64" s="43">
        <v>0</v>
      </c>
      <c r="N64" s="1"/>
      <c r="O64" s="1"/>
      <c r="P64" s="1"/>
      <c r="Q64" s="24"/>
    </row>
    <row r="65" spans="1:17" ht="15.75" customHeight="1">
      <c r="A65" s="20" t="s">
        <v>324</v>
      </c>
      <c r="B65" s="61">
        <v>2</v>
      </c>
      <c r="C65" s="21">
        <v>0</v>
      </c>
      <c r="D65" s="43">
        <v>0</v>
      </c>
      <c r="E65" s="22">
        <f t="shared" si="14"/>
        <v>0</v>
      </c>
      <c r="F65" s="21">
        <f t="shared" si="12"/>
        <v>950.00000000000011</v>
      </c>
      <c r="G65" s="21">
        <f t="shared" si="7"/>
        <v>10640</v>
      </c>
      <c r="H65" s="22">
        <f>G65/G67</f>
        <v>0.33948779035139964</v>
      </c>
      <c r="I65" s="21">
        <f>J65/I54*B65</f>
        <v>950.00000000000011</v>
      </c>
      <c r="J65" s="43">
        <f t="shared" si="9"/>
        <v>10640</v>
      </c>
      <c r="K65" s="43">
        <f>-K60*11-K59*9-K58*7-K57*5-K56*3</f>
        <v>7313.6</v>
      </c>
      <c r="L65" s="43">
        <f>-L56*2</f>
        <v>3326.4</v>
      </c>
      <c r="M65" s="43">
        <v>0</v>
      </c>
      <c r="N65" s="1"/>
      <c r="O65" s="1"/>
      <c r="P65" s="1"/>
      <c r="Q65" s="24"/>
    </row>
    <row r="66" spans="1:17" ht="15.75" customHeight="1">
      <c r="A66" s="20" t="s">
        <v>325</v>
      </c>
      <c r="B66" s="61">
        <v>28</v>
      </c>
      <c r="C66" s="21">
        <f>D66/I54*B66</f>
        <v>15420.416666666666</v>
      </c>
      <c r="D66" s="43">
        <f>G52*L51+G26</f>
        <v>12336.333333333332</v>
      </c>
      <c r="E66" s="22">
        <f>D66/D67</f>
        <v>0.55760631117111026</v>
      </c>
      <c r="F66" s="21">
        <f>I66+C66</f>
        <v>15420.416666666666</v>
      </c>
      <c r="G66" s="21">
        <f>D66+J66</f>
        <v>12336.333333333332</v>
      </c>
      <c r="H66" s="22">
        <f>G66/G67</f>
        <v>0.3936122692078618</v>
      </c>
      <c r="I66" s="21">
        <v>0</v>
      </c>
      <c r="J66" s="43">
        <f t="shared" si="9"/>
        <v>0</v>
      </c>
      <c r="K66" s="43">
        <v>0</v>
      </c>
      <c r="L66" s="43">
        <v>0</v>
      </c>
      <c r="M66" s="43">
        <v>0</v>
      </c>
      <c r="N66" s="1"/>
      <c r="O66" s="1"/>
      <c r="P66" s="1"/>
      <c r="Q66" s="24"/>
    </row>
    <row r="67" spans="1:17" ht="15.75" customHeight="1">
      <c r="A67" s="33" t="s">
        <v>54</v>
      </c>
      <c r="B67" s="15"/>
      <c r="C67" s="62">
        <f t="shared" ref="C67:H67" si="15">SUM(C56:C66)</f>
        <v>25705.416666666664</v>
      </c>
      <c r="D67" s="43">
        <f t="shared" si="15"/>
        <v>22123.733333333334</v>
      </c>
      <c r="E67" s="22">
        <f t="shared" si="15"/>
        <v>0.99999999999999989</v>
      </c>
      <c r="F67" s="62">
        <f t="shared" si="15"/>
        <v>25705.416666666664</v>
      </c>
      <c r="G67" s="21">
        <f t="shared" si="15"/>
        <v>31341.333333333332</v>
      </c>
      <c r="H67" s="22">
        <f t="shared" si="15"/>
        <v>1</v>
      </c>
      <c r="I67" s="21">
        <f>SUM(I56:I66)</f>
        <v>1.1368683772161603E-13</v>
      </c>
      <c r="J67" s="21">
        <f>SUM(J56:J66)</f>
        <v>9217.6</v>
      </c>
      <c r="K67" s="21">
        <f>SUM(K56:K66)</f>
        <v>5891.2000000000007</v>
      </c>
      <c r="L67" s="21">
        <f>SUM(L56:L66)</f>
        <v>3326.4</v>
      </c>
      <c r="M67" s="21">
        <f>SUM(M56:M66)</f>
        <v>0</v>
      </c>
      <c r="N67" s="1"/>
      <c r="O67" s="1"/>
      <c r="P67" s="1"/>
      <c r="Q67" s="24"/>
    </row>
    <row r="68" spans="1:17" ht="15.75" customHeight="1">
      <c r="A68" s="1"/>
      <c r="B68" s="1"/>
      <c r="C68" s="24"/>
      <c r="D68" s="24"/>
      <c r="E68" s="1"/>
      <c r="F68" s="1"/>
      <c r="G68" s="1"/>
      <c r="H68" s="1"/>
      <c r="I68" s="4"/>
      <c r="J68" s="1"/>
      <c r="K68" s="1"/>
      <c r="L68" s="1"/>
      <c r="M68" s="1"/>
      <c r="N68" s="1"/>
      <c r="O68" s="1"/>
      <c r="P68" s="1"/>
      <c r="Q68" s="1"/>
    </row>
    <row r="69" spans="1:17" ht="15.75" customHeight="1">
      <c r="A69" s="1"/>
      <c r="B69" s="4"/>
      <c r="C69" s="4"/>
      <c r="D69" s="4"/>
      <c r="E69" s="1"/>
      <c r="F69" s="1"/>
      <c r="G69" s="63" t="s">
        <v>111</v>
      </c>
      <c r="H69" s="7"/>
      <c r="I69" s="43">
        <f>G65/G64</f>
        <v>1.6964285714285714</v>
      </c>
      <c r="J69" s="1"/>
      <c r="K69" s="24">
        <f>D59-D62/4</f>
        <v>-135.80000000000001</v>
      </c>
      <c r="L69" s="1"/>
      <c r="M69" s="1">
        <f>D59*4</f>
        <v>1120</v>
      </c>
      <c r="N69" s="1" t="s">
        <v>112</v>
      </c>
      <c r="O69" s="1"/>
      <c r="P69" s="1"/>
      <c r="Q69" s="1"/>
    </row>
    <row r="70" spans="1:17" ht="15.75" customHeight="1">
      <c r="A70" s="7"/>
      <c r="B70" s="89" t="s">
        <v>113</v>
      </c>
      <c r="C70" s="15"/>
      <c r="D70" s="15">
        <v>9</v>
      </c>
      <c r="E70" s="112" t="s">
        <v>116</v>
      </c>
      <c r="F70" s="65">
        <v>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>
      <c r="A71" s="66" t="s">
        <v>94</v>
      </c>
      <c r="B71" s="89" t="s">
        <v>115</v>
      </c>
      <c r="C71" s="4"/>
      <c r="D71" s="15">
        <v>7</v>
      </c>
      <c r="E71" s="1" t="s">
        <v>116</v>
      </c>
      <c r="F71" s="65">
        <v>7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>
      <c r="A72" s="7"/>
      <c r="B72" s="89" t="s">
        <v>117</v>
      </c>
      <c r="C72" s="4"/>
      <c r="D72" s="15">
        <v>5</v>
      </c>
      <c r="E72" s="1" t="s">
        <v>116</v>
      </c>
      <c r="F72" s="65">
        <v>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>
      <c r="A73" s="7"/>
      <c r="B73" s="89" t="s">
        <v>120</v>
      </c>
      <c r="C73" s="4"/>
      <c r="D73" s="15">
        <v>3</v>
      </c>
      <c r="E73" s="1" t="s">
        <v>116</v>
      </c>
      <c r="F73" s="65">
        <v>3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>
      <c r="A74" s="7"/>
      <c r="B74" s="89" t="s">
        <v>122</v>
      </c>
      <c r="C74" s="4"/>
      <c r="D74" s="15">
        <v>1</v>
      </c>
      <c r="E74" s="1" t="s">
        <v>116</v>
      </c>
      <c r="F74" s="65">
        <v>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>
      <c r="A75" s="7"/>
      <c r="B75" s="15"/>
      <c r="C75" s="15"/>
      <c r="D75" s="15"/>
      <c r="E75" s="1"/>
      <c r="F75" s="6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>
      <c r="A76" s="7"/>
      <c r="B76" s="89" t="s">
        <v>125</v>
      </c>
      <c r="C76" s="4"/>
      <c r="D76" s="15">
        <v>10</v>
      </c>
      <c r="E76" s="1" t="s">
        <v>116</v>
      </c>
      <c r="F76" s="65">
        <v>10</v>
      </c>
      <c r="G76" s="1"/>
      <c r="H76" s="24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>
      <c r="A77" s="66" t="s">
        <v>95</v>
      </c>
      <c r="B77" s="4" t="s">
        <v>128</v>
      </c>
      <c r="C77" s="4"/>
      <c r="D77" s="15">
        <v>8</v>
      </c>
      <c r="E77" s="112" t="s">
        <v>114</v>
      </c>
      <c r="F77" s="65">
        <v>8</v>
      </c>
      <c r="G77" s="1"/>
      <c r="H77" s="1"/>
      <c r="I77" s="1"/>
      <c r="J77" s="1"/>
      <c r="K77" s="24"/>
      <c r="L77" s="1"/>
      <c r="M77" s="24"/>
      <c r="N77" s="1"/>
      <c r="O77" s="1"/>
      <c r="P77" s="1"/>
      <c r="Q77" s="1"/>
    </row>
    <row r="78" spans="1:17" ht="15.75" customHeight="1">
      <c r="A78" s="7"/>
      <c r="B78" s="4" t="s">
        <v>130</v>
      </c>
      <c r="C78" s="4"/>
      <c r="D78" s="15">
        <v>6</v>
      </c>
      <c r="E78" s="1" t="s">
        <v>114</v>
      </c>
      <c r="F78" s="65">
        <v>6</v>
      </c>
      <c r="G78" s="1"/>
      <c r="H78" s="1"/>
      <c r="I78" s="1"/>
      <c r="J78" s="1"/>
      <c r="K78" s="1"/>
      <c r="L78" s="24"/>
      <c r="M78" s="24"/>
      <c r="N78" s="1"/>
      <c r="O78" s="1"/>
      <c r="P78" s="1"/>
      <c r="Q78" s="1"/>
    </row>
    <row r="79" spans="1:17" ht="15.75" customHeight="1">
      <c r="A79" s="7"/>
      <c r="B79" s="4" t="s">
        <v>132</v>
      </c>
      <c r="C79" s="4"/>
      <c r="D79" s="15">
        <v>4</v>
      </c>
      <c r="E79" s="1" t="s">
        <v>114</v>
      </c>
      <c r="F79" s="65">
        <v>4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>
      <c r="A80" s="7"/>
      <c r="B80" s="4" t="s">
        <v>133</v>
      </c>
      <c r="C80" s="4"/>
      <c r="D80" s="15">
        <v>2</v>
      </c>
      <c r="E80" s="1" t="s">
        <v>114</v>
      </c>
      <c r="F80" s="65">
        <v>2</v>
      </c>
      <c r="G80" s="1"/>
      <c r="H80" s="1"/>
      <c r="I80" s="1"/>
      <c r="J80" s="1"/>
      <c r="K80" s="24"/>
      <c r="L80" s="1"/>
      <c r="M80" s="24"/>
      <c r="N80" s="1"/>
      <c r="O80" s="1"/>
      <c r="P80" s="1"/>
      <c r="Q80" s="1"/>
    </row>
    <row r="81" spans="1:17" ht="15.75" customHeight="1">
      <c r="A81" s="7"/>
      <c r="B81" s="15"/>
      <c r="C81" s="15"/>
      <c r="D81" s="1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>
      <c r="A82" s="7"/>
      <c r="B82" s="4" t="s">
        <v>134</v>
      </c>
      <c r="C82" s="4"/>
      <c r="D82" s="15">
        <v>8</v>
      </c>
      <c r="E82" s="1" t="s">
        <v>114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>
      <c r="A83" s="66" t="s">
        <v>96</v>
      </c>
      <c r="B83" s="4" t="s">
        <v>135</v>
      </c>
      <c r="C83" s="4"/>
      <c r="D83" s="15">
        <v>6</v>
      </c>
      <c r="E83" s="1" t="s">
        <v>114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>
      <c r="A84" s="7"/>
      <c r="B84" s="4" t="s">
        <v>136</v>
      </c>
      <c r="C84" s="4"/>
      <c r="D84" s="15">
        <v>2</v>
      </c>
      <c r="E84" s="1" t="s">
        <v>114</v>
      </c>
      <c r="F84" s="1"/>
      <c r="G84" s="1"/>
      <c r="H84" s="1"/>
      <c r="I84" s="1"/>
      <c r="J84" s="1"/>
      <c r="K84" s="1"/>
      <c r="L84" s="1"/>
      <c r="M84" s="1"/>
      <c r="N84" s="24"/>
      <c r="O84" s="24"/>
      <c r="P84" s="24"/>
      <c r="Q84" s="24"/>
    </row>
    <row r="85" spans="1:17" ht="15.75" customHeight="1">
      <c r="A85" s="7"/>
      <c r="B85" s="4" t="s">
        <v>137</v>
      </c>
      <c r="C85" s="4"/>
      <c r="D85" s="15">
        <v>3</v>
      </c>
      <c r="E85" s="1" t="s">
        <v>114</v>
      </c>
      <c r="F85" s="1"/>
      <c r="G85" s="1"/>
      <c r="H85" s="1"/>
      <c r="I85" s="1"/>
      <c r="J85" s="1"/>
      <c r="K85" s="1"/>
      <c r="L85" s="1"/>
      <c r="M85" s="1"/>
      <c r="N85" s="24"/>
      <c r="O85" s="24"/>
      <c r="P85" s="24"/>
      <c r="Q85" s="24"/>
    </row>
    <row r="86" spans="1:17" ht="15.75" customHeight="1">
      <c r="A86" s="7"/>
      <c r="B86" s="89" t="s">
        <v>138</v>
      </c>
      <c r="C86" s="4"/>
      <c r="D86" s="15">
        <v>1</v>
      </c>
      <c r="E86" s="1" t="s">
        <v>114</v>
      </c>
      <c r="F86" s="1"/>
      <c r="G86" s="1"/>
      <c r="H86" s="1"/>
      <c r="I86" s="1"/>
      <c r="J86" s="1"/>
      <c r="K86" s="1"/>
      <c r="L86" s="1"/>
      <c r="M86" s="1"/>
      <c r="N86" s="24"/>
      <c r="O86" s="24"/>
      <c r="P86" s="24"/>
      <c r="Q86" s="24"/>
    </row>
    <row r="87" spans="1:17" ht="15.75" customHeight="1">
      <c r="A87" s="1"/>
      <c r="B87" s="71"/>
      <c r="C87" s="71"/>
      <c r="D87" s="71"/>
      <c r="E87" s="1"/>
      <c r="F87" s="1"/>
      <c r="G87" s="1"/>
      <c r="H87" s="1"/>
      <c r="I87" s="1"/>
      <c r="J87" s="1"/>
      <c r="K87" s="1"/>
      <c r="L87" s="1"/>
      <c r="M87" s="1"/>
      <c r="N87" s="24"/>
      <c r="O87" s="24"/>
      <c r="P87" s="24"/>
      <c r="Q87" s="24"/>
    </row>
    <row r="88" spans="1:17" ht="15.75" customHeight="1">
      <c r="A88" s="72"/>
      <c r="B88" s="72"/>
      <c r="C88" s="51"/>
      <c r="D88" s="50"/>
      <c r="E88" s="1"/>
      <c r="F88" s="117" t="s">
        <v>139</v>
      </c>
      <c r="G88" s="118"/>
      <c r="H88" s="118"/>
      <c r="I88" s="118"/>
      <c r="J88" s="71"/>
      <c r="K88" s="71"/>
      <c r="L88" s="71"/>
      <c r="M88" s="71"/>
      <c r="N88" s="71"/>
      <c r="O88" s="24"/>
      <c r="P88" s="24"/>
      <c r="Q88" s="24"/>
    </row>
    <row r="89" spans="1:17" ht="15.75" customHeight="1">
      <c r="A89" s="4"/>
      <c r="B89" s="39" t="s">
        <v>140</v>
      </c>
      <c r="C89" s="40" t="s">
        <v>59</v>
      </c>
      <c r="D89" s="50"/>
      <c r="E89" s="4"/>
      <c r="F89" s="4"/>
      <c r="G89" s="1"/>
      <c r="H89" s="73"/>
      <c r="I89" s="74"/>
      <c r="J89" s="74"/>
      <c r="K89" s="74"/>
      <c r="L89" s="74"/>
      <c r="M89" s="74"/>
      <c r="N89" s="75"/>
      <c r="O89" s="24"/>
      <c r="P89" s="24"/>
      <c r="Q89" s="24"/>
    </row>
    <row r="90" spans="1:17" ht="15.75" customHeight="1" thickTop="1" thickBot="1">
      <c r="A90" s="76" t="s">
        <v>26</v>
      </c>
      <c r="B90" s="77" t="s">
        <v>60</v>
      </c>
      <c r="C90" s="77" t="s">
        <v>326</v>
      </c>
      <c r="D90" s="78">
        <v>11</v>
      </c>
      <c r="E90" s="37" t="s">
        <v>113</v>
      </c>
      <c r="F90" s="7"/>
      <c r="G90" s="7"/>
      <c r="H90" s="79" t="s">
        <v>142</v>
      </c>
      <c r="I90" s="79" t="s">
        <v>143</v>
      </c>
      <c r="J90" s="79" t="s">
        <v>144</v>
      </c>
      <c r="K90" s="79" t="s">
        <v>145</v>
      </c>
      <c r="L90" s="79" t="s">
        <v>146</v>
      </c>
      <c r="M90" s="79" t="s">
        <v>147</v>
      </c>
      <c r="N90" s="71"/>
      <c r="O90" s="1"/>
      <c r="P90" s="1"/>
      <c r="Q90" s="1"/>
    </row>
    <row r="91" spans="1:17" ht="15.75" customHeight="1" thickTop="1" thickBot="1">
      <c r="A91" s="20" t="s">
        <v>327</v>
      </c>
      <c r="B91" s="43">
        <v>35.700000000000003</v>
      </c>
      <c r="C91" s="43">
        <v>-74.599999999999994</v>
      </c>
      <c r="D91" s="78">
        <v>12</v>
      </c>
      <c r="E91" s="37" t="s">
        <v>115</v>
      </c>
      <c r="F91" s="7"/>
      <c r="G91" s="7"/>
      <c r="H91" s="21">
        <f>H36</f>
        <v>18438392.395833336</v>
      </c>
      <c r="I91" s="109">
        <f>E6*(1-I6)/D13*N50*20*1000/3600</f>
        <v>56396.611111111124</v>
      </c>
      <c r="J91" s="109">
        <f>(K60/D13*C108+K59/D13*C107+K58/D13*C106+K57/D13*C105+K56/D13*C104)*1000/3600*1000</f>
        <v>-6405415.2777777789</v>
      </c>
      <c r="K91" s="109">
        <f>(L56/D13*C109)*1000/3600*1000</f>
        <v>-5095406.2499999991</v>
      </c>
      <c r="L91" s="21">
        <v>0</v>
      </c>
      <c r="M91" s="21">
        <f>H91+I91+J91+K91</f>
        <v>6993967.4791666688</v>
      </c>
      <c r="N91" s="80"/>
      <c r="O91" s="1"/>
      <c r="P91" s="1"/>
      <c r="Q91" s="1"/>
    </row>
    <row r="92" spans="1:17" ht="15.75" customHeight="1" thickTop="1" thickBot="1">
      <c r="A92" s="20" t="s">
        <v>328</v>
      </c>
      <c r="B92" s="43">
        <v>52.49</v>
      </c>
      <c r="C92" s="43">
        <v>-84</v>
      </c>
      <c r="D92" s="78">
        <v>13</v>
      </c>
      <c r="E92" s="37" t="s">
        <v>117</v>
      </c>
      <c r="F92" s="7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thickTop="1" thickBot="1">
      <c r="A93" s="20" t="s">
        <v>329</v>
      </c>
      <c r="B93" s="43">
        <v>73.599999999999994</v>
      </c>
      <c r="C93" s="43">
        <f>-103.85</f>
        <v>-103.85</v>
      </c>
      <c r="D93" s="78">
        <v>14</v>
      </c>
      <c r="E93" s="37" t="s">
        <v>120</v>
      </c>
      <c r="F93" s="7"/>
      <c r="G93" s="1"/>
      <c r="H93" s="4"/>
      <c r="I93" s="4"/>
      <c r="J93" s="1"/>
      <c r="K93" s="1"/>
      <c r="L93" s="1"/>
      <c r="M93" s="1"/>
      <c r="N93" s="1"/>
      <c r="O93" s="1"/>
      <c r="P93" s="1"/>
      <c r="Q93" s="1"/>
    </row>
    <row r="94" spans="1:17" ht="15.75" customHeight="1" thickTop="1" thickBot="1">
      <c r="A94" s="20" t="s">
        <v>330</v>
      </c>
      <c r="B94" s="43">
        <v>98.49</v>
      </c>
      <c r="C94" s="43">
        <f>-125.77</f>
        <v>-125.77</v>
      </c>
      <c r="D94" s="78">
        <v>15</v>
      </c>
      <c r="E94" s="37" t="s">
        <v>122</v>
      </c>
      <c r="F94" s="7"/>
      <c r="G94" s="7"/>
      <c r="H94" s="82" t="s">
        <v>152</v>
      </c>
      <c r="I94" s="110">
        <f>M91/(G67/D13*1000/3600*B103)</f>
        <v>610.66163938644104</v>
      </c>
      <c r="J94" s="1" t="s">
        <v>153</v>
      </c>
      <c r="K94" s="1"/>
      <c r="L94" s="1"/>
      <c r="M94" s="1"/>
      <c r="N94" s="1"/>
      <c r="O94" s="1"/>
      <c r="P94" s="1"/>
      <c r="Q94" s="1"/>
    </row>
    <row r="95" spans="1:17" ht="15.75" customHeight="1" thickTop="1" thickBot="1">
      <c r="A95" s="20" t="s">
        <v>331</v>
      </c>
      <c r="B95" s="43">
        <v>120.04</v>
      </c>
      <c r="C95" s="43">
        <f>-146.36</f>
        <v>-146.36000000000001</v>
      </c>
      <c r="D95" s="7"/>
      <c r="E95" s="1"/>
      <c r="F95" s="7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thickTop="1" thickBot="1">
      <c r="A96" s="20" t="s">
        <v>332</v>
      </c>
      <c r="B96" s="43">
        <v>29.38</v>
      </c>
      <c r="C96" s="43">
        <f>0</f>
        <v>0</v>
      </c>
      <c r="D96" s="78">
        <v>21</v>
      </c>
      <c r="E96" s="37" t="s">
        <v>125</v>
      </c>
      <c r="F96" s="7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thickTop="1" thickBot="1">
      <c r="A97" s="20" t="s">
        <v>333</v>
      </c>
      <c r="B97" s="43">
        <v>37.14</v>
      </c>
      <c r="C97" s="43">
        <f>-393.51</f>
        <v>-393.51</v>
      </c>
      <c r="D97" s="78">
        <v>22</v>
      </c>
      <c r="E97" s="1" t="s">
        <v>128</v>
      </c>
      <c r="F97" s="7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thickTop="1" thickBot="1">
      <c r="A98" s="20" t="s">
        <v>334</v>
      </c>
      <c r="B98" s="43">
        <v>33.6</v>
      </c>
      <c r="C98" s="43">
        <f>-241.83</f>
        <v>-241.83</v>
      </c>
      <c r="D98" s="78">
        <v>23</v>
      </c>
      <c r="E98" s="1" t="s">
        <v>130</v>
      </c>
      <c r="F98" s="7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thickTop="1" thickBot="1">
      <c r="A99" s="20" t="s">
        <v>108</v>
      </c>
      <c r="B99" s="43">
        <v>29.14</v>
      </c>
      <c r="C99" s="43">
        <v>-110.53</v>
      </c>
      <c r="D99" s="78">
        <v>24</v>
      </c>
      <c r="E99" s="1" t="s">
        <v>132</v>
      </c>
      <c r="F99" s="7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 thickTop="1" thickBot="1">
      <c r="A100" s="20" t="s">
        <v>335</v>
      </c>
      <c r="B100" s="43">
        <v>28.84</v>
      </c>
      <c r="C100" s="43">
        <v>0</v>
      </c>
      <c r="D100" s="78">
        <v>25</v>
      </c>
      <c r="E100" s="1" t="s">
        <v>133</v>
      </c>
      <c r="F100" s="7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.75" customHeight="1" thickTop="1" thickBot="1">
      <c r="A101" s="84" t="s">
        <v>336</v>
      </c>
      <c r="B101" s="43">
        <v>29.12</v>
      </c>
      <c r="C101" s="43">
        <v>0</v>
      </c>
      <c r="D101" s="7"/>
      <c r="E101" s="1"/>
      <c r="F101" s="7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.75" customHeight="1" thickTop="1" thickBot="1">
      <c r="A102" s="85" t="s">
        <v>337</v>
      </c>
      <c r="B102" s="104">
        <f>B91*E56+B92*E57+B93*E58+B94*E59+B95*E60+B96*E61+B97*E62+B98*E63+B99*E64+B100*E65+B101*E66</f>
        <v>33.229558302396214</v>
      </c>
      <c r="C102" s="75"/>
      <c r="D102" s="78">
        <v>31</v>
      </c>
      <c r="E102" s="1" t="s">
        <v>134</v>
      </c>
      <c r="F102" s="7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.75" customHeight="1" thickTop="1" thickBot="1">
      <c r="A103" s="85" t="s">
        <v>338</v>
      </c>
      <c r="B103" s="105">
        <f>B91*H56+B92*H57+B93*H58+B94*H59+B95*H60+B96*H61+B97*H62+B98*H63+B99*H64+B100*H65+B101*H66</f>
        <v>29.468363609291245</v>
      </c>
      <c r="C103" s="86"/>
      <c r="D103" s="78">
        <v>32</v>
      </c>
      <c r="E103" s="1" t="s">
        <v>135</v>
      </c>
      <c r="F103" s="7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.75" customHeight="1" thickTop="1" thickBot="1">
      <c r="A104" s="7"/>
      <c r="B104" s="53" t="s">
        <v>162</v>
      </c>
      <c r="C104" s="46">
        <f>C99+C100*3-C91-C98</f>
        <v>205.9</v>
      </c>
      <c r="D104" s="78">
        <v>33</v>
      </c>
      <c r="E104" s="1" t="s">
        <v>136</v>
      </c>
      <c r="F104" s="7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.75" customHeight="1" thickTop="1" thickBot="1">
      <c r="A105" s="7"/>
      <c r="B105" s="53" t="s">
        <v>163</v>
      </c>
      <c r="C105" s="47">
        <f>C99*2+C100*5-C92-2*C98</f>
        <v>346.6</v>
      </c>
      <c r="D105" s="78">
        <v>34</v>
      </c>
      <c r="E105" s="1" t="s">
        <v>137</v>
      </c>
      <c r="F105" s="7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.75" customHeight="1" thickTop="1" thickBot="1">
      <c r="A106" s="7"/>
      <c r="B106" s="53" t="s">
        <v>164</v>
      </c>
      <c r="C106" s="47">
        <f>3*C99+7*C100-C93-3*C98</f>
        <v>497.75</v>
      </c>
      <c r="D106" s="78">
        <v>35</v>
      </c>
      <c r="E106" s="89" t="s">
        <v>138</v>
      </c>
      <c r="F106" s="15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.75" customHeight="1" thickTop="1" thickBot="1">
      <c r="A107" s="7"/>
      <c r="B107" s="53" t="s">
        <v>165</v>
      </c>
      <c r="C107" s="47">
        <f>4*C99+9*C100-C94-4*C98</f>
        <v>650.97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.75" customHeight="1" thickTop="1" thickBot="1">
      <c r="A108" s="7"/>
      <c r="B108" s="53" t="s">
        <v>166</v>
      </c>
      <c r="C108" s="47">
        <f>5*C99-C95-C98*5</f>
        <v>802.86000000000013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.75" customHeight="1" thickTop="1" thickBot="1">
      <c r="A109" s="7"/>
      <c r="B109" s="53" t="s">
        <v>167</v>
      </c>
      <c r="C109" s="111">
        <f>2*C99-C91-C97</f>
        <v>247.04999999999998</v>
      </c>
      <c r="D109" s="1" t="s">
        <v>79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.75" customHeight="1" thickTop="1" thickBot="1">
      <c r="A110" s="7"/>
      <c r="B110" s="53" t="s">
        <v>168</v>
      </c>
      <c r="C110" s="47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.75" customHeight="1">
      <c r="A111" s="7"/>
      <c r="B111" s="53" t="s">
        <v>169</v>
      </c>
      <c r="C111" s="47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.75" customHeight="1">
      <c r="A112" s="7"/>
      <c r="B112" s="53" t="s">
        <v>170</v>
      </c>
      <c r="C112" s="4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.75" customHeight="1">
      <c r="A113" s="7"/>
      <c r="B113" s="53" t="s">
        <v>171</v>
      </c>
      <c r="C113" s="4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.75" customHeight="1">
      <c r="A114" s="7"/>
      <c r="B114" s="53" t="s">
        <v>172</v>
      </c>
      <c r="C114" s="47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.75" customHeight="1">
      <c r="A115" s="7"/>
      <c r="B115" s="53" t="s">
        <v>173</v>
      </c>
      <c r="C115" s="47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.75" customHeight="1">
      <c r="A116" s="7"/>
      <c r="B116" s="53" t="s">
        <v>174</v>
      </c>
      <c r="C116" s="47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.75" customHeight="1">
      <c r="A117" s="7"/>
      <c r="B117" s="53" t="s">
        <v>175</v>
      </c>
      <c r="C117" s="47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.75" customHeight="1">
      <c r="A118" s="7"/>
      <c r="B118" s="53" t="s">
        <v>176</v>
      </c>
      <c r="C118" s="47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.75" customHeight="1"/>
    <row r="138" spans="1:17" ht="15.75" customHeight="1"/>
    <row r="139" spans="1:17" ht="15.75" customHeight="1"/>
    <row r="140" spans="1:17" ht="15.75" customHeight="1"/>
    <row r="141" spans="1:17" ht="15.75" customHeight="1"/>
    <row r="142" spans="1:17" ht="15.75" customHeight="1"/>
    <row r="143" spans="1:17" ht="15.75" customHeight="1"/>
    <row r="144" spans="1:17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6:E16"/>
    <mergeCell ref="F16:H16"/>
    <mergeCell ref="F88:I88"/>
    <mergeCell ref="D53:I53"/>
    <mergeCell ref="M7:O7"/>
    <mergeCell ref="M9:O9"/>
    <mergeCell ref="M11:O11"/>
    <mergeCell ref="M13:O13"/>
    <mergeCell ref="M15:O15"/>
  </mergeCells>
  <pageMargins left="0.78749999999999998" right="0.78749999999999998" top="1.05277777777778" bottom="1.05277777777778" header="0" footer="0"/>
  <pageSetup paperSize="9" orientation="portrait"/>
  <headerFooter>
    <oddHeader>&amp;Cffffff&amp;A</oddHeader>
    <oddFooter>&amp;CffffffСтраница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00"/>
  <sheetViews>
    <sheetView topLeftCell="A84" workbookViewId="0">
      <selection activeCell="I106" sqref="I106"/>
    </sheetView>
  </sheetViews>
  <sheetFormatPr defaultColWidth="12.5703125" defaultRowHeight="15" customHeight="1"/>
  <cols>
    <col min="1" max="19" width="12.5703125" customWidth="1"/>
    <col min="20" max="26" width="11.42578125" customWidth="1"/>
  </cols>
  <sheetData>
    <row r="1" spans="1:17" ht="15.75" customHeight="1">
      <c r="A1" s="1" t="s">
        <v>0</v>
      </c>
    </row>
    <row r="2" spans="1:17" ht="15.75" customHeight="1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.75" customHeight="1">
      <c r="A4" s="3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.75" customHeight="1">
      <c r="A5" s="1"/>
      <c r="B5" s="1"/>
      <c r="C5" s="4"/>
      <c r="D5" s="5" t="s">
        <v>4</v>
      </c>
      <c r="E5" s="6"/>
      <c r="F5" s="1"/>
      <c r="G5" s="4"/>
      <c r="H5" s="4"/>
      <c r="I5" s="6"/>
      <c r="J5" s="1"/>
      <c r="K5" s="1"/>
      <c r="L5" s="1"/>
      <c r="M5" s="1"/>
      <c r="N5" s="1"/>
      <c r="O5" s="1"/>
      <c r="P5" s="1"/>
      <c r="Q5" s="1"/>
    </row>
    <row r="6" spans="1:17" ht="15.75" customHeight="1">
      <c r="A6" s="1"/>
      <c r="B6" s="7"/>
      <c r="C6" s="8" t="s">
        <v>5</v>
      </c>
      <c r="D6" s="9"/>
      <c r="E6" s="10">
        <v>7000</v>
      </c>
      <c r="F6" s="7" t="s">
        <v>6</v>
      </c>
      <c r="G6" s="8" t="s">
        <v>7</v>
      </c>
      <c r="H6" s="9"/>
      <c r="I6" s="10">
        <v>0.3</v>
      </c>
      <c r="J6" s="1"/>
      <c r="K6" s="1"/>
      <c r="L6" s="1"/>
      <c r="M6" s="1"/>
      <c r="N6" s="1"/>
      <c r="O6" s="1"/>
      <c r="P6" s="1"/>
      <c r="Q6" s="1"/>
    </row>
    <row r="7" spans="1:17" ht="15.75" customHeight="1">
      <c r="A7" s="1"/>
      <c r="B7" s="7"/>
      <c r="C7" s="11" t="s">
        <v>8</v>
      </c>
      <c r="D7" s="12" t="s">
        <v>339</v>
      </c>
      <c r="E7" s="10">
        <v>0.8</v>
      </c>
      <c r="F7" s="7"/>
      <c r="G7" s="8" t="s">
        <v>10</v>
      </c>
      <c r="H7" s="9"/>
      <c r="I7" s="13">
        <v>1.4</v>
      </c>
      <c r="J7" s="1"/>
      <c r="K7" s="1"/>
      <c r="L7" s="1"/>
      <c r="M7" s="120"/>
      <c r="N7" s="118"/>
      <c r="O7" s="118"/>
      <c r="P7" s="1"/>
      <c r="Q7" s="1"/>
    </row>
    <row r="8" spans="1:17" ht="15.75" customHeight="1">
      <c r="A8" s="1"/>
      <c r="B8" s="1"/>
      <c r="C8" s="7"/>
      <c r="D8" s="12" t="s">
        <v>340</v>
      </c>
      <c r="E8" s="10">
        <v>0.03</v>
      </c>
      <c r="F8" s="1"/>
      <c r="G8" s="14" t="s">
        <v>12</v>
      </c>
      <c r="H8" s="4"/>
      <c r="I8" s="4"/>
      <c r="J8" s="1"/>
      <c r="K8" s="1"/>
      <c r="L8" s="1"/>
      <c r="M8" s="1"/>
      <c r="N8" s="1"/>
      <c r="O8" s="1"/>
      <c r="P8" s="1"/>
      <c r="Q8" s="1"/>
    </row>
    <row r="9" spans="1:17" ht="15.75" customHeight="1">
      <c r="A9" s="1"/>
      <c r="B9" s="1"/>
      <c r="C9" s="7"/>
      <c r="D9" s="12" t="s">
        <v>341</v>
      </c>
      <c r="E9" s="10">
        <v>0.04</v>
      </c>
      <c r="F9" s="7"/>
      <c r="G9" s="4" t="s">
        <v>14</v>
      </c>
      <c r="H9" s="15"/>
      <c r="I9" s="15">
        <v>5</v>
      </c>
      <c r="J9" s="1"/>
      <c r="K9" s="1"/>
      <c r="L9" s="1"/>
      <c r="M9" s="120"/>
      <c r="N9" s="118"/>
      <c r="O9" s="118"/>
      <c r="P9" s="1"/>
      <c r="Q9" s="1"/>
    </row>
    <row r="10" spans="1:17" ht="15.75" customHeight="1">
      <c r="A10" s="1"/>
      <c r="B10" s="1"/>
      <c r="C10" s="7"/>
      <c r="D10" s="12" t="s">
        <v>342</v>
      </c>
      <c r="E10" s="10">
        <v>0.05</v>
      </c>
      <c r="F10" s="7"/>
      <c r="G10" s="4" t="s">
        <v>16</v>
      </c>
      <c r="H10" s="15"/>
      <c r="I10" s="15">
        <v>4</v>
      </c>
      <c r="J10" s="1"/>
      <c r="K10" s="1"/>
      <c r="L10" s="1"/>
      <c r="M10" s="1"/>
      <c r="N10" s="1"/>
      <c r="O10" s="1"/>
      <c r="P10" s="1"/>
      <c r="Q10" s="1"/>
    </row>
    <row r="11" spans="1:17" ht="15.75" customHeight="1">
      <c r="A11" s="1"/>
      <c r="B11" s="1"/>
      <c r="C11" s="7"/>
      <c r="D11" s="12" t="s">
        <v>343</v>
      </c>
      <c r="E11" s="10">
        <v>3.0000000000000001E-3</v>
      </c>
      <c r="F11" s="7"/>
      <c r="G11" s="4" t="s">
        <v>18</v>
      </c>
      <c r="H11" s="15"/>
      <c r="I11" s="15">
        <v>3</v>
      </c>
      <c r="J11" s="1"/>
      <c r="K11" s="1"/>
      <c r="L11" s="1"/>
      <c r="M11" s="120"/>
      <c r="N11" s="118"/>
      <c r="O11" s="118"/>
      <c r="P11" s="1"/>
      <c r="Q11" s="1"/>
    </row>
    <row r="12" spans="1:17" ht="15.75" customHeight="1">
      <c r="A12" s="1"/>
      <c r="B12" s="1"/>
      <c r="C12" s="7"/>
      <c r="D12" s="12" t="s">
        <v>19</v>
      </c>
      <c r="E12" s="6">
        <f>1-(E7+E8+E9+E10+E11)</f>
        <v>7.6999999999999846E-2</v>
      </c>
      <c r="F12" s="7"/>
      <c r="G12" s="4" t="s">
        <v>20</v>
      </c>
      <c r="H12" s="15"/>
      <c r="I12" s="15">
        <v>2</v>
      </c>
      <c r="J12" s="1"/>
      <c r="K12" s="1"/>
      <c r="L12" s="1"/>
      <c r="M12" s="1"/>
      <c r="N12" s="1"/>
      <c r="O12" s="1"/>
      <c r="P12" s="1"/>
      <c r="Q12" s="1"/>
    </row>
    <row r="13" spans="1:17" ht="15.75" customHeight="1">
      <c r="A13" s="1"/>
      <c r="B13" s="1"/>
      <c r="C13" s="1"/>
      <c r="D13" s="16">
        <v>22.4</v>
      </c>
      <c r="E13" s="1"/>
      <c r="F13" s="7"/>
      <c r="G13" s="4" t="s">
        <v>21</v>
      </c>
      <c r="H13" s="15"/>
      <c r="I13" s="15">
        <v>1</v>
      </c>
      <c r="J13" s="1"/>
      <c r="K13" s="1"/>
      <c r="L13" s="1"/>
      <c r="M13" s="120"/>
      <c r="N13" s="118"/>
      <c r="O13" s="118"/>
      <c r="P13" s="1"/>
      <c r="Q13" s="1"/>
    </row>
    <row r="14" spans="1:17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.75" customHeight="1">
      <c r="A15" s="4"/>
      <c r="B15" s="4"/>
      <c r="C15" s="4"/>
      <c r="D15" s="4"/>
      <c r="E15" s="5" t="s">
        <v>22</v>
      </c>
      <c r="F15" s="4"/>
      <c r="G15" s="4"/>
      <c r="H15" s="4"/>
      <c r="I15" s="4"/>
      <c r="J15" s="4"/>
      <c r="K15" s="1"/>
      <c r="L15" s="1"/>
      <c r="M15" s="120"/>
      <c r="N15" s="118"/>
      <c r="O15" s="118"/>
      <c r="P15" s="1"/>
      <c r="Q15" s="1"/>
    </row>
    <row r="16" spans="1:17" ht="15.75" customHeight="1">
      <c r="A16" s="17"/>
      <c r="B16" s="15"/>
      <c r="C16" s="114" t="s">
        <v>23</v>
      </c>
      <c r="D16" s="115"/>
      <c r="E16" s="116"/>
      <c r="F16" s="114" t="s">
        <v>24</v>
      </c>
      <c r="G16" s="115"/>
      <c r="H16" s="116"/>
      <c r="I16" s="8" t="s">
        <v>25</v>
      </c>
      <c r="J16" s="15"/>
      <c r="K16" s="1"/>
      <c r="L16" s="1"/>
      <c r="M16" s="1"/>
      <c r="N16" s="1"/>
      <c r="O16" s="1">
        <f>O23/2</f>
        <v>-14.699999999999818</v>
      </c>
      <c r="P16" s="1"/>
      <c r="Q16" s="1"/>
    </row>
    <row r="17" spans="1:19" ht="15.75" customHeight="1">
      <c r="A17" s="18" t="s">
        <v>26</v>
      </c>
      <c r="B17" s="19" t="s">
        <v>27</v>
      </c>
      <c r="C17" s="19" t="s">
        <v>28</v>
      </c>
      <c r="D17" s="19" t="s">
        <v>29</v>
      </c>
      <c r="E17" s="19" t="s">
        <v>30</v>
      </c>
      <c r="F17" s="19" t="s">
        <v>31</v>
      </c>
      <c r="G17" s="19" t="s">
        <v>32</v>
      </c>
      <c r="H17" s="19" t="s">
        <v>33</v>
      </c>
      <c r="I17" s="19" t="s">
        <v>34</v>
      </c>
      <c r="J17" s="19" t="s">
        <v>35</v>
      </c>
      <c r="K17" s="1"/>
      <c r="L17" s="1"/>
      <c r="M17" s="1" t="s">
        <v>35</v>
      </c>
      <c r="N17" s="1" t="s">
        <v>34</v>
      </c>
      <c r="O17" s="1" t="s">
        <v>32</v>
      </c>
      <c r="P17" s="1"/>
      <c r="Q17" s="1"/>
    </row>
    <row r="18" spans="1:19" ht="15.75" customHeight="1">
      <c r="A18" s="20" t="s">
        <v>344</v>
      </c>
      <c r="B18" s="15">
        <v>16</v>
      </c>
      <c r="C18" s="21">
        <f>D18/D13*B18</f>
        <v>1200</v>
      </c>
      <c r="D18" s="21">
        <f>F29*E7</f>
        <v>1680</v>
      </c>
      <c r="E18" s="22">
        <f>D18/D27</f>
        <v>6.8571428571428575E-2</v>
      </c>
      <c r="F18" s="21">
        <f t="shared" ref="F18:F26" si="0">C18+I18</f>
        <v>10.499999999999773</v>
      </c>
      <c r="G18" s="22">
        <f>-O16</f>
        <v>14.699999999999818</v>
      </c>
      <c r="H18" s="22">
        <f>G18/G27</f>
        <v>5.9308630817893522E-4</v>
      </c>
      <c r="I18" s="21">
        <f>J18/D13*B18</f>
        <v>-1189.5000000000002</v>
      </c>
      <c r="J18" s="21">
        <f>G18-D18</f>
        <v>-1665.3000000000002</v>
      </c>
      <c r="K18" s="1"/>
      <c r="L18" s="1" t="s">
        <v>37</v>
      </c>
      <c r="M18" s="23">
        <f t="shared" ref="M18:M22" si="1">-D18</f>
        <v>-1680</v>
      </c>
      <c r="N18" s="1">
        <f>M18/22.4*B18</f>
        <v>-1200</v>
      </c>
      <c r="O18" s="24">
        <f>M18+D18</f>
        <v>0</v>
      </c>
      <c r="Q18" s="24"/>
      <c r="R18" s="24"/>
    </row>
    <row r="19" spans="1:19" ht="15.75" customHeight="1">
      <c r="A19" s="20" t="s">
        <v>345</v>
      </c>
      <c r="B19" s="15">
        <v>30</v>
      </c>
      <c r="C19" s="21">
        <f>D19/D13*B19</f>
        <v>84.375</v>
      </c>
      <c r="D19" s="21">
        <f>F29*E8</f>
        <v>63</v>
      </c>
      <c r="E19" s="22">
        <f>D19/D27</f>
        <v>2.5714285714285713E-3</v>
      </c>
      <c r="F19" s="21">
        <f t="shared" si="0"/>
        <v>0</v>
      </c>
      <c r="G19" s="21">
        <f>D19+(J19)</f>
        <v>0</v>
      </c>
      <c r="H19" s="22">
        <f>G19/G27</f>
        <v>0</v>
      </c>
      <c r="I19" s="21">
        <f>J19/D13*B19</f>
        <v>-84.375</v>
      </c>
      <c r="J19" s="21">
        <f t="shared" ref="J19:J22" si="2">-D19</f>
        <v>-63</v>
      </c>
      <c r="K19" s="1"/>
      <c r="L19" s="1" t="s">
        <v>39</v>
      </c>
      <c r="M19" s="23">
        <f t="shared" si="1"/>
        <v>-63</v>
      </c>
      <c r="N19" s="1">
        <f>M19/D13*B19</f>
        <v>-84.375</v>
      </c>
      <c r="O19" s="24">
        <f>J19+D19</f>
        <v>0</v>
      </c>
      <c r="Q19" s="24"/>
      <c r="R19" s="24"/>
    </row>
    <row r="20" spans="1:19" ht="15.75" customHeight="1">
      <c r="A20" s="20" t="s">
        <v>346</v>
      </c>
      <c r="B20" s="15">
        <v>44</v>
      </c>
      <c r="C20" s="21">
        <f>D20/D13*B20</f>
        <v>165.00000000000003</v>
      </c>
      <c r="D20" s="21">
        <f>F29*E9</f>
        <v>84</v>
      </c>
      <c r="E20" s="22">
        <f>D20/D27</f>
        <v>3.4285714285714284E-3</v>
      </c>
      <c r="F20" s="21">
        <f t="shared" si="0"/>
        <v>0</v>
      </c>
      <c r="G20" s="21">
        <f t="shared" ref="G20:G26" si="3">D20+J20</f>
        <v>0</v>
      </c>
      <c r="H20" s="22">
        <f>G20/G27</f>
        <v>0</v>
      </c>
      <c r="I20" s="21">
        <f>J20/D13*B20</f>
        <v>-165.00000000000003</v>
      </c>
      <c r="J20" s="21">
        <f t="shared" si="2"/>
        <v>-84</v>
      </c>
      <c r="K20" s="1"/>
      <c r="L20" s="1" t="s">
        <v>41</v>
      </c>
      <c r="M20" s="23">
        <f t="shared" si="1"/>
        <v>-84</v>
      </c>
      <c r="N20" s="1">
        <f>M20/D13*B20</f>
        <v>-165.00000000000003</v>
      </c>
      <c r="O20" s="23">
        <f t="shared" ref="O20:O26" si="4">M20+D20</f>
        <v>0</v>
      </c>
      <c r="Q20" s="24"/>
      <c r="R20" s="24"/>
      <c r="S20" s="24"/>
    </row>
    <row r="21" spans="1:19" ht="15.75" customHeight="1">
      <c r="A21" s="20" t="s">
        <v>347</v>
      </c>
      <c r="B21" s="15">
        <v>58</v>
      </c>
      <c r="C21" s="21">
        <f>D21/D13*B21</f>
        <v>271.875</v>
      </c>
      <c r="D21" s="21">
        <f>F29*E10</f>
        <v>105</v>
      </c>
      <c r="E21" s="22">
        <f>D21/D27</f>
        <v>4.2857142857142859E-3</v>
      </c>
      <c r="F21" s="21">
        <f t="shared" si="0"/>
        <v>0</v>
      </c>
      <c r="G21" s="21">
        <f t="shared" si="3"/>
        <v>0</v>
      </c>
      <c r="H21" s="22">
        <f>G21/G27</f>
        <v>0</v>
      </c>
      <c r="I21" s="21">
        <f>J21/D13*B21</f>
        <v>-271.875</v>
      </c>
      <c r="J21" s="21">
        <f t="shared" si="2"/>
        <v>-105</v>
      </c>
      <c r="K21" s="1"/>
      <c r="L21" s="4" t="s">
        <v>43</v>
      </c>
      <c r="M21" s="23">
        <f t="shared" si="1"/>
        <v>-105</v>
      </c>
      <c r="N21" s="1">
        <f>M21/D13*B21</f>
        <v>-271.875</v>
      </c>
      <c r="O21" s="23">
        <f t="shared" si="4"/>
        <v>0</v>
      </c>
      <c r="Q21" s="24"/>
      <c r="R21" s="24"/>
    </row>
    <row r="22" spans="1:19" ht="15.75" customHeight="1">
      <c r="A22" s="20" t="s">
        <v>348</v>
      </c>
      <c r="B22" s="15">
        <v>72</v>
      </c>
      <c r="C22" s="21">
        <f>D22/D13*B22</f>
        <v>20.25</v>
      </c>
      <c r="D22" s="21">
        <f>F29*E11</f>
        <v>6.3</v>
      </c>
      <c r="E22" s="22">
        <f>D22/D27</f>
        <v>2.5714285714285715E-4</v>
      </c>
      <c r="F22" s="21">
        <f t="shared" si="0"/>
        <v>0</v>
      </c>
      <c r="G22" s="25">
        <f t="shared" si="3"/>
        <v>0</v>
      </c>
      <c r="H22" s="22">
        <f>G22/G27</f>
        <v>0</v>
      </c>
      <c r="I22" s="21">
        <f>J22/D13*B22</f>
        <v>-20.25</v>
      </c>
      <c r="J22" s="21">
        <f t="shared" si="2"/>
        <v>-6.3</v>
      </c>
      <c r="K22" s="7"/>
      <c r="L22" s="26" t="s">
        <v>45</v>
      </c>
      <c r="M22" s="23">
        <f t="shared" si="1"/>
        <v>-6.3</v>
      </c>
      <c r="N22" s="1">
        <f>M22/D13*B22</f>
        <v>-20.25</v>
      </c>
      <c r="O22" s="23">
        <f t="shared" si="4"/>
        <v>0</v>
      </c>
      <c r="R22" s="24"/>
      <c r="S22" s="1"/>
    </row>
    <row r="23" spans="1:19" ht="15.75" customHeight="1">
      <c r="A23" s="20" t="s">
        <v>349</v>
      </c>
      <c r="B23" s="15">
        <v>32</v>
      </c>
      <c r="C23" s="21">
        <f>D23/D13*B23</f>
        <v>6720</v>
      </c>
      <c r="D23" s="21">
        <f>F29*E7*I7*2</f>
        <v>4704</v>
      </c>
      <c r="E23" s="22">
        <f>D23/D27</f>
        <v>0.192</v>
      </c>
      <c r="F23" s="27">
        <f t="shared" si="0"/>
        <v>0</v>
      </c>
      <c r="G23" s="28">
        <f t="shared" si="3"/>
        <v>0</v>
      </c>
      <c r="H23" s="22">
        <f>G23/G27</f>
        <v>0</v>
      </c>
      <c r="I23" s="21">
        <f>J23/D13*B23</f>
        <v>-6720</v>
      </c>
      <c r="J23" s="21">
        <f>J22*8+J21*6.5+J20*5+J19*3.5+J18*2</f>
        <v>-4704</v>
      </c>
      <c r="K23" s="7"/>
      <c r="L23" s="29" t="s">
        <v>350</v>
      </c>
      <c r="M23" s="1">
        <f>(M22*8+M21*6.5+M20*5+M19*3.5+M18*2)</f>
        <v>-4733.3999999999996</v>
      </c>
      <c r="N23" s="1">
        <f>M23/D13*B23</f>
        <v>-6762</v>
      </c>
      <c r="O23" s="30">
        <f t="shared" si="4"/>
        <v>-29.399999999999636</v>
      </c>
      <c r="Q23" s="24"/>
      <c r="R23" s="24"/>
      <c r="S23" s="1"/>
    </row>
    <row r="24" spans="1:19" ht="15.75" customHeight="1">
      <c r="A24" s="20" t="s">
        <v>351</v>
      </c>
      <c r="B24" s="15">
        <v>44</v>
      </c>
      <c r="C24" s="21">
        <f>D24/D13*B24</f>
        <v>0</v>
      </c>
      <c r="D24" s="21">
        <v>0</v>
      </c>
      <c r="E24" s="22">
        <f>D24/D27</f>
        <v>0</v>
      </c>
      <c r="F24" s="21">
        <f t="shared" si="0"/>
        <v>4900.5000000000009</v>
      </c>
      <c r="G24" s="21">
        <f t="shared" si="3"/>
        <v>2494.8000000000002</v>
      </c>
      <c r="H24" s="22">
        <f>G24/G27</f>
        <v>0.10065521915951198</v>
      </c>
      <c r="I24" s="21">
        <f>J24/D13*B24</f>
        <v>4900.5000000000009</v>
      </c>
      <c r="J24" s="21">
        <f>-J22*5+(-J21*4)+(-J20*3)+(-J19*2)+(-J18*1)</f>
        <v>2494.8000000000002</v>
      </c>
      <c r="K24" s="7"/>
      <c r="L24" s="31" t="s">
        <v>352</v>
      </c>
      <c r="M24" s="23">
        <f>-(M22*8+M21*4+M20*3+M19*2+M18)</f>
        <v>2528.4</v>
      </c>
      <c r="N24" s="1">
        <f>M24/D13*B24</f>
        <v>4966.5000000000009</v>
      </c>
      <c r="O24" s="23">
        <f t="shared" si="4"/>
        <v>2528.4</v>
      </c>
      <c r="Q24" s="24"/>
      <c r="R24" s="24"/>
      <c r="S24" s="1"/>
    </row>
    <row r="25" spans="1:19" ht="15.75" customHeight="1">
      <c r="A25" s="20" t="s">
        <v>353</v>
      </c>
      <c r="B25" s="15">
        <v>18</v>
      </c>
      <c r="C25" s="21">
        <f>D25/D13*B25</f>
        <v>0</v>
      </c>
      <c r="D25" s="21">
        <v>0</v>
      </c>
      <c r="E25" s="22">
        <f>D25/D27</f>
        <v>0</v>
      </c>
      <c r="F25" s="21">
        <f t="shared" si="0"/>
        <v>3550.5000000000005</v>
      </c>
      <c r="G25" s="21">
        <f t="shared" si="3"/>
        <v>4418.4000000000005</v>
      </c>
      <c r="H25" s="22">
        <f>G25/G27</f>
        <v>0.17826479891549932</v>
      </c>
      <c r="I25" s="21">
        <f>J25/D13*B25</f>
        <v>3550.5000000000005</v>
      </c>
      <c r="J25" s="21">
        <f>-J22*6+(-J21*5)+(-J20*4)+(-J19*3)+(-J18*2)</f>
        <v>4418.4000000000005</v>
      </c>
      <c r="K25" s="7"/>
      <c r="L25" s="31" t="s">
        <v>354</v>
      </c>
      <c r="M25" s="1">
        <f>-(M22*6+M21*5+M20*4+M19*3+M18*2)</f>
        <v>4447.8</v>
      </c>
      <c r="N25" s="1">
        <f>M25/D13*B25</f>
        <v>3574.1250000000005</v>
      </c>
      <c r="O25" s="23">
        <f t="shared" si="4"/>
        <v>4447.8</v>
      </c>
      <c r="Q25" s="24"/>
      <c r="R25" s="24"/>
      <c r="S25" s="1"/>
    </row>
    <row r="26" spans="1:19" ht="15.75" customHeight="1">
      <c r="A26" s="20" t="s">
        <v>355</v>
      </c>
      <c r="B26" s="15">
        <v>28</v>
      </c>
      <c r="C26" s="25">
        <f>D26/D13*B26</f>
        <v>22322.125000000004</v>
      </c>
      <c r="D26" s="21">
        <f>D23*79/21+F29*(1-E7-E8-E9-E10-E11)</f>
        <v>17857.7</v>
      </c>
      <c r="E26" s="32">
        <f>D26/D27</f>
        <v>0.72888571428571436</v>
      </c>
      <c r="F26" s="25">
        <f t="shared" si="0"/>
        <v>22322.125000000004</v>
      </c>
      <c r="G26" s="21">
        <f t="shared" si="3"/>
        <v>17857.7</v>
      </c>
      <c r="H26" s="32">
        <f>G26/G27</f>
        <v>0.72048689561680967</v>
      </c>
      <c r="I26" s="25">
        <f>J26/D13*B26</f>
        <v>0</v>
      </c>
      <c r="J26" s="21">
        <v>0</v>
      </c>
      <c r="K26" s="1"/>
      <c r="L26" s="31" t="s">
        <v>356</v>
      </c>
      <c r="M26" s="1">
        <v>0</v>
      </c>
      <c r="N26" s="1">
        <f>M26/D13*B26</f>
        <v>0</v>
      </c>
      <c r="O26" s="24">
        <f t="shared" si="4"/>
        <v>17857.7</v>
      </c>
      <c r="P26" s="24"/>
      <c r="Q26" s="24"/>
    </row>
    <row r="27" spans="1:19" ht="15.75" customHeight="1">
      <c r="A27" s="33" t="s">
        <v>54</v>
      </c>
      <c r="B27" s="9"/>
      <c r="C27" s="28">
        <f t="shared" ref="C27:J27" si="5">SUM(C18:C26)</f>
        <v>30783.625000000004</v>
      </c>
      <c r="D27" s="27">
        <f t="shared" si="5"/>
        <v>24500</v>
      </c>
      <c r="E27" s="34">
        <f t="shared" si="5"/>
        <v>1</v>
      </c>
      <c r="F27" s="28">
        <f t="shared" si="5"/>
        <v>30783.625000000007</v>
      </c>
      <c r="G27" s="27">
        <f t="shared" si="5"/>
        <v>24785.600000000002</v>
      </c>
      <c r="H27" s="34">
        <f t="shared" si="5"/>
        <v>0.99999999999999989</v>
      </c>
      <c r="I27" s="28">
        <f t="shared" si="5"/>
        <v>1.3642420526593924E-12</v>
      </c>
      <c r="J27" s="21">
        <f t="shared" si="5"/>
        <v>285.60000000000036</v>
      </c>
      <c r="K27" s="1"/>
      <c r="L27" s="1"/>
      <c r="M27" s="35"/>
      <c r="N27" s="1">
        <f t="shared" ref="N27:O27" si="6">SUM(N18:N26)</f>
        <v>37.125000000001364</v>
      </c>
      <c r="O27" s="24">
        <f t="shared" si="6"/>
        <v>24804.5</v>
      </c>
      <c r="P27" s="24"/>
      <c r="Q27" s="24"/>
    </row>
    <row r="28" spans="1:19" ht="15.75" customHeight="1">
      <c r="A28" s="1"/>
      <c r="B28" s="1"/>
      <c r="C28" s="1"/>
      <c r="D28" s="1"/>
      <c r="E28" s="1"/>
      <c r="F28" s="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9" ht="15.75" customHeight="1">
      <c r="A29" s="71"/>
      <c r="B29" s="1"/>
      <c r="C29" s="37" t="s">
        <v>55</v>
      </c>
      <c r="D29" s="1"/>
      <c r="E29" s="7"/>
      <c r="F29" s="15">
        <f>E6*I6</f>
        <v>2100</v>
      </c>
      <c r="G29" s="1"/>
      <c r="H29" s="1" t="s">
        <v>56</v>
      </c>
      <c r="I29" s="1">
        <v>450</v>
      </c>
      <c r="J29" s="1" t="s">
        <v>57</v>
      </c>
      <c r="K29" s="1"/>
      <c r="L29" s="1"/>
      <c r="M29" s="1"/>
      <c r="N29" s="1"/>
      <c r="O29" s="1"/>
      <c r="P29" s="1"/>
      <c r="Q29" s="1"/>
    </row>
    <row r="30" spans="1:19" ht="15.75" customHeight="1">
      <c r="A30" s="38"/>
      <c r="B30" s="39" t="s">
        <v>58</v>
      </c>
      <c r="C30" s="40" t="s">
        <v>59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9" ht="15.75" customHeight="1">
      <c r="A31" s="41" t="s">
        <v>26</v>
      </c>
      <c r="B31" s="42" t="s">
        <v>60</v>
      </c>
      <c r="C31" s="42" t="s">
        <v>357</v>
      </c>
      <c r="D31" s="1"/>
      <c r="E31" s="1"/>
      <c r="F31" s="1"/>
      <c r="G31" s="1"/>
      <c r="H31" s="1"/>
      <c r="I31" s="1"/>
      <c r="J31" s="1"/>
      <c r="K31" s="1"/>
      <c r="L31" s="1" t="s">
        <v>304</v>
      </c>
      <c r="M31" s="1"/>
      <c r="N31" s="1"/>
      <c r="O31" s="1"/>
      <c r="P31" s="1"/>
      <c r="Q31" s="1"/>
    </row>
    <row r="32" spans="1:19" ht="15.75" customHeight="1">
      <c r="A32" s="20" t="s">
        <v>358</v>
      </c>
      <c r="B32" s="43">
        <v>35.700000000000003</v>
      </c>
      <c r="C32" s="43">
        <v>-74.599999999999994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>
      <c r="A33" s="20" t="s">
        <v>359</v>
      </c>
      <c r="B33" s="43">
        <v>52.49</v>
      </c>
      <c r="C33" s="43">
        <v>-84</v>
      </c>
      <c r="D33" s="1"/>
      <c r="E33" s="1"/>
      <c r="F33" s="3" t="s">
        <v>64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>
      <c r="A34" s="20" t="s">
        <v>360</v>
      </c>
      <c r="B34" s="43">
        <v>73.599999999999994</v>
      </c>
      <c r="C34" s="43">
        <f>-103.85</f>
        <v>-103.85</v>
      </c>
      <c r="D34" s="1"/>
      <c r="E34" s="1"/>
      <c r="F34" s="4"/>
      <c r="G34" s="4"/>
      <c r="H34" s="4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>
      <c r="A35" s="20" t="s">
        <v>361</v>
      </c>
      <c r="B35" s="43">
        <v>98.49</v>
      </c>
      <c r="C35" s="43">
        <f>-125.77</f>
        <v>-125.77</v>
      </c>
      <c r="D35" s="1"/>
      <c r="E35" s="7"/>
      <c r="F35" s="44" t="s">
        <v>67</v>
      </c>
      <c r="G35" s="44" t="s">
        <v>68</v>
      </c>
      <c r="H35" s="45" t="s">
        <v>69</v>
      </c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>
      <c r="A36" s="20" t="s">
        <v>362</v>
      </c>
      <c r="B36" s="43">
        <v>120.04</v>
      </c>
      <c r="C36" s="43">
        <f>-146.36</f>
        <v>-146.36000000000001</v>
      </c>
      <c r="D36" s="1"/>
      <c r="E36" s="7" t="s">
        <v>71</v>
      </c>
      <c r="F36" s="43">
        <f>I29*B42*D27/22.4*1000/3600</f>
        <v>4122671.4062500009</v>
      </c>
      <c r="G36" s="46">
        <f>(J22*C45/1+J21*C46/1+J20*C47/1+J19*C48/1+J18*C49/1)/22.4*(1000/3600)*1000</f>
        <v>23534917.187500007</v>
      </c>
      <c r="H36" s="47">
        <f>F36+G36</f>
        <v>27657588.593750007</v>
      </c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>
      <c r="A37" s="20" t="s">
        <v>363</v>
      </c>
      <c r="B37" s="43">
        <v>29.38</v>
      </c>
      <c r="C37" s="43">
        <f>0</f>
        <v>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>
      <c r="A38" s="20" t="s">
        <v>364</v>
      </c>
      <c r="B38" s="43">
        <v>37.14</v>
      </c>
      <c r="C38" s="43">
        <f>-393.51</f>
        <v>-393.51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>
      <c r="A39" s="20" t="s">
        <v>365</v>
      </c>
      <c r="B39" s="43">
        <v>33.6</v>
      </c>
      <c r="C39" s="43">
        <f>-241.83</f>
        <v>-241.83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>
      <c r="A40" s="20" t="s">
        <v>366</v>
      </c>
      <c r="B40" s="43">
        <v>29.12</v>
      </c>
      <c r="C40" s="43">
        <f>0</f>
        <v>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>
      <c r="A41" s="4"/>
      <c r="B41" s="48"/>
      <c r="C41" s="2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>
      <c r="A42" s="49" t="s">
        <v>367</v>
      </c>
      <c r="B42" s="47">
        <f>B32*E18+B33*E19+B34*E20+B35*E21+B36*E22+B37*E23+B38*E24+B39*E25+B40*E26</f>
        <v>30.154396571428574</v>
      </c>
      <c r="C42" s="50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>
      <c r="A43" s="49" t="s">
        <v>368</v>
      </c>
      <c r="B43" s="47">
        <f>B32*H18+B33*H19+B34*H20+B35*H21+B36*H22+B37*H23+B38*H24+B39*H25+B40*H26</f>
        <v>30.729783664708538</v>
      </c>
      <c r="C43" s="5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>
      <c r="A44" s="1"/>
      <c r="B44" s="52"/>
      <c r="C44" s="4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>
      <c r="A45" s="7"/>
      <c r="B45" s="53" t="s">
        <v>78</v>
      </c>
      <c r="C45" s="47">
        <f>((5*C38+6*C39)-(C36+8*C37))</f>
        <v>-3272.1699999999996</v>
      </c>
      <c r="D45" s="1" t="s">
        <v>79</v>
      </c>
      <c r="E45" s="1"/>
      <c r="F45" s="1"/>
      <c r="G45" s="1"/>
      <c r="H45" s="1"/>
      <c r="I45" s="1"/>
      <c r="J45" s="1"/>
      <c r="K45" s="4"/>
      <c r="L45" s="54" t="s">
        <v>8</v>
      </c>
      <c r="M45" s="54" t="s">
        <v>80</v>
      </c>
      <c r="N45" s="1"/>
      <c r="O45" s="1"/>
      <c r="P45" s="1"/>
      <c r="Q45" s="1"/>
    </row>
    <row r="46" spans="1:17" ht="15.75" customHeight="1">
      <c r="A46" s="7"/>
      <c r="B46" s="53" t="s">
        <v>81</v>
      </c>
      <c r="C46" s="47">
        <f>((4*C38+5*C39)-(1*C35))</f>
        <v>-2657.42</v>
      </c>
      <c r="D46" s="1" t="s">
        <v>79</v>
      </c>
      <c r="E46" s="1"/>
      <c r="F46" s="1"/>
      <c r="G46" s="1"/>
      <c r="H46" s="1"/>
      <c r="I46" s="1"/>
      <c r="J46" s="7"/>
      <c r="K46" s="55" t="s">
        <v>82</v>
      </c>
      <c r="L46" s="10">
        <v>0.8</v>
      </c>
      <c r="M46" s="43">
        <v>35.700000000000003</v>
      </c>
      <c r="N46" s="1"/>
      <c r="O46" s="1"/>
      <c r="P46" s="1"/>
      <c r="Q46" s="1"/>
    </row>
    <row r="47" spans="1:17" ht="15.75" customHeight="1">
      <c r="A47" s="7"/>
      <c r="B47" s="53" t="s">
        <v>83</v>
      </c>
      <c r="C47" s="47">
        <f>((3*C38+4*C39)-(1*C34))</f>
        <v>-2044</v>
      </c>
      <c r="D47" s="1" t="s">
        <v>79</v>
      </c>
      <c r="E47" s="1"/>
      <c r="F47" s="1"/>
      <c r="G47" s="1"/>
      <c r="H47" s="1"/>
      <c r="I47" s="1"/>
      <c r="J47" s="7"/>
      <c r="K47" s="55" t="s">
        <v>84</v>
      </c>
      <c r="L47" s="10">
        <v>0.03</v>
      </c>
      <c r="M47" s="43">
        <v>52.49</v>
      </c>
      <c r="N47" s="1"/>
      <c r="O47" s="1"/>
      <c r="P47" s="1"/>
      <c r="Q47" s="1"/>
    </row>
    <row r="48" spans="1:17" ht="15.75" customHeight="1">
      <c r="A48" s="7"/>
      <c r="B48" s="53" t="s">
        <v>85</v>
      </c>
      <c r="C48" s="47">
        <f>((2*C38+3*C39)-(C33))</f>
        <v>-1428.51</v>
      </c>
      <c r="D48" s="1" t="s">
        <v>79</v>
      </c>
      <c r="E48" s="1"/>
      <c r="F48" s="1"/>
      <c r="G48" s="1"/>
      <c r="H48" s="1"/>
      <c r="I48" s="1"/>
      <c r="J48" s="7"/>
      <c r="K48" s="55" t="s">
        <v>86</v>
      </c>
      <c r="L48" s="10">
        <v>0.04</v>
      </c>
      <c r="M48" s="43">
        <v>73.599999999999994</v>
      </c>
      <c r="N48" s="1"/>
      <c r="O48" s="1"/>
      <c r="P48" s="1"/>
      <c r="Q48" s="1"/>
    </row>
    <row r="49" spans="1:17" ht="15.75" customHeight="1">
      <c r="A49" s="7"/>
      <c r="B49" s="53" t="s">
        <v>87</v>
      </c>
      <c r="C49" s="47">
        <f>((1*C38+2*C39)-(1*C32))</f>
        <v>-802.57</v>
      </c>
      <c r="D49" s="1" t="s">
        <v>79</v>
      </c>
      <c r="E49" s="1"/>
      <c r="F49" s="1"/>
      <c r="G49" s="1"/>
      <c r="H49" s="1"/>
      <c r="I49" s="1"/>
      <c r="J49" s="7"/>
      <c r="K49" s="55" t="s">
        <v>88</v>
      </c>
      <c r="L49" s="10">
        <v>0.05</v>
      </c>
      <c r="M49" s="43">
        <v>98.49</v>
      </c>
      <c r="N49" s="5" t="s">
        <v>89</v>
      </c>
      <c r="O49" s="1"/>
      <c r="P49" s="1"/>
      <c r="Q49" s="1"/>
    </row>
    <row r="50" spans="1:17" ht="15.75" customHeight="1">
      <c r="A50" s="1"/>
      <c r="B50" s="24"/>
      <c r="C50" s="24"/>
      <c r="D50" s="1"/>
      <c r="E50" s="1"/>
      <c r="F50" s="1"/>
      <c r="G50" s="1"/>
      <c r="H50" s="1"/>
      <c r="I50" s="1"/>
      <c r="J50" s="7"/>
      <c r="K50" s="55" t="s">
        <v>90</v>
      </c>
      <c r="L50" s="10">
        <v>3.0000000000000001E-3</v>
      </c>
      <c r="M50" s="43">
        <v>120.04</v>
      </c>
      <c r="N50" s="56">
        <f>L46*M46+L47*M47+L48*M48+L49*M49+L50*M50+L51*M51</f>
        <v>40.605560000000004</v>
      </c>
      <c r="O50" s="1"/>
      <c r="P50" s="1"/>
      <c r="Q50" s="1"/>
    </row>
    <row r="51" spans="1:17" ht="15.75" customHeight="1">
      <c r="A51" s="1"/>
      <c r="B51" s="1"/>
      <c r="C51" s="1"/>
      <c r="D51" s="1"/>
      <c r="E51" s="1"/>
      <c r="F51" s="1"/>
      <c r="G51" s="4"/>
      <c r="H51" s="1"/>
      <c r="I51" s="1"/>
      <c r="J51" s="7"/>
      <c r="K51" s="55" t="s">
        <v>19</v>
      </c>
      <c r="L51" s="6">
        <f>1-(L46+L47+L48+L49+L50)</f>
        <v>7.6999999999999846E-2</v>
      </c>
      <c r="M51" s="43">
        <v>29.12</v>
      </c>
      <c r="N51" s="1"/>
      <c r="O51" s="1"/>
      <c r="P51" s="1"/>
      <c r="Q51" s="1"/>
    </row>
    <row r="52" spans="1:17" ht="15.75" customHeight="1">
      <c r="A52" s="3" t="s">
        <v>91</v>
      </c>
      <c r="B52" s="1"/>
      <c r="C52" s="1"/>
      <c r="D52" s="1"/>
      <c r="E52" s="37" t="s">
        <v>92</v>
      </c>
      <c r="F52" s="7"/>
      <c r="G52" s="15">
        <f>E6-F29</f>
        <v>4900</v>
      </c>
      <c r="H52" s="1" t="s">
        <v>6</v>
      </c>
      <c r="I52" s="1"/>
      <c r="J52" s="1"/>
      <c r="K52" s="1"/>
      <c r="L52" s="1"/>
      <c r="M52" s="1"/>
      <c r="N52" s="1"/>
      <c r="O52" s="1"/>
      <c r="P52" s="1"/>
      <c r="Q52" s="1"/>
    </row>
    <row r="53" spans="1:17" ht="29.25" customHeight="1">
      <c r="A53" s="1"/>
      <c r="B53" s="1"/>
      <c r="C53" s="1"/>
      <c r="D53" s="119" t="s">
        <v>93</v>
      </c>
      <c r="E53" s="118"/>
      <c r="F53" s="118"/>
      <c r="G53" s="118"/>
      <c r="H53" s="118"/>
      <c r="I53" s="118"/>
      <c r="J53" s="1"/>
      <c r="K53" s="1"/>
      <c r="L53" s="1"/>
      <c r="M53" s="1"/>
      <c r="N53" s="1"/>
      <c r="O53" s="1"/>
      <c r="P53" s="1"/>
      <c r="Q53" s="1"/>
    </row>
    <row r="54" spans="1:17" ht="15.75" customHeight="1">
      <c r="A54" s="4"/>
      <c r="B54" s="4"/>
      <c r="C54" s="4"/>
      <c r="D54" s="4"/>
      <c r="E54" s="4"/>
      <c r="F54" s="4"/>
      <c r="G54" s="4"/>
      <c r="H54" s="4"/>
      <c r="I54" s="57">
        <v>22.4</v>
      </c>
      <c r="J54" s="4"/>
      <c r="K54" s="58" t="s">
        <v>94</v>
      </c>
      <c r="L54" s="58" t="s">
        <v>95</v>
      </c>
      <c r="M54" s="58" t="s">
        <v>96</v>
      </c>
      <c r="N54" s="98"/>
      <c r="O54" s="98"/>
      <c r="P54" s="1"/>
      <c r="Q54" s="1"/>
    </row>
    <row r="55" spans="1:17" ht="15.75" customHeight="1">
      <c r="A55" s="59" t="s">
        <v>26</v>
      </c>
      <c r="B55" s="44" t="s">
        <v>27</v>
      </c>
      <c r="C55" s="44" t="s">
        <v>28</v>
      </c>
      <c r="D55" s="44" t="s">
        <v>29</v>
      </c>
      <c r="E55" s="44" t="s">
        <v>30</v>
      </c>
      <c r="F55" s="44" t="s">
        <v>31</v>
      </c>
      <c r="G55" s="44" t="s">
        <v>32</v>
      </c>
      <c r="H55" s="44" t="s">
        <v>33</v>
      </c>
      <c r="I55" s="44" t="s">
        <v>34</v>
      </c>
      <c r="J55" s="44" t="s">
        <v>35</v>
      </c>
      <c r="K55" s="44" t="s">
        <v>97</v>
      </c>
      <c r="L55" s="44" t="s">
        <v>98</v>
      </c>
      <c r="M55" s="44" t="s">
        <v>99</v>
      </c>
      <c r="N55" s="99"/>
      <c r="O55" s="95"/>
      <c r="P55" s="1"/>
      <c r="Q55" s="1"/>
    </row>
    <row r="56" spans="1:17" ht="15.75" customHeight="1" thickTop="1" thickBot="1">
      <c r="A56" s="20" t="s">
        <v>369</v>
      </c>
      <c r="B56" s="61">
        <v>16</v>
      </c>
      <c r="C56" s="21">
        <f>D56/I54*B56</f>
        <v>2810.5</v>
      </c>
      <c r="D56" s="43">
        <f>G52*L46+G18</f>
        <v>3934.7</v>
      </c>
      <c r="E56" s="22">
        <f>D56/D67</f>
        <v>0.13254574608564421</v>
      </c>
      <c r="F56" s="21">
        <f t="shared" ref="F56:G56" si="7">C56+I56</f>
        <v>0</v>
      </c>
      <c r="G56" s="21">
        <f t="shared" si="7"/>
        <v>0</v>
      </c>
      <c r="H56" s="22">
        <f>G56/G67</f>
        <v>0</v>
      </c>
      <c r="I56" s="21">
        <f>J56/I54*B56</f>
        <v>-2810.5</v>
      </c>
      <c r="J56" s="43">
        <f t="shared" ref="J56:J61" si="8">SUM(K56:M56)</f>
        <v>-3934.7</v>
      </c>
      <c r="K56" s="43">
        <v>-2482.9</v>
      </c>
      <c r="L56" s="43">
        <f>-D56-K56</f>
        <v>-1451.7999999999997</v>
      </c>
      <c r="M56" s="43">
        <v>0</v>
      </c>
      <c r="N56" s="96"/>
      <c r="O56" s="97"/>
      <c r="P56" s="1"/>
      <c r="Q56" s="24"/>
    </row>
    <row r="57" spans="1:17" ht="15.75" customHeight="1" thickTop="1" thickBot="1">
      <c r="A57" s="20" t="s">
        <v>370</v>
      </c>
      <c r="B57" s="61">
        <v>30</v>
      </c>
      <c r="C57" s="21">
        <f>D57/I54*B57</f>
        <v>196.875</v>
      </c>
      <c r="D57" s="43">
        <f>G52*L47</f>
        <v>147</v>
      </c>
      <c r="E57" s="22">
        <f>D57/D67</f>
        <v>4.951895868704018E-3</v>
      </c>
      <c r="F57" s="21">
        <f t="shared" ref="F57:G57" si="9">C57+I57</f>
        <v>0</v>
      </c>
      <c r="G57" s="21">
        <f t="shared" si="9"/>
        <v>0</v>
      </c>
      <c r="H57" s="22">
        <f>G57/G67</f>
        <v>0</v>
      </c>
      <c r="I57" s="21">
        <f>J57/I54*B57</f>
        <v>-196.875</v>
      </c>
      <c r="J57" s="43">
        <f t="shared" si="8"/>
        <v>-147</v>
      </c>
      <c r="K57" s="43">
        <f>-D57</f>
        <v>-147</v>
      </c>
      <c r="L57" s="43">
        <v>0</v>
      </c>
      <c r="M57" s="101">
        <v>0</v>
      </c>
      <c r="N57" s="100"/>
      <c r="O57" s="1"/>
      <c r="P57" s="1"/>
      <c r="Q57" s="24"/>
    </row>
    <row r="58" spans="1:17" ht="15.75" customHeight="1" thickTop="1" thickBot="1">
      <c r="A58" s="20" t="s">
        <v>371</v>
      </c>
      <c r="B58" s="61">
        <v>44</v>
      </c>
      <c r="C58" s="21">
        <f>D58/I54*B58</f>
        <v>385</v>
      </c>
      <c r="D58" s="43">
        <f>G52*L48</f>
        <v>196</v>
      </c>
      <c r="E58" s="22">
        <f>D58/D67</f>
        <v>6.6025278249386915E-3</v>
      </c>
      <c r="F58" s="21">
        <f t="shared" ref="F58:G58" si="10">C58+I58</f>
        <v>0</v>
      </c>
      <c r="G58" s="21">
        <f t="shared" si="10"/>
        <v>0</v>
      </c>
      <c r="H58" s="22">
        <f>G58/G67</f>
        <v>0</v>
      </c>
      <c r="I58" s="21">
        <f>J58/I54*B58</f>
        <v>-385</v>
      </c>
      <c r="J58" s="43">
        <f>SUM(K58:M58)</f>
        <v>-196</v>
      </c>
      <c r="K58" s="43">
        <f>-D58</f>
        <v>-196</v>
      </c>
      <c r="L58" s="43">
        <v>0</v>
      </c>
      <c r="M58" s="43">
        <v>0</v>
      </c>
      <c r="N58" s="1"/>
      <c r="O58" s="1"/>
      <c r="P58" s="1"/>
      <c r="Q58" s="24"/>
    </row>
    <row r="59" spans="1:17" ht="15.75" customHeight="1">
      <c r="A59" s="20" t="s">
        <v>372</v>
      </c>
      <c r="B59" s="61">
        <v>58</v>
      </c>
      <c r="C59" s="21">
        <f>D59/I54*B59</f>
        <v>634.375</v>
      </c>
      <c r="D59" s="43">
        <f>G52*L49</f>
        <v>245</v>
      </c>
      <c r="E59" s="22">
        <f>D59/D67</f>
        <v>8.2531597811733633E-3</v>
      </c>
      <c r="F59" s="21">
        <f t="shared" ref="F59:G59" si="11">C59+I59</f>
        <v>0</v>
      </c>
      <c r="G59" s="21">
        <f t="shared" si="11"/>
        <v>0</v>
      </c>
      <c r="H59" s="22">
        <f>G59/G67</f>
        <v>0</v>
      </c>
      <c r="I59" s="21">
        <f>J59/I54*B59</f>
        <v>-634.375</v>
      </c>
      <c r="J59" s="43">
        <f t="shared" si="8"/>
        <v>-245</v>
      </c>
      <c r="K59" s="43">
        <f>-D59</f>
        <v>-245</v>
      </c>
      <c r="L59" s="43">
        <v>0</v>
      </c>
      <c r="M59" s="43">
        <v>0</v>
      </c>
      <c r="N59" s="1"/>
      <c r="O59" s="1"/>
      <c r="P59" s="1"/>
      <c r="Q59" s="24"/>
    </row>
    <row r="60" spans="1:17" ht="15.75" customHeight="1">
      <c r="A60" s="20" t="s">
        <v>373</v>
      </c>
      <c r="B60" s="61">
        <v>72</v>
      </c>
      <c r="C60" s="21">
        <f>D60/I54*B60</f>
        <v>47.250000000000007</v>
      </c>
      <c r="D60" s="43">
        <f>G52*L50</f>
        <v>14.700000000000001</v>
      </c>
      <c r="E60" s="22">
        <f>D60/D67</f>
        <v>4.9518958687040182E-4</v>
      </c>
      <c r="F60" s="21">
        <f t="shared" ref="F60:F65" si="12">C60+I60</f>
        <v>0</v>
      </c>
      <c r="G60" s="21">
        <f>D60+L60</f>
        <v>14.700000000000001</v>
      </c>
      <c r="H60" s="22">
        <f>G60/G67</f>
        <v>3.5472373777469982E-4</v>
      </c>
      <c r="I60" s="21">
        <f>J60/I54*B60</f>
        <v>-47.250000000000007</v>
      </c>
      <c r="J60" s="43">
        <f t="shared" si="8"/>
        <v>-14.700000000000001</v>
      </c>
      <c r="K60" s="43">
        <f>-D60</f>
        <v>-14.700000000000001</v>
      </c>
      <c r="L60" s="43">
        <v>0</v>
      </c>
      <c r="M60" s="43">
        <v>0</v>
      </c>
      <c r="N60" s="1"/>
      <c r="O60" s="1"/>
      <c r="P60" s="1"/>
      <c r="Q60" s="24"/>
    </row>
    <row r="61" spans="1:17" ht="15.75" customHeight="1">
      <c r="A61" s="20" t="s">
        <v>374</v>
      </c>
      <c r="B61" s="61">
        <v>32</v>
      </c>
      <c r="C61" s="21">
        <f>D61</f>
        <v>0</v>
      </c>
      <c r="D61" s="43">
        <v>0</v>
      </c>
      <c r="E61" s="22">
        <f>D61</f>
        <v>0</v>
      </c>
      <c r="F61" s="21">
        <f t="shared" si="12"/>
        <v>0</v>
      </c>
      <c r="G61" s="21">
        <f>J61</f>
        <v>0</v>
      </c>
      <c r="H61" s="22">
        <f>G61/G67</f>
        <v>0</v>
      </c>
      <c r="I61" s="21">
        <f>0</f>
        <v>0</v>
      </c>
      <c r="J61" s="43">
        <f t="shared" si="8"/>
        <v>0</v>
      </c>
      <c r="K61" s="43">
        <v>0</v>
      </c>
      <c r="L61" s="43">
        <v>0</v>
      </c>
      <c r="M61" s="43">
        <v>0</v>
      </c>
      <c r="N61" s="1"/>
      <c r="O61" s="1"/>
      <c r="P61" s="1"/>
      <c r="Q61" s="24"/>
    </row>
    <row r="62" spans="1:17" ht="15.75" customHeight="1">
      <c r="A62" s="20" t="s">
        <v>375</v>
      </c>
      <c r="B62" s="61">
        <v>44</v>
      </c>
      <c r="C62" s="21">
        <f>D62/I54*B62</f>
        <v>4900.5000000000009</v>
      </c>
      <c r="D62" s="43">
        <f t="shared" ref="D62:D63" si="13">G24</f>
        <v>2494.8000000000002</v>
      </c>
      <c r="E62" s="22">
        <f>D62/D67</f>
        <v>8.4040747028862495E-2</v>
      </c>
      <c r="F62" s="21">
        <f t="shared" si="12"/>
        <v>2048.7500000000014</v>
      </c>
      <c r="G62" s="21">
        <f t="shared" ref="G62:G63" si="14">J62+D62</f>
        <v>1043.0000000000005</v>
      </c>
      <c r="H62" s="22">
        <f>G62/G67</f>
        <v>2.5168493775442995E-2</v>
      </c>
      <c r="I62" s="21">
        <f>J62/I54*B62</f>
        <v>-2851.7499999999995</v>
      </c>
      <c r="J62" s="43">
        <f>SUM(K62:M62)</f>
        <v>-1451.7999999999997</v>
      </c>
      <c r="K62" s="43">
        <v>0</v>
      </c>
      <c r="L62" s="43">
        <f>L56</f>
        <v>-1451.7999999999997</v>
      </c>
      <c r="M62" s="43">
        <v>0</v>
      </c>
      <c r="N62" s="1"/>
      <c r="O62" s="1"/>
      <c r="P62" s="1"/>
      <c r="Q62" s="24"/>
    </row>
    <row r="63" spans="1:17" ht="15.75" customHeight="1">
      <c r="A63" s="20" t="s">
        <v>376</v>
      </c>
      <c r="B63" s="61">
        <v>18</v>
      </c>
      <c r="C63" s="21">
        <f>D63/I54*B63</f>
        <v>3550.5000000000005</v>
      </c>
      <c r="D63" s="43">
        <f t="shared" si="13"/>
        <v>4418.4000000000005</v>
      </c>
      <c r="E63" s="22">
        <f>D63/D67</f>
        <v>0.14883984153933222</v>
      </c>
      <c r="F63" s="21">
        <f t="shared" si="12"/>
        <v>0</v>
      </c>
      <c r="G63" s="21">
        <f t="shared" si="14"/>
        <v>0</v>
      </c>
      <c r="H63" s="22">
        <f>G63/G67</f>
        <v>0</v>
      </c>
      <c r="I63" s="21">
        <f>J63/I54*B63</f>
        <v>-3550.5</v>
      </c>
      <c r="J63" s="43">
        <f t="shared" ref="J63:J66" si="15">SUM(K63:M63)</f>
        <v>-4418.3999999999996</v>
      </c>
      <c r="K63" s="43">
        <f>K60*5+K59*4+K58*3+K57*2+K56</f>
        <v>-4418.3999999999996</v>
      </c>
      <c r="L63" s="43">
        <v>0</v>
      </c>
      <c r="M63" s="43">
        <v>0</v>
      </c>
      <c r="N63" s="1"/>
      <c r="O63" s="1"/>
      <c r="P63" s="1"/>
      <c r="Q63" s="24"/>
    </row>
    <row r="64" spans="1:17" ht="15.75" customHeight="1">
      <c r="A64" s="20" t="s">
        <v>108</v>
      </c>
      <c r="B64" s="61">
        <v>28</v>
      </c>
      <c r="C64" s="21">
        <v>0</v>
      </c>
      <c r="D64" s="43">
        <v>0</v>
      </c>
      <c r="E64" s="22">
        <f t="shared" ref="E64:E65" si="16">D64</f>
        <v>0</v>
      </c>
      <c r="F64" s="21">
        <f t="shared" si="12"/>
        <v>9152.5</v>
      </c>
      <c r="G64" s="21">
        <f t="shared" ref="G64:G65" si="17">J64</f>
        <v>7321.9999999999991</v>
      </c>
      <c r="H64" s="22">
        <f>G64/G67</f>
        <v>0.17668620462492188</v>
      </c>
      <c r="I64" s="21">
        <f>J64/I54*B64</f>
        <v>9152.5</v>
      </c>
      <c r="J64" s="43">
        <f t="shared" si="15"/>
        <v>7321.9999999999991</v>
      </c>
      <c r="K64" s="43">
        <f>-K60*5-K59*4-K58*3-K57*2-K56</f>
        <v>4418.3999999999996</v>
      </c>
      <c r="L64" s="43">
        <f>-L56*2</f>
        <v>2903.5999999999995</v>
      </c>
      <c r="M64" s="43">
        <v>0</v>
      </c>
      <c r="N64" s="1"/>
      <c r="O64" s="1"/>
      <c r="P64" s="1"/>
      <c r="Q64" s="24"/>
    </row>
    <row r="65" spans="1:17" ht="15.75" customHeight="1">
      <c r="A65" s="20" t="s">
        <v>377</v>
      </c>
      <c r="B65" s="61">
        <v>2</v>
      </c>
      <c r="C65" s="21">
        <v>0</v>
      </c>
      <c r="D65" s="43">
        <v>0</v>
      </c>
      <c r="E65" s="22">
        <f t="shared" si="16"/>
        <v>0</v>
      </c>
      <c r="F65" s="21">
        <f t="shared" si="12"/>
        <v>1323.75</v>
      </c>
      <c r="G65" s="21">
        <f t="shared" si="17"/>
        <v>14826</v>
      </c>
      <c r="H65" s="22">
        <f>G65/G67</f>
        <v>0.35776422695562576</v>
      </c>
      <c r="I65" s="21">
        <f>J65/I54*B65</f>
        <v>1323.75</v>
      </c>
      <c r="J65" s="43">
        <f t="shared" si="15"/>
        <v>14826</v>
      </c>
      <c r="K65" s="43">
        <f>-K60*11-K59*9-K58*7-K57*5-K56*3</f>
        <v>11922.400000000001</v>
      </c>
      <c r="L65" s="43">
        <f>-L56*2</f>
        <v>2903.5999999999995</v>
      </c>
      <c r="M65" s="43">
        <v>0</v>
      </c>
      <c r="N65" s="1"/>
      <c r="O65" s="1"/>
      <c r="P65" s="1"/>
      <c r="Q65" s="24"/>
    </row>
    <row r="66" spans="1:17" ht="15.75" customHeight="1">
      <c r="A66" s="20" t="s">
        <v>378</v>
      </c>
      <c r="B66" s="61">
        <v>28</v>
      </c>
      <c r="C66" s="21">
        <f>D66/I54*B66</f>
        <v>22793.75</v>
      </c>
      <c r="D66" s="43">
        <f>G52*L51+G26</f>
        <v>18235</v>
      </c>
      <c r="E66" s="22">
        <f>D66/D67</f>
        <v>0.61427089228447462</v>
      </c>
      <c r="F66" s="21">
        <f>I66+C66</f>
        <v>22793.75</v>
      </c>
      <c r="G66" s="21">
        <f>D66+J66</f>
        <v>18235</v>
      </c>
      <c r="H66" s="22">
        <f>G66/G67</f>
        <v>0.44002635090623471</v>
      </c>
      <c r="I66" s="21">
        <v>0</v>
      </c>
      <c r="J66" s="43">
        <f t="shared" si="15"/>
        <v>0</v>
      </c>
      <c r="K66" s="43">
        <v>0</v>
      </c>
      <c r="L66" s="43">
        <v>0</v>
      </c>
      <c r="M66" s="43">
        <v>0</v>
      </c>
      <c r="N66" s="1"/>
      <c r="O66" s="1"/>
      <c r="P66" s="1"/>
      <c r="Q66" s="24"/>
    </row>
    <row r="67" spans="1:17" ht="15.75" customHeight="1">
      <c r="A67" s="33" t="s">
        <v>54</v>
      </c>
      <c r="B67" s="15"/>
      <c r="C67" s="62">
        <f t="shared" ref="C67:H67" si="18">SUM(C56:C66)</f>
        <v>35318.75</v>
      </c>
      <c r="D67" s="43">
        <f t="shared" si="18"/>
        <v>29685.599999999999</v>
      </c>
      <c r="E67" s="22">
        <f t="shared" si="18"/>
        <v>1</v>
      </c>
      <c r="F67" s="62">
        <f t="shared" si="18"/>
        <v>35318.75</v>
      </c>
      <c r="G67" s="21">
        <f t="shared" si="18"/>
        <v>41440.699999999997</v>
      </c>
      <c r="H67" s="22">
        <f t="shared" si="18"/>
        <v>1</v>
      </c>
      <c r="I67" s="21">
        <f>SUM(I56:I66)</f>
        <v>0</v>
      </c>
      <c r="J67" s="21">
        <f>SUM(J56:J66)</f>
        <v>11740.400000000001</v>
      </c>
      <c r="K67" s="21">
        <f>SUM(K56:K66)</f>
        <v>8836.8000000000011</v>
      </c>
      <c r="L67" s="21">
        <f>SUM(L56:L66)</f>
        <v>2903.5999999999995</v>
      </c>
      <c r="M67" s="21">
        <f>SUM(M56:M66)</f>
        <v>0</v>
      </c>
      <c r="N67" s="1"/>
      <c r="O67" s="1"/>
      <c r="P67" s="1"/>
      <c r="Q67" s="24"/>
    </row>
    <row r="68" spans="1:17" ht="15.75" customHeight="1">
      <c r="A68" s="1"/>
      <c r="B68" s="1"/>
      <c r="C68" s="24"/>
      <c r="D68" s="24"/>
      <c r="E68" s="1"/>
      <c r="F68" s="1"/>
      <c r="G68" s="1"/>
      <c r="H68" s="1"/>
      <c r="I68" s="4"/>
      <c r="J68" s="1"/>
      <c r="K68" s="1"/>
      <c r="L68" s="1"/>
      <c r="M68" s="1"/>
      <c r="N68" s="1"/>
      <c r="O68" s="1"/>
      <c r="P68" s="1"/>
      <c r="Q68" s="1"/>
    </row>
    <row r="69" spans="1:17" ht="15.75" customHeight="1">
      <c r="A69" s="1"/>
      <c r="B69" s="4"/>
      <c r="C69" s="4"/>
      <c r="D69" s="4"/>
      <c r="E69" s="1"/>
      <c r="F69" s="1"/>
      <c r="G69" s="63" t="s">
        <v>111</v>
      </c>
      <c r="H69" s="7"/>
      <c r="I69" s="43">
        <f>G65/G64</f>
        <v>2.0248565965583176</v>
      </c>
      <c r="J69" s="1"/>
      <c r="K69" s="24">
        <f>D59-D62/4</f>
        <v>-378.70000000000005</v>
      </c>
      <c r="L69" s="1"/>
      <c r="M69" s="1">
        <f>D59*4</f>
        <v>980</v>
      </c>
      <c r="N69" s="1" t="s">
        <v>112</v>
      </c>
      <c r="O69" s="1"/>
      <c r="P69" s="1"/>
      <c r="Q69" s="1"/>
    </row>
    <row r="70" spans="1:17" ht="15.75" customHeight="1">
      <c r="A70" s="7"/>
      <c r="B70" s="89" t="s">
        <v>113</v>
      </c>
      <c r="C70" s="15"/>
      <c r="D70" s="15">
        <v>9</v>
      </c>
      <c r="E70" s="112" t="s">
        <v>116</v>
      </c>
      <c r="F70" s="65">
        <v>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>
      <c r="A71" s="66" t="s">
        <v>94</v>
      </c>
      <c r="B71" s="89" t="s">
        <v>115</v>
      </c>
      <c r="C71" s="4"/>
      <c r="D71" s="15">
        <v>7</v>
      </c>
      <c r="E71" s="1" t="s">
        <v>116</v>
      </c>
      <c r="F71" s="65">
        <v>7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>
      <c r="A72" s="7"/>
      <c r="B72" s="89" t="s">
        <v>117</v>
      </c>
      <c r="C72" s="4"/>
      <c r="D72" s="15">
        <v>5</v>
      </c>
      <c r="E72" s="1" t="s">
        <v>116</v>
      </c>
      <c r="F72" s="65">
        <v>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>
      <c r="A73" s="7"/>
      <c r="B73" s="89" t="s">
        <v>120</v>
      </c>
      <c r="C73" s="4"/>
      <c r="D73" s="15">
        <v>3</v>
      </c>
      <c r="E73" s="1" t="s">
        <v>116</v>
      </c>
      <c r="F73" s="65">
        <v>3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>
      <c r="A74" s="7"/>
      <c r="B74" s="89" t="s">
        <v>122</v>
      </c>
      <c r="C74" s="4"/>
      <c r="D74" s="15">
        <v>1</v>
      </c>
      <c r="E74" s="1" t="s">
        <v>116</v>
      </c>
      <c r="F74" s="65">
        <v>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>
      <c r="A75" s="7"/>
      <c r="B75" s="15"/>
      <c r="C75" s="15"/>
      <c r="D75" s="15"/>
      <c r="E75" s="1"/>
      <c r="F75" s="6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>
      <c r="A76" s="7"/>
      <c r="B76" s="89" t="s">
        <v>125</v>
      </c>
      <c r="C76" s="4"/>
      <c r="D76" s="15">
        <v>10</v>
      </c>
      <c r="E76" s="1" t="s">
        <v>116</v>
      </c>
      <c r="F76" s="65">
        <v>10</v>
      </c>
      <c r="G76" s="1"/>
      <c r="H76" s="24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>
      <c r="A77" s="66" t="s">
        <v>95</v>
      </c>
      <c r="B77" s="4" t="s">
        <v>128</v>
      </c>
      <c r="C77" s="4"/>
      <c r="D77" s="15">
        <v>8</v>
      </c>
      <c r="E77" s="112" t="s">
        <v>114</v>
      </c>
      <c r="F77" s="65">
        <v>8</v>
      </c>
      <c r="G77" s="1"/>
      <c r="H77" s="1"/>
      <c r="I77" s="1"/>
      <c r="J77" s="1"/>
      <c r="K77" s="24"/>
      <c r="L77" s="1"/>
      <c r="M77" s="24"/>
      <c r="N77" s="1"/>
      <c r="O77" s="1"/>
      <c r="P77" s="1"/>
      <c r="Q77" s="1"/>
    </row>
    <row r="78" spans="1:17" ht="15.75" customHeight="1">
      <c r="A78" s="7"/>
      <c r="B78" s="4" t="s">
        <v>130</v>
      </c>
      <c r="C78" s="4"/>
      <c r="D78" s="15">
        <v>6</v>
      </c>
      <c r="E78" s="1" t="s">
        <v>114</v>
      </c>
      <c r="F78" s="65">
        <v>6</v>
      </c>
      <c r="G78" s="1"/>
      <c r="H78" s="1"/>
      <c r="I78" s="1"/>
      <c r="J78" s="1"/>
      <c r="K78" s="1"/>
      <c r="L78" s="24"/>
      <c r="M78" s="24"/>
      <c r="N78" s="1"/>
      <c r="O78" s="1"/>
      <c r="P78" s="1"/>
      <c r="Q78" s="1"/>
    </row>
    <row r="79" spans="1:17" ht="15.75" customHeight="1">
      <c r="A79" s="7"/>
      <c r="B79" s="4" t="s">
        <v>132</v>
      </c>
      <c r="C79" s="4"/>
      <c r="D79" s="15">
        <v>4</v>
      </c>
      <c r="E79" s="1" t="s">
        <v>114</v>
      </c>
      <c r="F79" s="65">
        <v>4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>
      <c r="A80" s="7"/>
      <c r="B80" s="4" t="s">
        <v>133</v>
      </c>
      <c r="C80" s="4"/>
      <c r="D80" s="15">
        <v>2</v>
      </c>
      <c r="E80" s="1" t="s">
        <v>114</v>
      </c>
      <c r="F80" s="65">
        <v>2</v>
      </c>
      <c r="G80" s="1"/>
      <c r="H80" s="1"/>
      <c r="I80" s="1"/>
      <c r="J80" s="1"/>
      <c r="K80" s="24"/>
      <c r="L80" s="1"/>
      <c r="M80" s="24"/>
      <c r="N80" s="1"/>
      <c r="O80" s="1"/>
      <c r="P80" s="1"/>
      <c r="Q80" s="1"/>
    </row>
    <row r="81" spans="1:17" ht="15.75" customHeight="1">
      <c r="A81" s="7"/>
      <c r="B81" s="15"/>
      <c r="C81" s="15"/>
      <c r="D81" s="1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>
      <c r="A82" s="7"/>
      <c r="B82" s="4" t="s">
        <v>134</v>
      </c>
      <c r="C82" s="4"/>
      <c r="D82" s="15">
        <v>8</v>
      </c>
      <c r="E82" s="1" t="s">
        <v>114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>
      <c r="A83" s="66" t="s">
        <v>96</v>
      </c>
      <c r="B83" s="4" t="s">
        <v>135</v>
      </c>
      <c r="C83" s="4"/>
      <c r="D83" s="15">
        <v>6</v>
      </c>
      <c r="E83" s="1" t="s">
        <v>114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>
      <c r="A84" s="7"/>
      <c r="B84" s="4" t="s">
        <v>136</v>
      </c>
      <c r="C84" s="4"/>
      <c r="D84" s="15">
        <v>2</v>
      </c>
      <c r="E84" s="1" t="s">
        <v>114</v>
      </c>
      <c r="F84" s="1"/>
      <c r="G84" s="1"/>
      <c r="H84" s="1"/>
      <c r="I84" s="1"/>
      <c r="J84" s="1"/>
      <c r="K84" s="1"/>
      <c r="L84" s="1"/>
      <c r="M84" s="1"/>
      <c r="N84" s="24"/>
      <c r="O84" s="24"/>
      <c r="P84" s="24"/>
      <c r="Q84" s="24"/>
    </row>
    <row r="85" spans="1:17" ht="15.75" customHeight="1">
      <c r="A85" s="7"/>
      <c r="B85" s="4" t="s">
        <v>137</v>
      </c>
      <c r="C85" s="4"/>
      <c r="D85" s="15">
        <v>3</v>
      </c>
      <c r="E85" s="1" t="s">
        <v>114</v>
      </c>
      <c r="F85" s="1"/>
      <c r="G85" s="1"/>
      <c r="H85" s="1"/>
      <c r="I85" s="1"/>
      <c r="J85" s="1"/>
      <c r="K85" s="1"/>
      <c r="L85" s="1"/>
      <c r="M85" s="1"/>
      <c r="N85" s="24"/>
      <c r="O85" s="24"/>
      <c r="P85" s="24"/>
      <c r="Q85" s="24"/>
    </row>
    <row r="86" spans="1:17" ht="15.75" customHeight="1">
      <c r="A86" s="7"/>
      <c r="B86" s="89" t="s">
        <v>138</v>
      </c>
      <c r="C86" s="4"/>
      <c r="D86" s="15">
        <v>1</v>
      </c>
      <c r="E86" s="1" t="s">
        <v>114</v>
      </c>
      <c r="F86" s="1"/>
      <c r="G86" s="1"/>
      <c r="H86" s="1"/>
      <c r="I86" s="1"/>
      <c r="J86" s="1"/>
      <c r="K86" s="1"/>
      <c r="L86" s="1"/>
      <c r="M86" s="1"/>
      <c r="N86" s="24"/>
      <c r="O86" s="24"/>
      <c r="P86" s="24"/>
      <c r="Q86" s="24"/>
    </row>
    <row r="87" spans="1:17" ht="15.75" customHeight="1">
      <c r="A87" s="1"/>
      <c r="B87" s="71"/>
      <c r="C87" s="71"/>
      <c r="D87" s="71"/>
      <c r="E87" s="1"/>
      <c r="F87" s="1"/>
      <c r="G87" s="1"/>
      <c r="H87" s="1"/>
      <c r="I87" s="1"/>
      <c r="J87" s="1"/>
      <c r="K87" s="1"/>
      <c r="L87" s="1"/>
      <c r="M87" s="1"/>
      <c r="N87" s="24"/>
      <c r="O87" s="24"/>
      <c r="P87" s="24"/>
      <c r="Q87" s="24"/>
    </row>
    <row r="88" spans="1:17" ht="15.75" customHeight="1">
      <c r="A88" s="72"/>
      <c r="B88" s="72"/>
      <c r="C88" s="51"/>
      <c r="D88" s="50"/>
      <c r="E88" s="1"/>
      <c r="F88" s="117" t="s">
        <v>139</v>
      </c>
      <c r="G88" s="118"/>
      <c r="H88" s="118"/>
      <c r="I88" s="118"/>
      <c r="J88" s="71"/>
      <c r="K88" s="71"/>
      <c r="L88" s="71"/>
      <c r="M88" s="71"/>
      <c r="N88" s="71"/>
      <c r="O88" s="24"/>
      <c r="P88" s="24"/>
      <c r="Q88" s="24"/>
    </row>
    <row r="89" spans="1:17" ht="15.75" customHeight="1">
      <c r="A89" s="4"/>
      <c r="B89" s="39" t="s">
        <v>140</v>
      </c>
      <c r="C89" s="40" t="s">
        <v>59</v>
      </c>
      <c r="D89" s="50"/>
      <c r="E89" s="4"/>
      <c r="F89" s="4"/>
      <c r="G89" s="1"/>
      <c r="H89" s="73"/>
      <c r="I89" s="74"/>
      <c r="J89" s="74"/>
      <c r="K89" s="74"/>
      <c r="L89" s="74"/>
      <c r="M89" s="74"/>
      <c r="N89" s="75"/>
      <c r="O89" s="24"/>
      <c r="P89" s="24"/>
      <c r="Q89" s="24"/>
    </row>
    <row r="90" spans="1:17" ht="15.75" customHeight="1" thickTop="1" thickBot="1">
      <c r="A90" s="76" t="s">
        <v>26</v>
      </c>
      <c r="B90" s="77" t="s">
        <v>60</v>
      </c>
      <c r="C90" s="77" t="s">
        <v>379</v>
      </c>
      <c r="D90" s="78">
        <v>11</v>
      </c>
      <c r="E90" s="37" t="s">
        <v>113</v>
      </c>
      <c r="F90" s="7"/>
      <c r="G90" s="7"/>
      <c r="H90" s="79" t="s">
        <v>142</v>
      </c>
      <c r="I90" s="79" t="s">
        <v>143</v>
      </c>
      <c r="J90" s="79" t="s">
        <v>144</v>
      </c>
      <c r="K90" s="79" t="s">
        <v>145</v>
      </c>
      <c r="L90" s="79" t="s">
        <v>146</v>
      </c>
      <c r="M90" s="79" t="s">
        <v>147</v>
      </c>
      <c r="N90" s="71"/>
      <c r="O90" s="1"/>
      <c r="P90" s="1"/>
      <c r="Q90" s="1"/>
    </row>
    <row r="91" spans="1:17" ht="15.75" customHeight="1" thickTop="1" thickBot="1">
      <c r="A91" s="20" t="s">
        <v>380</v>
      </c>
      <c r="B91" s="43">
        <v>35.700000000000003</v>
      </c>
      <c r="C91" s="43">
        <v>-74.599999999999994</v>
      </c>
      <c r="D91" s="78">
        <v>12</v>
      </c>
      <c r="E91" s="37" t="s">
        <v>115</v>
      </c>
      <c r="F91" s="7"/>
      <c r="G91" s="7"/>
      <c r="H91" s="21">
        <f>H36</f>
        <v>27657588.593750007</v>
      </c>
      <c r="I91" s="109">
        <f>E6*(1-I6)/D13*N50*20*1000/3600</f>
        <v>49347.034722222219</v>
      </c>
      <c r="J91" s="109">
        <f>(K60/D13*C108+K59/D13*C107+K58/D13*C106+K57/D13*C105+K56/D13*C104)*1000/3600*1000</f>
        <v>-10305406.770833334</v>
      </c>
      <c r="K91" s="109">
        <f>(L56/D13*C109)*1000/3600*1000</f>
        <v>-4447757.8124999981</v>
      </c>
      <c r="L91" s="21">
        <v>0</v>
      </c>
      <c r="M91" s="21">
        <f>H91+I91+J91+K91</f>
        <v>12953771.045138897</v>
      </c>
      <c r="N91" s="80"/>
      <c r="O91" s="1"/>
      <c r="P91" s="1"/>
      <c r="Q91" s="1"/>
    </row>
    <row r="92" spans="1:17" ht="15.75" customHeight="1" thickTop="1" thickBot="1">
      <c r="A92" s="20" t="s">
        <v>381</v>
      </c>
      <c r="B92" s="43">
        <v>52.49</v>
      </c>
      <c r="C92" s="43">
        <v>-84</v>
      </c>
      <c r="D92" s="78">
        <v>13</v>
      </c>
      <c r="E92" s="37" t="s">
        <v>117</v>
      </c>
      <c r="F92" s="7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thickTop="1" thickBot="1">
      <c r="A93" s="20" t="s">
        <v>382</v>
      </c>
      <c r="B93" s="43">
        <v>73.599999999999994</v>
      </c>
      <c r="C93" s="43">
        <f>-103.85</f>
        <v>-103.85</v>
      </c>
      <c r="D93" s="78">
        <v>14</v>
      </c>
      <c r="E93" s="37" t="s">
        <v>120</v>
      </c>
      <c r="F93" s="7"/>
      <c r="G93" s="1"/>
      <c r="H93" s="4"/>
      <c r="I93" s="4"/>
      <c r="J93" s="1"/>
      <c r="K93" s="1"/>
      <c r="L93" s="1"/>
      <c r="M93" s="1"/>
      <c r="N93" s="1"/>
      <c r="O93" s="1"/>
      <c r="P93" s="1"/>
      <c r="Q93" s="1"/>
    </row>
    <row r="94" spans="1:17" ht="15.75" customHeight="1" thickTop="1" thickBot="1">
      <c r="A94" s="20" t="s">
        <v>383</v>
      </c>
      <c r="B94" s="43">
        <v>98.49</v>
      </c>
      <c r="C94" s="43">
        <f>-125.77</f>
        <v>-125.77</v>
      </c>
      <c r="D94" s="78">
        <v>15</v>
      </c>
      <c r="E94" s="37" t="s">
        <v>122</v>
      </c>
      <c r="F94" s="7"/>
      <c r="G94" s="7"/>
      <c r="H94" s="82" t="s">
        <v>152</v>
      </c>
      <c r="I94" s="110">
        <f>M91/(G67/D13*1000/3600*B103)</f>
        <v>861.55497663652454</v>
      </c>
      <c r="J94" s="1" t="s">
        <v>153</v>
      </c>
      <c r="K94" s="1"/>
      <c r="L94" s="1"/>
      <c r="M94" s="1"/>
      <c r="N94" s="1"/>
      <c r="O94" s="1"/>
      <c r="P94" s="1"/>
      <c r="Q94" s="1"/>
    </row>
    <row r="95" spans="1:17" ht="15.75" customHeight="1" thickTop="1" thickBot="1">
      <c r="A95" s="20" t="s">
        <v>384</v>
      </c>
      <c r="B95" s="43">
        <v>120.04</v>
      </c>
      <c r="C95" s="43">
        <f>-146.36</f>
        <v>-146.36000000000001</v>
      </c>
      <c r="D95" s="7"/>
      <c r="E95" s="1"/>
      <c r="F95" s="7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thickTop="1" thickBot="1">
      <c r="A96" s="20" t="s">
        <v>385</v>
      </c>
      <c r="B96" s="43">
        <v>29.38</v>
      </c>
      <c r="C96" s="43">
        <f>0</f>
        <v>0</v>
      </c>
      <c r="D96" s="78">
        <v>21</v>
      </c>
      <c r="E96" s="37" t="s">
        <v>125</v>
      </c>
      <c r="F96" s="7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thickTop="1" thickBot="1">
      <c r="A97" s="20" t="s">
        <v>386</v>
      </c>
      <c r="B97" s="43">
        <v>37.14</v>
      </c>
      <c r="C97" s="43">
        <f>-393.51</f>
        <v>-393.51</v>
      </c>
      <c r="D97" s="78">
        <v>22</v>
      </c>
      <c r="E97" s="1" t="s">
        <v>128</v>
      </c>
      <c r="F97" s="7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thickTop="1" thickBot="1">
      <c r="A98" s="20" t="s">
        <v>387</v>
      </c>
      <c r="B98" s="43">
        <v>33.6</v>
      </c>
      <c r="C98" s="43">
        <f>-241.83</f>
        <v>-241.83</v>
      </c>
      <c r="D98" s="78">
        <v>23</v>
      </c>
      <c r="E98" s="1" t="s">
        <v>130</v>
      </c>
      <c r="F98" s="7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thickTop="1" thickBot="1">
      <c r="A99" s="20" t="s">
        <v>108</v>
      </c>
      <c r="B99" s="43">
        <v>29.14</v>
      </c>
      <c r="C99" s="43">
        <v>-110.53</v>
      </c>
      <c r="D99" s="78">
        <v>24</v>
      </c>
      <c r="E99" s="1" t="s">
        <v>132</v>
      </c>
      <c r="F99" s="7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 thickTop="1" thickBot="1">
      <c r="A100" s="20" t="s">
        <v>388</v>
      </c>
      <c r="B100" s="43">
        <v>28.84</v>
      </c>
      <c r="C100" s="43">
        <v>0</v>
      </c>
      <c r="D100" s="78">
        <v>25</v>
      </c>
      <c r="E100" s="1" t="s">
        <v>133</v>
      </c>
      <c r="F100" s="7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.75" customHeight="1" thickTop="1" thickBot="1">
      <c r="A101" s="84" t="s">
        <v>389</v>
      </c>
      <c r="B101" s="43">
        <v>29.12</v>
      </c>
      <c r="C101" s="43">
        <v>0</v>
      </c>
      <c r="D101" s="7"/>
      <c r="E101" s="1"/>
      <c r="F101" s="7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.75" customHeight="1" thickTop="1" thickBot="1">
      <c r="A102" s="85" t="s">
        <v>390</v>
      </c>
      <c r="B102" s="113" t="s">
        <v>448</v>
      </c>
      <c r="C102" s="75"/>
      <c r="D102" s="78">
        <v>31</v>
      </c>
      <c r="E102" s="1" t="s">
        <v>134</v>
      </c>
      <c r="F102" s="7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.75" customHeight="1" thickTop="1" thickBot="1">
      <c r="A103" s="85" t="s">
        <v>391</v>
      </c>
      <c r="B103" s="105">
        <f>B91*H56+B92*H57+B93*H58+B94*H59+B95*H60+B96*H61+B97*H62+B98*H63+B99*H64+B100*H65+B101*H66</f>
        <v>29.257462542862456</v>
      </c>
      <c r="C103" s="86"/>
      <c r="D103" s="78">
        <v>32</v>
      </c>
      <c r="E103" s="1" t="s">
        <v>135</v>
      </c>
      <c r="F103" s="7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.75" customHeight="1" thickTop="1" thickBot="1">
      <c r="A104" s="7"/>
      <c r="B104" s="53" t="s">
        <v>162</v>
      </c>
      <c r="C104" s="46">
        <f>C99+C100*3-C91-C98</f>
        <v>205.9</v>
      </c>
      <c r="D104" s="78">
        <v>33</v>
      </c>
      <c r="E104" s="1" t="s">
        <v>136</v>
      </c>
      <c r="F104" s="7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.75" customHeight="1" thickTop="1" thickBot="1">
      <c r="A105" s="7"/>
      <c r="B105" s="53" t="s">
        <v>163</v>
      </c>
      <c r="C105" s="47">
        <f>C99*2+C100*5-C92-2*C98</f>
        <v>346.6</v>
      </c>
      <c r="D105" s="78">
        <v>34</v>
      </c>
      <c r="E105" s="1" t="s">
        <v>137</v>
      </c>
      <c r="F105" s="7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.75" customHeight="1" thickTop="1" thickBot="1">
      <c r="A106" s="7"/>
      <c r="B106" s="53" t="s">
        <v>164</v>
      </c>
      <c r="C106" s="47">
        <f>3*C99+7*C100-C93-3*C98</f>
        <v>497.75</v>
      </c>
      <c r="D106" s="78">
        <v>35</v>
      </c>
      <c r="E106" s="89" t="s">
        <v>138</v>
      </c>
      <c r="F106" s="15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.75" customHeight="1" thickTop="1" thickBot="1">
      <c r="A107" s="7"/>
      <c r="B107" s="53" t="s">
        <v>165</v>
      </c>
      <c r="C107" s="47">
        <f>4*C99+9*C100-C94-4*C98</f>
        <v>650.97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.75" customHeight="1" thickTop="1" thickBot="1">
      <c r="A108" s="7"/>
      <c r="B108" s="53" t="s">
        <v>166</v>
      </c>
      <c r="C108" s="47">
        <f>5*C99-C95-C98*5</f>
        <v>802.86000000000013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.75" customHeight="1" thickTop="1" thickBot="1">
      <c r="A109" s="7"/>
      <c r="B109" s="53" t="s">
        <v>167</v>
      </c>
      <c r="C109" s="111">
        <f>2*C99-C91-C97</f>
        <v>247.04999999999998</v>
      </c>
      <c r="D109" s="1" t="s">
        <v>79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.75" customHeight="1" thickTop="1" thickBot="1">
      <c r="A110" s="7"/>
      <c r="B110" s="53" t="s">
        <v>168</v>
      </c>
      <c r="C110" s="47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.75" customHeight="1">
      <c r="A111" s="7"/>
      <c r="B111" s="53" t="s">
        <v>169</v>
      </c>
      <c r="C111" s="47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.75" customHeight="1">
      <c r="A112" s="7"/>
      <c r="B112" s="53" t="s">
        <v>170</v>
      </c>
      <c r="C112" s="4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.75" customHeight="1">
      <c r="A113" s="7"/>
      <c r="B113" s="53" t="s">
        <v>171</v>
      </c>
      <c r="C113" s="4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.75" customHeight="1">
      <c r="A114" s="7"/>
      <c r="B114" s="53" t="s">
        <v>172</v>
      </c>
      <c r="C114" s="47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.75" customHeight="1">
      <c r="A115" s="7"/>
      <c r="B115" s="53" t="s">
        <v>173</v>
      </c>
      <c r="C115" s="47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.75" customHeight="1">
      <c r="A116" s="7"/>
      <c r="B116" s="53" t="s">
        <v>174</v>
      </c>
      <c r="C116" s="47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.75" customHeight="1">
      <c r="A117" s="7"/>
      <c r="B117" s="53" t="s">
        <v>175</v>
      </c>
      <c r="C117" s="47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.75" customHeight="1">
      <c r="A118" s="7"/>
      <c r="B118" s="53" t="s">
        <v>176</v>
      </c>
      <c r="C118" s="47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.75" customHeight="1"/>
    <row r="138" spans="1:17" ht="15.75" customHeight="1"/>
    <row r="139" spans="1:17" ht="15.75" customHeight="1"/>
    <row r="140" spans="1:17" ht="15.75" customHeight="1"/>
    <row r="141" spans="1:17" ht="15.75" customHeight="1"/>
    <row r="142" spans="1:17" ht="15.75" customHeight="1"/>
    <row r="143" spans="1:17" ht="15.75" customHeight="1"/>
    <row r="144" spans="1:17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6:E16"/>
    <mergeCell ref="F16:H16"/>
    <mergeCell ref="F88:I88"/>
    <mergeCell ref="D53:I53"/>
    <mergeCell ref="M7:O7"/>
    <mergeCell ref="M9:O9"/>
    <mergeCell ref="M11:O11"/>
    <mergeCell ref="M13:O13"/>
    <mergeCell ref="M15:O15"/>
  </mergeCells>
  <pageMargins left="0.78749999999999998" right="0.78749999999999998" top="1.05277777777778" bottom="1.05277777777778" header="0" footer="0"/>
  <pageSetup paperSize="9" orientation="portrait"/>
  <headerFooter>
    <oddHeader>&amp;Cffffff&amp;A</oddHeader>
    <oddFooter>&amp;CffffffСтраница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C827A-B796-4A5E-8520-61561F46929B}">
  <dimension ref="A1:S1000"/>
  <sheetViews>
    <sheetView tabSelected="1" topLeftCell="A59" workbookViewId="0">
      <selection activeCell="I84" sqref="I84"/>
    </sheetView>
  </sheetViews>
  <sheetFormatPr defaultColWidth="12.5703125" defaultRowHeight="12.75"/>
  <cols>
    <col min="20" max="26" width="11.42578125" customWidth="1"/>
  </cols>
  <sheetData>
    <row r="1" spans="1:17" ht="15.75" customHeight="1">
      <c r="A1" s="1" t="s">
        <v>0</v>
      </c>
    </row>
    <row r="2" spans="1:17" ht="15.75" customHeight="1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.75" customHeight="1">
      <c r="A4" s="3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.75" customHeight="1" thickBot="1">
      <c r="A5" s="1"/>
      <c r="B5" s="1"/>
      <c r="C5" s="4"/>
      <c r="D5" s="5" t="s">
        <v>4</v>
      </c>
      <c r="E5" s="6"/>
      <c r="F5" s="1"/>
      <c r="G5" s="4"/>
      <c r="H5" s="4"/>
      <c r="I5" s="6"/>
      <c r="J5" s="1"/>
      <c r="K5" s="1"/>
      <c r="L5" s="1"/>
      <c r="M5" s="1"/>
      <c r="N5" s="1"/>
      <c r="O5" s="1"/>
      <c r="P5" s="1"/>
      <c r="Q5" s="1"/>
    </row>
    <row r="6" spans="1:17" ht="15.75" customHeight="1" thickTop="1" thickBot="1">
      <c r="A6" s="1"/>
      <c r="B6" s="7"/>
      <c r="C6" s="8" t="s">
        <v>5</v>
      </c>
      <c r="D6" s="9"/>
      <c r="E6" s="10">
        <v>7000</v>
      </c>
      <c r="F6" s="7" t="s">
        <v>6</v>
      </c>
      <c r="G6" s="8" t="s">
        <v>7</v>
      </c>
      <c r="H6" s="9"/>
      <c r="I6" s="10">
        <v>0.35</v>
      </c>
      <c r="J6" t="s">
        <v>394</v>
      </c>
      <c r="K6" s="1"/>
      <c r="L6" s="1"/>
      <c r="M6" s="1"/>
      <c r="N6" s="1"/>
      <c r="O6" s="1"/>
      <c r="P6" s="1"/>
      <c r="Q6" s="1"/>
    </row>
    <row r="7" spans="1:17" ht="15.75" customHeight="1" thickTop="1" thickBot="1">
      <c r="A7" s="1"/>
      <c r="B7" s="7"/>
      <c r="C7" s="11" t="s">
        <v>8</v>
      </c>
      <c r="D7" s="12" t="s">
        <v>9</v>
      </c>
      <c r="E7" s="10">
        <v>0.8</v>
      </c>
      <c r="F7" s="7"/>
      <c r="G7" s="8" t="s">
        <v>10</v>
      </c>
      <c r="H7" s="9"/>
      <c r="I7" s="13">
        <v>1.4</v>
      </c>
      <c r="J7" s="1" t="s">
        <v>392</v>
      </c>
      <c r="K7" s="1"/>
      <c r="L7" s="1"/>
      <c r="M7" s="120"/>
      <c r="N7" s="118"/>
      <c r="O7" s="118"/>
      <c r="P7" s="1"/>
      <c r="Q7" s="1"/>
    </row>
    <row r="8" spans="1:17" ht="15.75" customHeight="1" thickTop="1" thickBot="1">
      <c r="A8" s="1"/>
      <c r="B8" s="1"/>
      <c r="C8" s="7"/>
      <c r="D8" s="12" t="s">
        <v>11</v>
      </c>
      <c r="E8" s="10">
        <v>0.03</v>
      </c>
      <c r="F8" s="1"/>
      <c r="G8" s="14" t="s">
        <v>12</v>
      </c>
      <c r="H8" s="4"/>
      <c r="I8" s="4"/>
      <c r="J8" s="1"/>
      <c r="K8" s="1"/>
      <c r="L8" s="1"/>
      <c r="M8" s="1"/>
      <c r="N8" s="1"/>
      <c r="O8" s="1"/>
      <c r="P8" s="1"/>
      <c r="Q8" s="1"/>
    </row>
    <row r="9" spans="1:17" ht="15.75" customHeight="1" thickTop="1" thickBot="1">
      <c r="A9" s="1"/>
      <c r="B9" s="1"/>
      <c r="C9" s="7"/>
      <c r="D9" s="12" t="s">
        <v>13</v>
      </c>
      <c r="E9" s="10">
        <v>0.04</v>
      </c>
      <c r="F9" s="7"/>
      <c r="G9" s="4" t="s">
        <v>14</v>
      </c>
      <c r="H9" s="15"/>
      <c r="I9" s="15">
        <v>5</v>
      </c>
      <c r="J9" s="1"/>
      <c r="K9" s="1"/>
      <c r="L9" s="1"/>
      <c r="M9" s="120"/>
      <c r="N9" s="118"/>
      <c r="O9" s="118"/>
      <c r="P9" s="1"/>
      <c r="Q9" s="1"/>
    </row>
    <row r="10" spans="1:17" ht="15.75" customHeight="1" thickTop="1" thickBot="1">
      <c r="A10" s="1"/>
      <c r="B10" s="1"/>
      <c r="C10" s="7"/>
      <c r="D10" s="12" t="s">
        <v>15</v>
      </c>
      <c r="E10" s="10">
        <v>0.05</v>
      </c>
      <c r="F10" s="7"/>
      <c r="G10" s="4" t="s">
        <v>16</v>
      </c>
      <c r="H10" s="15"/>
      <c r="I10" s="15">
        <v>4</v>
      </c>
      <c r="J10" s="1"/>
      <c r="K10" s="1"/>
      <c r="L10" s="1"/>
      <c r="M10" s="1"/>
      <c r="N10" s="1"/>
      <c r="O10" s="1"/>
      <c r="P10" s="1"/>
      <c r="Q10" s="1"/>
    </row>
    <row r="11" spans="1:17" ht="15.75" customHeight="1" thickTop="1" thickBot="1">
      <c r="A11" s="1"/>
      <c r="B11" s="1"/>
      <c r="C11" s="7"/>
      <c r="D11" s="12" t="s">
        <v>17</v>
      </c>
      <c r="E11" s="10">
        <v>3.0000000000000001E-3</v>
      </c>
      <c r="F11" s="7"/>
      <c r="G11" s="4" t="s">
        <v>18</v>
      </c>
      <c r="H11" s="15"/>
      <c r="I11" s="15">
        <v>3</v>
      </c>
      <c r="J11" s="1"/>
      <c r="K11" s="1"/>
      <c r="L11" s="1"/>
      <c r="M11" s="120"/>
      <c r="N11" s="118"/>
      <c r="O11" s="118"/>
      <c r="P11" s="1"/>
      <c r="Q11" s="1"/>
    </row>
    <row r="12" spans="1:17" ht="15.75" customHeight="1" thickTop="1" thickBot="1">
      <c r="A12" s="1"/>
      <c r="B12" s="1"/>
      <c r="C12" s="7"/>
      <c r="D12" s="12" t="s">
        <v>19</v>
      </c>
      <c r="E12" s="6">
        <f>1-(E7+E8+E9+E10+E11)</f>
        <v>7.6999999999999846E-2</v>
      </c>
      <c r="F12" s="7"/>
      <c r="G12" s="4" t="s">
        <v>20</v>
      </c>
      <c r="H12" s="15"/>
      <c r="I12" s="15">
        <v>2</v>
      </c>
      <c r="J12" s="1"/>
      <c r="K12" s="1"/>
      <c r="L12" s="1"/>
      <c r="M12" s="1"/>
      <c r="N12" s="1"/>
      <c r="O12" s="1"/>
      <c r="P12" s="1"/>
      <c r="Q12" s="1"/>
    </row>
    <row r="13" spans="1:17" ht="15.75" customHeight="1" thickTop="1" thickBot="1">
      <c r="A13" s="1"/>
      <c r="B13" s="1"/>
      <c r="C13" s="1"/>
      <c r="D13" s="16">
        <v>22.4</v>
      </c>
      <c r="E13" s="1"/>
      <c r="F13" s="7"/>
      <c r="G13" s="4" t="s">
        <v>21</v>
      </c>
      <c r="H13" s="15"/>
      <c r="I13" s="15">
        <v>1</v>
      </c>
      <c r="J13" s="1"/>
      <c r="K13" s="1"/>
      <c r="L13" s="1"/>
      <c r="M13" s="120"/>
      <c r="N13" s="118"/>
      <c r="O13" s="118"/>
      <c r="P13" s="1"/>
      <c r="Q13" s="1"/>
    </row>
    <row r="14" spans="1:17" ht="15.75" customHeight="1" thickTop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.75" customHeight="1" thickBot="1">
      <c r="A15" s="4"/>
      <c r="B15" s="4"/>
      <c r="C15" s="4"/>
      <c r="D15" s="4"/>
      <c r="E15" s="5" t="s">
        <v>22</v>
      </c>
      <c r="F15" s="4"/>
      <c r="G15" s="4"/>
      <c r="H15" s="4"/>
      <c r="I15" s="4"/>
      <c r="J15" s="4"/>
      <c r="K15" s="1"/>
      <c r="L15" s="1"/>
      <c r="M15" s="120"/>
      <c r="N15" s="118"/>
      <c r="O15" s="118"/>
      <c r="P15" s="1"/>
      <c r="Q15" s="1"/>
    </row>
    <row r="16" spans="1:17" ht="15.75" customHeight="1" thickTop="1" thickBot="1">
      <c r="A16" s="17"/>
      <c r="B16" s="15"/>
      <c r="C16" s="114" t="s">
        <v>23</v>
      </c>
      <c r="D16" s="115"/>
      <c r="E16" s="116"/>
      <c r="F16" s="114" t="s">
        <v>24</v>
      </c>
      <c r="G16" s="115"/>
      <c r="H16" s="116"/>
      <c r="I16" s="8" t="s">
        <v>25</v>
      </c>
      <c r="J16" s="15"/>
      <c r="K16" s="1"/>
      <c r="L16" s="1"/>
      <c r="M16" s="1"/>
      <c r="N16" s="1"/>
      <c r="O16" s="1">
        <f>O23/2</f>
        <v>-17.150000000000091</v>
      </c>
      <c r="P16" s="1"/>
      <c r="Q16" s="1"/>
    </row>
    <row r="17" spans="1:19" ht="15.75" customHeight="1" thickTop="1" thickBot="1">
      <c r="A17" s="18" t="s">
        <v>26</v>
      </c>
      <c r="B17" s="19" t="s">
        <v>27</v>
      </c>
      <c r="C17" s="19" t="s">
        <v>28</v>
      </c>
      <c r="D17" s="19" t="s">
        <v>29</v>
      </c>
      <c r="E17" s="19" t="s">
        <v>30</v>
      </c>
      <c r="F17" s="19" t="s">
        <v>31</v>
      </c>
      <c r="G17" s="19" t="s">
        <v>32</v>
      </c>
      <c r="H17" s="19" t="s">
        <v>33</v>
      </c>
      <c r="I17" s="19" t="s">
        <v>34</v>
      </c>
      <c r="J17" s="19" t="s">
        <v>35</v>
      </c>
      <c r="K17" s="1"/>
      <c r="L17" s="1"/>
      <c r="M17" s="1" t="s">
        <v>35</v>
      </c>
      <c r="N17" s="1" t="s">
        <v>34</v>
      </c>
      <c r="O17" s="1" t="s">
        <v>32</v>
      </c>
      <c r="P17" s="1"/>
      <c r="Q17" s="1"/>
    </row>
    <row r="18" spans="1:19" ht="15.75" customHeight="1" thickTop="1" thickBot="1">
      <c r="A18" s="20" t="s">
        <v>9</v>
      </c>
      <c r="B18" s="15">
        <v>16</v>
      </c>
      <c r="C18" s="21">
        <f>D18/D13*B18</f>
        <v>1400</v>
      </c>
      <c r="D18" s="21">
        <f>F29*E7</f>
        <v>1960</v>
      </c>
      <c r="E18" s="22">
        <f>D18/D27</f>
        <v>6.8571428571428561E-2</v>
      </c>
      <c r="F18" s="21">
        <f t="shared" ref="F18:G26" si="0">C18+I18</f>
        <v>12.25</v>
      </c>
      <c r="G18" s="94">
        <f>-O16</f>
        <v>17.150000000000091</v>
      </c>
      <c r="H18" s="22">
        <f>G18/G27</f>
        <v>5.9308630817894573E-4</v>
      </c>
      <c r="I18" s="21">
        <f>J18/D13*B18</f>
        <v>-1387.75</v>
      </c>
      <c r="J18" s="21">
        <f>G18-D18</f>
        <v>-1942.85</v>
      </c>
      <c r="K18" s="1"/>
      <c r="L18" s="1" t="s">
        <v>37</v>
      </c>
      <c r="M18" s="23">
        <f t="shared" ref="M18:M22" si="1">-D18</f>
        <v>-1960</v>
      </c>
      <c r="N18" s="1">
        <f>M18/22.4*B18</f>
        <v>-1400</v>
      </c>
      <c r="O18" s="24">
        <f>M18+D18</f>
        <v>0</v>
      </c>
      <c r="Q18" s="24"/>
      <c r="R18" s="24"/>
    </row>
    <row r="19" spans="1:19" ht="15.75" customHeight="1" thickTop="1" thickBot="1">
      <c r="A19" s="20" t="s">
        <v>11</v>
      </c>
      <c r="B19" s="15">
        <v>30</v>
      </c>
      <c r="C19" s="21">
        <f>D19/D13*B19</f>
        <v>98.4375</v>
      </c>
      <c r="D19" s="21">
        <f>F29*E8</f>
        <v>73.5</v>
      </c>
      <c r="E19" s="22">
        <f>D19/D27</f>
        <v>2.5714285714285713E-3</v>
      </c>
      <c r="F19" s="21">
        <f t="shared" si="0"/>
        <v>0</v>
      </c>
      <c r="G19" s="21">
        <f>D19+(J19)</f>
        <v>0</v>
      </c>
      <c r="H19" s="22">
        <f>G19/G27</f>
        <v>0</v>
      </c>
      <c r="I19" s="21">
        <f>J19/D13*B19</f>
        <v>-98.4375</v>
      </c>
      <c r="J19" s="21">
        <f t="shared" ref="J19:J22" si="2">-D19</f>
        <v>-73.5</v>
      </c>
      <c r="K19" s="1"/>
      <c r="L19" s="1" t="s">
        <v>39</v>
      </c>
      <c r="M19" s="23">
        <f t="shared" si="1"/>
        <v>-73.5</v>
      </c>
      <c r="N19" s="1">
        <f>M19/D13*B19</f>
        <v>-98.4375</v>
      </c>
      <c r="O19" s="24">
        <f>J19+D19</f>
        <v>0</v>
      </c>
      <c r="Q19" s="24"/>
      <c r="R19" s="24"/>
    </row>
    <row r="20" spans="1:19" ht="15.75" customHeight="1" thickTop="1" thickBot="1">
      <c r="A20" s="20" t="s">
        <v>13</v>
      </c>
      <c r="B20" s="15">
        <v>44</v>
      </c>
      <c r="C20" s="21">
        <f>D20/D13*B20</f>
        <v>192.5</v>
      </c>
      <c r="D20" s="21">
        <f>F29*E9</f>
        <v>98</v>
      </c>
      <c r="E20" s="22">
        <f>D20/D27</f>
        <v>3.4285714285714284E-3</v>
      </c>
      <c r="F20" s="21">
        <f t="shared" si="0"/>
        <v>0</v>
      </c>
      <c r="G20" s="21">
        <f t="shared" si="0"/>
        <v>0</v>
      </c>
      <c r="H20" s="22">
        <f>G20/G27</f>
        <v>0</v>
      </c>
      <c r="I20" s="21">
        <f>J20/D13*B20</f>
        <v>-192.5</v>
      </c>
      <c r="J20" s="21">
        <f t="shared" si="2"/>
        <v>-98</v>
      </c>
      <c r="K20" s="1"/>
      <c r="L20" s="1" t="s">
        <v>41</v>
      </c>
      <c r="M20" s="23">
        <f t="shared" si="1"/>
        <v>-98</v>
      </c>
      <c r="N20" s="1">
        <f>M20/D13*B20</f>
        <v>-192.5</v>
      </c>
      <c r="O20" s="23">
        <f t="shared" ref="O20:O26" si="3">M20+D20</f>
        <v>0</v>
      </c>
      <c r="Q20" s="24"/>
      <c r="R20" s="24"/>
      <c r="S20" s="24"/>
    </row>
    <row r="21" spans="1:19" ht="15.75" customHeight="1" thickTop="1" thickBot="1">
      <c r="A21" s="20" t="s">
        <v>15</v>
      </c>
      <c r="B21" s="15">
        <v>58</v>
      </c>
      <c r="C21" s="21">
        <f>D21/D13*B21</f>
        <v>317.1875</v>
      </c>
      <c r="D21" s="21">
        <f>F29*E10</f>
        <v>122.5</v>
      </c>
      <c r="E21" s="22">
        <f>D21/D27</f>
        <v>4.2857142857142851E-3</v>
      </c>
      <c r="F21" s="21">
        <f t="shared" si="0"/>
        <v>0</v>
      </c>
      <c r="G21" s="21">
        <f t="shared" si="0"/>
        <v>0</v>
      </c>
      <c r="H21" s="22">
        <f>G21/G27</f>
        <v>0</v>
      </c>
      <c r="I21" s="21">
        <f>J21/D13*B21</f>
        <v>-317.1875</v>
      </c>
      <c r="J21" s="21">
        <f t="shared" si="2"/>
        <v>-122.5</v>
      </c>
      <c r="K21" s="1"/>
      <c r="L21" s="4" t="s">
        <v>43</v>
      </c>
      <c r="M21" s="23">
        <f t="shared" si="1"/>
        <v>-122.5</v>
      </c>
      <c r="N21" s="1">
        <f>M21/D13*B21</f>
        <v>-317.1875</v>
      </c>
      <c r="O21" s="23">
        <f t="shared" si="3"/>
        <v>0</v>
      </c>
      <c r="Q21" s="24"/>
      <c r="R21" s="24"/>
    </row>
    <row r="22" spans="1:19" ht="15.75" customHeight="1" thickTop="1" thickBot="1">
      <c r="A22" s="20" t="s">
        <v>17</v>
      </c>
      <c r="B22" s="15">
        <v>72</v>
      </c>
      <c r="C22" s="21">
        <f>D22/D13*B22</f>
        <v>23.625000000000004</v>
      </c>
      <c r="D22" s="21">
        <f>F29*E11</f>
        <v>7.3500000000000005</v>
      </c>
      <c r="E22" s="22">
        <f>D22/D27</f>
        <v>2.5714285714285715E-4</v>
      </c>
      <c r="F22" s="21">
        <f t="shared" si="0"/>
        <v>0</v>
      </c>
      <c r="G22" s="25">
        <f t="shared" si="0"/>
        <v>0</v>
      </c>
      <c r="H22" s="22">
        <f>G22/G27</f>
        <v>0</v>
      </c>
      <c r="I22" s="21">
        <f>J22/D13*B22</f>
        <v>-23.625000000000004</v>
      </c>
      <c r="J22" s="21">
        <f t="shared" si="2"/>
        <v>-7.3500000000000005</v>
      </c>
      <c r="K22" s="7"/>
      <c r="L22" s="26" t="s">
        <v>45</v>
      </c>
      <c r="M22" s="23">
        <f t="shared" si="1"/>
        <v>-7.3500000000000005</v>
      </c>
      <c r="N22" s="1">
        <f>M22/D13*B22</f>
        <v>-23.625000000000004</v>
      </c>
      <c r="O22" s="23">
        <f t="shared" si="3"/>
        <v>0</v>
      </c>
      <c r="R22" s="24"/>
      <c r="S22" s="1"/>
    </row>
    <row r="23" spans="1:19" ht="15.75" customHeight="1" thickTop="1" thickBot="1">
      <c r="A23" s="20" t="s">
        <v>46</v>
      </c>
      <c r="B23" s="15">
        <v>32</v>
      </c>
      <c r="C23" s="21">
        <f>D23/D13*B23</f>
        <v>7840.0000000000009</v>
      </c>
      <c r="D23" s="21">
        <f>F29*E7*I7*2</f>
        <v>5488</v>
      </c>
      <c r="E23" s="22">
        <f>D23/D27</f>
        <v>0.19199999999999998</v>
      </c>
      <c r="F23" s="27">
        <f t="shared" si="0"/>
        <v>0</v>
      </c>
      <c r="G23" s="28">
        <f t="shared" si="0"/>
        <v>0</v>
      </c>
      <c r="H23" s="22">
        <f>G23/G27</f>
        <v>0</v>
      </c>
      <c r="I23" s="21">
        <f>J23/D13*B23</f>
        <v>-7840.0000000000009</v>
      </c>
      <c r="J23" s="21">
        <f>J22*8+J21*6.5+J20*5+J19*3.5+J18*2</f>
        <v>-5488</v>
      </c>
      <c r="K23" s="7"/>
      <c r="L23" s="29" t="s">
        <v>47</v>
      </c>
      <c r="M23" s="1">
        <f>(M22*8+M21*6.5+M20*5+M19*3.5+M18*2)</f>
        <v>-5522.3</v>
      </c>
      <c r="N23" s="1">
        <f>M23/D13*B23</f>
        <v>-7889.0000000000009</v>
      </c>
      <c r="O23" s="30">
        <f t="shared" si="3"/>
        <v>-34.300000000000182</v>
      </c>
      <c r="Q23" s="24"/>
      <c r="R23" s="24"/>
      <c r="S23" s="1"/>
    </row>
    <row r="24" spans="1:19" ht="15.75" customHeight="1" thickTop="1" thickBot="1">
      <c r="A24" s="20" t="s">
        <v>48</v>
      </c>
      <c r="B24" s="15">
        <v>44</v>
      </c>
      <c r="C24" s="21">
        <f>D24/D13*B24</f>
        <v>0</v>
      </c>
      <c r="D24" s="21">
        <v>0</v>
      </c>
      <c r="E24" s="22">
        <f>D24/D27</f>
        <v>0</v>
      </c>
      <c r="F24" s="21">
        <f t="shared" si="0"/>
        <v>5717.25</v>
      </c>
      <c r="G24" s="21">
        <f t="shared" si="0"/>
        <v>2910.6</v>
      </c>
      <c r="H24" s="22">
        <f>G24/G27</f>
        <v>0.10065521915951198</v>
      </c>
      <c r="I24" s="21">
        <f>J24/D13*B24</f>
        <v>5717.25</v>
      </c>
      <c r="J24" s="21">
        <f>-J22*5+(-J21*4)+(-J20*3)+(-J19*2)+(-J18*1)</f>
        <v>2910.6</v>
      </c>
      <c r="K24" s="7"/>
      <c r="L24" s="31" t="s">
        <v>49</v>
      </c>
      <c r="M24" s="23">
        <f>-(M22*8+M21*4+M20*3+M19*2+M18)</f>
        <v>2949.8</v>
      </c>
      <c r="N24" s="1">
        <f>M24/D13*B24</f>
        <v>5794.2500000000009</v>
      </c>
      <c r="O24" s="23">
        <f t="shared" si="3"/>
        <v>2949.8</v>
      </c>
      <c r="Q24" s="24"/>
      <c r="R24" s="24"/>
      <c r="S24" s="1"/>
    </row>
    <row r="25" spans="1:19" ht="15.75" customHeight="1" thickTop="1" thickBot="1">
      <c r="A25" s="20" t="s">
        <v>50</v>
      </c>
      <c r="B25" s="15">
        <v>18</v>
      </c>
      <c r="C25" s="21">
        <f>D25/D13*B25</f>
        <v>0</v>
      </c>
      <c r="D25" s="21">
        <v>0</v>
      </c>
      <c r="E25" s="22">
        <f>D25/D27</f>
        <v>0</v>
      </c>
      <c r="F25" s="21">
        <f t="shared" si="0"/>
        <v>4142.2499999999991</v>
      </c>
      <c r="G25" s="21">
        <f t="shared" si="0"/>
        <v>5154.7999999999993</v>
      </c>
      <c r="H25" s="22">
        <f>G25/G27</f>
        <v>0.17826479891549929</v>
      </c>
      <c r="I25" s="21">
        <f>J25/D13*B25</f>
        <v>4142.2499999999991</v>
      </c>
      <c r="J25" s="21">
        <f>-J22*6+(-J21*5)+(-J20*4)+(-J19*3)+(-J18*2)</f>
        <v>5154.7999999999993</v>
      </c>
      <c r="K25" s="7"/>
      <c r="L25" s="31" t="s">
        <v>51</v>
      </c>
      <c r="M25" s="1">
        <f>-(M22*6+M21*5+M20*4+M19*3+M18*2)</f>
        <v>5189.1000000000004</v>
      </c>
      <c r="N25" s="1">
        <f>M25/D13*B25</f>
        <v>4169.8125000000009</v>
      </c>
      <c r="O25" s="23">
        <f t="shared" si="3"/>
        <v>5189.1000000000004</v>
      </c>
      <c r="Q25" s="24"/>
      <c r="R25" s="24"/>
      <c r="S25" s="1"/>
    </row>
    <row r="26" spans="1:19" ht="15.75" customHeight="1" thickTop="1" thickBot="1">
      <c r="A26" s="20" t="s">
        <v>52</v>
      </c>
      <c r="B26" s="15">
        <v>28</v>
      </c>
      <c r="C26" s="25">
        <f>D26/D13*B26</f>
        <v>26042.479166666668</v>
      </c>
      <c r="D26" s="21">
        <f>D23*79/21+F29*(1-E7-E8-E9-E10-E11)</f>
        <v>20833.983333333334</v>
      </c>
      <c r="E26" s="32">
        <f>D26/D27</f>
        <v>0.72888571428571425</v>
      </c>
      <c r="F26" s="25">
        <f t="shared" si="0"/>
        <v>26042.479166666668</v>
      </c>
      <c r="G26" s="21">
        <f t="shared" si="0"/>
        <v>20833.983333333334</v>
      </c>
      <c r="H26" s="32">
        <f>G26/G27</f>
        <v>0.72048689561680979</v>
      </c>
      <c r="I26" s="25">
        <f>J26/D13*B26</f>
        <v>0</v>
      </c>
      <c r="J26" s="21">
        <v>0</v>
      </c>
      <c r="K26" s="1"/>
      <c r="L26" s="31" t="s">
        <v>53</v>
      </c>
      <c r="M26" s="1" t="s">
        <v>447</v>
      </c>
      <c r="N26" s="1" t="e">
        <f>M26/D13*B26</f>
        <v>#VALUE!</v>
      </c>
      <c r="O26" s="24" t="e">
        <f t="shared" si="3"/>
        <v>#VALUE!</v>
      </c>
      <c r="P26" s="24"/>
      <c r="Q26" s="24"/>
    </row>
    <row r="27" spans="1:19" ht="15.75" customHeight="1" thickTop="1" thickBot="1">
      <c r="A27" s="33" t="s">
        <v>54</v>
      </c>
      <c r="B27" s="9"/>
      <c r="C27" s="28">
        <f t="shared" ref="C27:J27" si="4">SUM(C18:C26)</f>
        <v>35914.229166666672</v>
      </c>
      <c r="D27" s="27">
        <f t="shared" si="4"/>
        <v>28583.333333333336</v>
      </c>
      <c r="E27" s="34">
        <f t="shared" si="4"/>
        <v>1</v>
      </c>
      <c r="F27" s="28">
        <f t="shared" si="4"/>
        <v>35914.229166666672</v>
      </c>
      <c r="G27" s="27">
        <f t="shared" si="4"/>
        <v>28916.533333333333</v>
      </c>
      <c r="H27" s="34">
        <f t="shared" si="4"/>
        <v>1</v>
      </c>
      <c r="I27" s="28">
        <f t="shared" si="4"/>
        <v>-9.0949470177292824E-13</v>
      </c>
      <c r="J27" s="21">
        <f t="shared" si="4"/>
        <v>333.19999999999891</v>
      </c>
      <c r="K27" s="1"/>
      <c r="L27" s="1"/>
      <c r="M27" s="35"/>
      <c r="N27" s="1" t="e">
        <f t="shared" ref="N27:O27" si="5">SUM(N18:N26)</f>
        <v>#VALUE!</v>
      </c>
      <c r="O27" s="24" t="e">
        <f t="shared" si="5"/>
        <v>#VALUE!</v>
      </c>
      <c r="P27" s="24"/>
      <c r="Q27" s="24"/>
    </row>
    <row r="28" spans="1:19" ht="15.75" customHeight="1" thickTop="1" thickBot="1">
      <c r="A28" s="1"/>
      <c r="B28" s="1"/>
      <c r="C28" s="1"/>
      <c r="D28" s="1"/>
      <c r="E28" s="1"/>
      <c r="F28" s="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9" ht="15.75" customHeight="1" thickTop="1" thickBot="1">
      <c r="A29" s="71"/>
      <c r="B29" s="1"/>
      <c r="C29" s="37" t="s">
        <v>55</v>
      </c>
      <c r="D29" s="1"/>
      <c r="E29" s="7"/>
      <c r="F29" s="15">
        <f>E6*I6</f>
        <v>2450</v>
      </c>
      <c r="G29" s="1"/>
      <c r="H29" s="1" t="s">
        <v>56</v>
      </c>
      <c r="I29" s="1">
        <v>450</v>
      </c>
      <c r="J29" s="1" t="s">
        <v>57</v>
      </c>
      <c r="K29" s="1"/>
      <c r="L29" s="1"/>
      <c r="M29" s="1"/>
      <c r="N29" s="1"/>
      <c r="O29" s="1"/>
      <c r="P29" s="1"/>
      <c r="Q29" s="1"/>
    </row>
    <row r="30" spans="1:19" ht="15.75" customHeight="1" thickTop="1" thickBot="1">
      <c r="A30" s="38"/>
      <c r="B30" s="39" t="s">
        <v>58</v>
      </c>
      <c r="C30" s="40" t="s">
        <v>59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9" ht="15.75" customHeight="1" thickTop="1" thickBot="1">
      <c r="A31" s="41" t="s">
        <v>26</v>
      </c>
      <c r="B31" s="42" t="s">
        <v>60</v>
      </c>
      <c r="C31" s="42" t="s">
        <v>61</v>
      </c>
      <c r="D31" s="1"/>
      <c r="E31" s="1"/>
      <c r="F31" s="1"/>
      <c r="G31" s="1"/>
      <c r="H31" s="1"/>
      <c r="I31" s="1"/>
      <c r="J31" s="1"/>
      <c r="K31" s="1"/>
      <c r="L31" s="1" t="s">
        <v>304</v>
      </c>
      <c r="M31" s="1"/>
      <c r="N31" s="1"/>
      <c r="O31" s="1"/>
      <c r="P31" s="1"/>
      <c r="Q31" s="1"/>
    </row>
    <row r="32" spans="1:19" ht="15.75" customHeight="1" thickTop="1" thickBot="1">
      <c r="A32" s="20" t="s">
        <v>9</v>
      </c>
      <c r="B32" s="43">
        <v>35.700000000000003</v>
      </c>
      <c r="C32" s="43">
        <v>-74.599999999999994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 thickTop="1" thickBot="1">
      <c r="A33" s="20" t="s">
        <v>11</v>
      </c>
      <c r="B33" s="43">
        <v>52.49</v>
      </c>
      <c r="C33" s="43">
        <v>-84</v>
      </c>
      <c r="D33" s="1"/>
      <c r="E33" s="1"/>
      <c r="F33" s="3" t="s">
        <v>64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 thickTop="1" thickBot="1">
      <c r="A34" s="20" t="s">
        <v>13</v>
      </c>
      <c r="B34" s="43">
        <v>73.599999999999994</v>
      </c>
      <c r="C34" s="43">
        <f>-103.85</f>
        <v>-103.85</v>
      </c>
      <c r="D34" s="1"/>
      <c r="E34" s="1"/>
      <c r="F34" s="4"/>
      <c r="G34" s="4"/>
      <c r="H34" s="4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 thickTop="1" thickBot="1">
      <c r="A35" s="20" t="s">
        <v>15</v>
      </c>
      <c r="B35" s="43">
        <v>98.49</v>
      </c>
      <c r="C35" s="43">
        <f>-125.77</f>
        <v>-125.77</v>
      </c>
      <c r="D35" s="1"/>
      <c r="E35" s="7"/>
      <c r="F35" s="44" t="s">
        <v>67</v>
      </c>
      <c r="G35" s="44" t="s">
        <v>68</v>
      </c>
      <c r="H35" s="45" t="s">
        <v>69</v>
      </c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 thickTop="1" thickBot="1">
      <c r="A36" s="20" t="s">
        <v>17</v>
      </c>
      <c r="B36" s="43">
        <v>120.04</v>
      </c>
      <c r="C36" s="43">
        <f>-146.36</f>
        <v>-146.36000000000001</v>
      </c>
      <c r="D36" s="1"/>
      <c r="E36" s="7" t="s">
        <v>71</v>
      </c>
      <c r="F36" s="43">
        <f>I29*B42*D27/22.4*1000/3600</f>
        <v>4809783.3072916679</v>
      </c>
      <c r="G36" s="46">
        <f>(J22*C45/1+J21*C46/1+J20*C47/1+J19*C48/1+J18*C49/1)/22.4*(1000/3600)*1000</f>
        <v>27457403.385416672</v>
      </c>
      <c r="H36" s="47">
        <f>F36+G36</f>
        <v>32267186.69270834</v>
      </c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 thickTop="1" thickBot="1">
      <c r="A37" s="20" t="s">
        <v>46</v>
      </c>
      <c r="B37" s="43">
        <v>29.38</v>
      </c>
      <c r="C37" s="43">
        <f>0</f>
        <v>0</v>
      </c>
      <c r="D37" s="1"/>
      <c r="E37" s="1"/>
      <c r="F37" s="1"/>
      <c r="G37" s="1"/>
      <c r="H37" s="1"/>
      <c r="I37" s="1"/>
      <c r="J37" s="1"/>
      <c r="K37" s="1"/>
      <c r="L37" s="1"/>
      <c r="O37" s="1"/>
      <c r="P37" s="1"/>
      <c r="Q37" s="1"/>
    </row>
    <row r="38" spans="1:17" ht="15.75" customHeight="1" thickTop="1" thickBot="1">
      <c r="A38" s="20" t="s">
        <v>48</v>
      </c>
      <c r="B38" s="43">
        <v>37.14</v>
      </c>
      <c r="C38" s="43">
        <f>-393.51</f>
        <v>-393.51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Q38" s="1"/>
    </row>
    <row r="39" spans="1:17" ht="15.75" customHeight="1" thickTop="1" thickBot="1">
      <c r="A39" s="20" t="s">
        <v>50</v>
      </c>
      <c r="B39" s="43">
        <v>33.6</v>
      </c>
      <c r="C39" s="43">
        <f>-241.83</f>
        <v>-241.83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 thickTop="1" thickBot="1">
      <c r="A40" s="20" t="s">
        <v>52</v>
      </c>
      <c r="B40" s="43">
        <v>29.12</v>
      </c>
      <c r="C40" s="43">
        <f>0</f>
        <v>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 thickTop="1" thickBot="1">
      <c r="A41" s="4"/>
      <c r="B41" s="48"/>
      <c r="C41" s="2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 thickTop="1" thickBot="1">
      <c r="A42" s="49" t="s">
        <v>76</v>
      </c>
      <c r="B42" s="47">
        <f>B32*E18+B33*E19+B34*E20+B35*E21+B36*E22+B37*E23+B38*E24+B39*E25+B40*E26</f>
        <v>30.15439657142857</v>
      </c>
      <c r="C42" s="50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 thickTop="1" thickBot="1">
      <c r="A43" s="49" t="s">
        <v>77</v>
      </c>
      <c r="B43" s="47">
        <f>B32*H18+B33*H19+B34*H20+B35*H21+B36*H22+B37*H23+B38*H24+B39*H25+B40*H26</f>
        <v>30.729783664708542</v>
      </c>
      <c r="C43" s="5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 thickTop="1" thickBot="1">
      <c r="A44" s="1"/>
      <c r="B44" s="52"/>
      <c r="C44" s="4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 thickTop="1" thickBot="1">
      <c r="A45" s="7"/>
      <c r="B45" s="53" t="s">
        <v>78</v>
      </c>
      <c r="C45" s="47">
        <f>((5*C38+6*C39)-(C36+8*C37))</f>
        <v>-3272.1699999999996</v>
      </c>
      <c r="D45" s="1" t="s">
        <v>79</v>
      </c>
      <c r="E45" s="1"/>
      <c r="F45" s="1"/>
      <c r="G45" s="1"/>
      <c r="H45" s="1"/>
      <c r="I45" s="1"/>
      <c r="J45" s="1"/>
      <c r="K45" s="4"/>
      <c r="L45" s="54" t="s">
        <v>8</v>
      </c>
      <c r="M45" s="54" t="s">
        <v>80</v>
      </c>
      <c r="N45" s="1"/>
      <c r="O45" s="1"/>
      <c r="P45" s="1"/>
      <c r="Q45" s="1"/>
    </row>
    <row r="46" spans="1:17" ht="15.75" customHeight="1" thickTop="1" thickBot="1">
      <c r="A46" s="7"/>
      <c r="B46" s="53" t="s">
        <v>81</v>
      </c>
      <c r="C46" s="47">
        <f>((4*C38+5*C39)-(1*C35))</f>
        <v>-2657.42</v>
      </c>
      <c r="D46" s="1" t="s">
        <v>79</v>
      </c>
      <c r="E46" s="1"/>
      <c r="F46" s="1"/>
      <c r="G46" s="1"/>
      <c r="H46" s="1"/>
      <c r="I46" s="1"/>
      <c r="J46" s="7"/>
      <c r="K46" s="55" t="s">
        <v>82</v>
      </c>
      <c r="L46" s="10">
        <v>0.8</v>
      </c>
      <c r="M46" s="43">
        <v>35.700000000000003</v>
      </c>
      <c r="N46" s="1"/>
      <c r="O46" s="1"/>
      <c r="P46" s="1"/>
      <c r="Q46" s="1"/>
    </row>
    <row r="47" spans="1:17" ht="15.75" customHeight="1" thickTop="1" thickBot="1">
      <c r="A47" s="7"/>
      <c r="B47" s="53" t="s">
        <v>83</v>
      </c>
      <c r="C47" s="47">
        <f>((3*C38+4*C39)-(1*C34))</f>
        <v>-2044</v>
      </c>
      <c r="D47" s="1" t="s">
        <v>79</v>
      </c>
      <c r="E47" s="1"/>
      <c r="F47" s="1"/>
      <c r="G47" s="1"/>
      <c r="H47" s="1"/>
      <c r="I47" s="1"/>
      <c r="J47" s="7"/>
      <c r="K47" s="55" t="s">
        <v>84</v>
      </c>
      <c r="L47" s="10">
        <v>0.03</v>
      </c>
      <c r="M47" s="43">
        <v>52.49</v>
      </c>
      <c r="N47" s="1"/>
      <c r="O47" s="1"/>
      <c r="P47" s="1"/>
      <c r="Q47" s="1"/>
    </row>
    <row r="48" spans="1:17" ht="15.75" customHeight="1" thickTop="1" thickBot="1">
      <c r="A48" s="7"/>
      <c r="B48" s="53" t="s">
        <v>85</v>
      </c>
      <c r="C48" s="47">
        <f>((2*C38+3*C39)-(C33))</f>
        <v>-1428.51</v>
      </c>
      <c r="D48" s="1" t="s">
        <v>79</v>
      </c>
      <c r="E48" s="1"/>
      <c r="F48" s="1"/>
      <c r="G48" s="1"/>
      <c r="H48" s="1"/>
      <c r="I48" s="1"/>
      <c r="J48" s="7"/>
      <c r="K48" s="55" t="s">
        <v>86</v>
      </c>
      <c r="L48" s="10">
        <v>0.04</v>
      </c>
      <c r="M48" s="43">
        <v>73.599999999999994</v>
      </c>
      <c r="N48" s="1"/>
      <c r="O48" s="1"/>
      <c r="P48" s="1"/>
      <c r="Q48" s="1"/>
    </row>
    <row r="49" spans="1:17" ht="15.75" customHeight="1" thickTop="1" thickBot="1">
      <c r="A49" s="7"/>
      <c r="B49" s="53" t="s">
        <v>87</v>
      </c>
      <c r="C49" s="47">
        <f>((1*C38+2*C39)-(1*C32))</f>
        <v>-802.57</v>
      </c>
      <c r="D49" s="1" t="s">
        <v>79</v>
      </c>
      <c r="E49" s="1"/>
      <c r="F49" s="1"/>
      <c r="G49" s="1"/>
      <c r="H49" s="1"/>
      <c r="I49" s="1"/>
      <c r="J49" s="7"/>
      <c r="K49" s="55" t="s">
        <v>88</v>
      </c>
      <c r="L49" s="10">
        <v>0.05</v>
      </c>
      <c r="M49" s="43">
        <v>98.49</v>
      </c>
      <c r="N49" s="5" t="s">
        <v>89</v>
      </c>
      <c r="O49" s="1"/>
      <c r="P49" s="1"/>
      <c r="Q49" s="1"/>
    </row>
    <row r="50" spans="1:17" ht="15.75" customHeight="1" thickTop="1" thickBot="1">
      <c r="A50" s="1"/>
      <c r="B50" s="24"/>
      <c r="C50" s="24"/>
      <c r="D50" s="1"/>
      <c r="E50" s="1"/>
      <c r="F50" s="1"/>
      <c r="G50" s="1"/>
      <c r="H50" s="1"/>
      <c r="I50" s="1"/>
      <c r="J50" s="7"/>
      <c r="K50" s="55" t="s">
        <v>90</v>
      </c>
      <c r="L50" s="10">
        <v>3.0000000000000001E-3</v>
      </c>
      <c r="M50" s="43">
        <v>120.04</v>
      </c>
      <c r="N50" s="56">
        <f>L46*M46+L47*M47+L48*M48+L49*M49+L50*M50+L51*M51</f>
        <v>40.605560000000004</v>
      </c>
      <c r="O50" s="1"/>
      <c r="P50" s="1"/>
      <c r="Q50" s="1"/>
    </row>
    <row r="51" spans="1:17" ht="15.75" customHeight="1" thickTop="1" thickBot="1">
      <c r="A51" s="1"/>
      <c r="B51" s="1"/>
      <c r="C51" s="1"/>
      <c r="D51" s="1"/>
      <c r="E51" s="1"/>
      <c r="F51" s="1"/>
      <c r="G51" s="4"/>
      <c r="H51" s="1"/>
      <c r="I51" s="1"/>
      <c r="J51" s="7"/>
      <c r="K51" s="55" t="s">
        <v>19</v>
      </c>
      <c r="L51" s="6">
        <f>1-(L46+L47+L48+L49+L50)</f>
        <v>7.6999999999999846E-2</v>
      </c>
      <c r="M51" s="43">
        <v>29.12</v>
      </c>
      <c r="N51" s="1"/>
      <c r="O51" s="1"/>
      <c r="P51" s="1"/>
      <c r="Q51" s="1"/>
    </row>
    <row r="52" spans="1:17" ht="15.75" customHeight="1" thickTop="1" thickBot="1">
      <c r="A52" s="3" t="s">
        <v>91</v>
      </c>
      <c r="B52" s="1"/>
      <c r="C52" s="1"/>
      <c r="D52" s="1"/>
      <c r="E52" s="37" t="s">
        <v>92</v>
      </c>
      <c r="F52" s="7"/>
      <c r="G52" s="15">
        <f>E6-F29</f>
        <v>4550</v>
      </c>
      <c r="H52" s="1" t="s">
        <v>6</v>
      </c>
      <c r="I52" s="1"/>
      <c r="J52" s="1"/>
      <c r="K52" s="1"/>
      <c r="L52" s="1"/>
      <c r="M52" s="1"/>
      <c r="N52" s="1"/>
      <c r="O52" s="1"/>
      <c r="P52" s="1"/>
      <c r="Q52" s="1"/>
    </row>
    <row r="53" spans="1:17" ht="29.25" customHeight="1" thickTop="1">
      <c r="A53" s="1"/>
      <c r="B53" s="1"/>
      <c r="C53" s="1"/>
      <c r="D53" s="119" t="s">
        <v>93</v>
      </c>
      <c r="E53" s="118"/>
      <c r="F53" s="118"/>
      <c r="G53" s="118"/>
      <c r="H53" s="118"/>
      <c r="I53" s="118"/>
      <c r="J53" s="1"/>
      <c r="K53" s="1"/>
      <c r="L53" s="1"/>
      <c r="M53" s="1"/>
      <c r="N53" s="1"/>
      <c r="O53" s="1"/>
      <c r="P53" s="1"/>
      <c r="Q53" s="1"/>
    </row>
    <row r="54" spans="1:17" ht="15.75" customHeight="1" thickBot="1">
      <c r="A54" s="4"/>
      <c r="B54" s="4"/>
      <c r="C54" s="4"/>
      <c r="D54" s="4"/>
      <c r="E54" s="4"/>
      <c r="F54" s="4"/>
      <c r="G54" s="4"/>
      <c r="H54" s="4"/>
      <c r="I54" s="57">
        <v>22.4</v>
      </c>
      <c r="J54" s="4"/>
      <c r="K54" s="58" t="s">
        <v>94</v>
      </c>
      <c r="L54" s="58" t="s">
        <v>95</v>
      </c>
      <c r="M54" s="58" t="s">
        <v>96</v>
      </c>
      <c r="N54" s="1"/>
      <c r="O54" s="1"/>
      <c r="P54" s="1"/>
      <c r="Q54" s="1"/>
    </row>
    <row r="55" spans="1:17" ht="15.75" customHeight="1" thickTop="1" thickBot="1">
      <c r="A55" s="59" t="s">
        <v>26</v>
      </c>
      <c r="B55" s="44" t="s">
        <v>27</v>
      </c>
      <c r="C55" s="44" t="s">
        <v>28</v>
      </c>
      <c r="D55" s="44" t="s">
        <v>29</v>
      </c>
      <c r="E55" s="44" t="s">
        <v>30</v>
      </c>
      <c r="F55" s="44" t="s">
        <v>31</v>
      </c>
      <c r="G55" s="44" t="s">
        <v>32</v>
      </c>
      <c r="H55" s="44" t="s">
        <v>33</v>
      </c>
      <c r="I55" s="44" t="s">
        <v>34</v>
      </c>
      <c r="J55" s="44" t="s">
        <v>35</v>
      </c>
      <c r="K55" s="44" t="s">
        <v>97</v>
      </c>
      <c r="L55" s="44" t="s">
        <v>98</v>
      </c>
      <c r="M55" s="44" t="s">
        <v>99</v>
      </c>
      <c r="N55" s="60"/>
      <c r="O55" s="1"/>
      <c r="P55" s="1"/>
      <c r="Q55" s="1"/>
    </row>
    <row r="56" spans="1:17" ht="15.75" customHeight="1" thickTop="1" thickBot="1">
      <c r="A56" s="20" t="s">
        <v>9</v>
      </c>
      <c r="B56" s="61">
        <v>16</v>
      </c>
      <c r="C56" s="21">
        <f>D56/I54*B56</f>
        <v>2612.2500000000005</v>
      </c>
      <c r="D56" s="43">
        <f>G52*L46+G18</f>
        <v>3657.15</v>
      </c>
      <c r="E56" s="22">
        <f>D56/D67</f>
        <v>0.10927782580807095</v>
      </c>
      <c r="F56" s="21">
        <f t="shared" ref="F56:G65" si="6">C56+I56</f>
        <v>0</v>
      </c>
      <c r="G56" s="21">
        <f t="shared" si="6"/>
        <v>0</v>
      </c>
      <c r="H56" s="22">
        <f>G56/G67</f>
        <v>0</v>
      </c>
      <c r="I56" s="21">
        <f>J56/I54*B56</f>
        <v>-2612.2500000000005</v>
      </c>
      <c r="J56" s="43">
        <f t="shared" ref="J56:J66" si="7">SUM(K56:M56)</f>
        <v>-3657.15</v>
      </c>
      <c r="K56" s="43">
        <v>-3357.55</v>
      </c>
      <c r="L56" s="43">
        <f>-D56-K56</f>
        <v>-299.59999999999991</v>
      </c>
      <c r="M56" s="43">
        <v>0</v>
      </c>
      <c r="N56" s="1"/>
      <c r="O56" s="1"/>
      <c r="P56" s="1"/>
      <c r="Q56" s="24"/>
    </row>
    <row r="57" spans="1:17" ht="15.75" customHeight="1" thickTop="1" thickBot="1">
      <c r="A57" s="20" t="s">
        <v>11</v>
      </c>
      <c r="B57" s="61">
        <v>30</v>
      </c>
      <c r="C57" s="21">
        <f>D57/I54*B57</f>
        <v>182.8125</v>
      </c>
      <c r="D57" s="43">
        <f>G52*L47</f>
        <v>136.5</v>
      </c>
      <c r="E57" s="22">
        <f>D57/D67</f>
        <v>4.0787015087709513E-3</v>
      </c>
      <c r="F57" s="21">
        <f t="shared" si="6"/>
        <v>0</v>
      </c>
      <c r="G57" s="21">
        <f t="shared" si="6"/>
        <v>0</v>
      </c>
      <c r="H57" s="22">
        <f>G57/G67</f>
        <v>0</v>
      </c>
      <c r="I57" s="21">
        <f>J57/I54*B57</f>
        <v>-182.8125</v>
      </c>
      <c r="J57" s="43">
        <f t="shared" si="7"/>
        <v>-136.5</v>
      </c>
      <c r="K57" s="43">
        <f>-D57</f>
        <v>-136.5</v>
      </c>
      <c r="L57" s="43">
        <v>0</v>
      </c>
      <c r="M57" s="43">
        <v>0</v>
      </c>
      <c r="N57" s="1"/>
      <c r="O57" s="1"/>
      <c r="P57" s="1"/>
      <c r="Q57" s="24"/>
    </row>
    <row r="58" spans="1:17" ht="15.75" customHeight="1" thickTop="1" thickBot="1">
      <c r="A58" s="20" t="s">
        <v>13</v>
      </c>
      <c r="B58" s="61">
        <v>44</v>
      </c>
      <c r="C58" s="21">
        <f>D58/I54*B58</f>
        <v>357.5</v>
      </c>
      <c r="D58" s="43">
        <f>G52*L48</f>
        <v>182</v>
      </c>
      <c r="E58" s="22">
        <f>D58/D67</f>
        <v>5.4382686783612686E-3</v>
      </c>
      <c r="F58" s="21">
        <f t="shared" si="6"/>
        <v>0</v>
      </c>
      <c r="G58" s="21">
        <f t="shared" si="6"/>
        <v>0</v>
      </c>
      <c r="H58" s="22">
        <f>G58/G67</f>
        <v>0</v>
      </c>
      <c r="I58" s="21">
        <f>J58/I54*B58</f>
        <v>-357.5</v>
      </c>
      <c r="J58" s="43">
        <f t="shared" si="7"/>
        <v>-182</v>
      </c>
      <c r="K58" s="43">
        <f>-D58</f>
        <v>-182</v>
      </c>
      <c r="L58" s="43">
        <v>0</v>
      </c>
      <c r="M58" s="43">
        <v>0</v>
      </c>
      <c r="N58" s="1"/>
      <c r="O58" s="1"/>
      <c r="P58" s="1"/>
      <c r="Q58" s="24"/>
    </row>
    <row r="59" spans="1:17" ht="15.75" customHeight="1" thickTop="1" thickBot="1">
      <c r="A59" s="20" t="s">
        <v>15</v>
      </c>
      <c r="B59" s="61">
        <v>58</v>
      </c>
      <c r="C59" s="21">
        <f>D59/I54*B59</f>
        <v>589.0625</v>
      </c>
      <c r="D59" s="43">
        <f>G52*L49</f>
        <v>227.5</v>
      </c>
      <c r="E59" s="22">
        <f>D59/D67</f>
        <v>6.7978358479515852E-3</v>
      </c>
      <c r="F59" s="21">
        <f t="shared" si="6"/>
        <v>0</v>
      </c>
      <c r="G59" s="21">
        <f t="shared" si="6"/>
        <v>0</v>
      </c>
      <c r="H59" s="22">
        <f>G59/G67</f>
        <v>0</v>
      </c>
      <c r="I59" s="21">
        <f>J59/I54*B59</f>
        <v>-589.0625</v>
      </c>
      <c r="J59" s="43">
        <f t="shared" si="7"/>
        <v>-227.5</v>
      </c>
      <c r="K59" s="43">
        <f>-D59</f>
        <v>-227.5</v>
      </c>
      <c r="L59" s="43">
        <v>0</v>
      </c>
      <c r="M59" s="43">
        <v>0</v>
      </c>
      <c r="N59" s="1"/>
      <c r="O59" s="1"/>
      <c r="P59" s="1"/>
      <c r="Q59" s="24"/>
    </row>
    <row r="60" spans="1:17" ht="15.75" customHeight="1" thickTop="1" thickBot="1">
      <c r="A60" s="20" t="s">
        <v>17</v>
      </c>
      <c r="B60" s="61">
        <v>72</v>
      </c>
      <c r="C60" s="21">
        <f>D60/I54*B60</f>
        <v>43.875</v>
      </c>
      <c r="D60" s="43">
        <f>G52*L50</f>
        <v>13.65</v>
      </c>
      <c r="E60" s="22">
        <f>D60/D67</f>
        <v>4.0787015087709517E-4</v>
      </c>
      <c r="F60" s="21">
        <f t="shared" si="6"/>
        <v>0</v>
      </c>
      <c r="G60" s="21">
        <f>D60+L60</f>
        <v>13.65</v>
      </c>
      <c r="H60" s="22">
        <f>G60/G67</f>
        <v>3.0750873245951791E-4</v>
      </c>
      <c r="I60" s="21">
        <f>J60/I54*B60</f>
        <v>-43.875</v>
      </c>
      <c r="J60" s="43">
        <f t="shared" si="7"/>
        <v>-13.65</v>
      </c>
      <c r="K60" s="43">
        <f>-D60</f>
        <v>-13.65</v>
      </c>
      <c r="L60" s="43">
        <v>0</v>
      </c>
      <c r="M60" s="43">
        <v>0</v>
      </c>
      <c r="N60" s="1"/>
      <c r="O60" s="1"/>
      <c r="P60" s="1"/>
      <c r="Q60" s="24"/>
    </row>
    <row r="61" spans="1:17" ht="15.75" customHeight="1" thickTop="1" thickBot="1">
      <c r="A61" s="20" t="s">
        <v>105</v>
      </c>
      <c r="B61" s="61">
        <v>32</v>
      </c>
      <c r="C61" s="21">
        <f>D61</f>
        <v>0</v>
      </c>
      <c r="D61" s="43">
        <v>0</v>
      </c>
      <c r="E61" s="22">
        <f>D61</f>
        <v>0</v>
      </c>
      <c r="F61" s="21">
        <f t="shared" si="6"/>
        <v>0</v>
      </c>
      <c r="G61" s="21">
        <f>J61</f>
        <v>0</v>
      </c>
      <c r="H61" s="22">
        <f>G61/G67</f>
        <v>0</v>
      </c>
      <c r="I61" s="21">
        <f>0</f>
        <v>0</v>
      </c>
      <c r="J61" s="43">
        <f t="shared" si="7"/>
        <v>0</v>
      </c>
      <c r="K61" s="43">
        <v>0</v>
      </c>
      <c r="L61" s="43">
        <v>0</v>
      </c>
      <c r="M61" s="43">
        <v>0</v>
      </c>
      <c r="N61" s="1"/>
      <c r="O61" s="1"/>
      <c r="P61" s="1"/>
      <c r="Q61" s="24"/>
    </row>
    <row r="62" spans="1:17" ht="15.75" customHeight="1" thickTop="1" thickBot="1">
      <c r="A62" s="20" t="s">
        <v>48</v>
      </c>
      <c r="B62" s="61">
        <v>44</v>
      </c>
      <c r="C62" s="21">
        <f>D62/I54*B62</f>
        <v>5717.25</v>
      </c>
      <c r="D62" s="43">
        <f t="shared" ref="D62:D63" si="8">G24</f>
        <v>2910.6</v>
      </c>
      <c r="E62" s="22">
        <f>D62/D67</f>
        <v>8.6970466017792902E-2</v>
      </c>
      <c r="F62" s="21">
        <f t="shared" si="6"/>
        <v>5128.75</v>
      </c>
      <c r="G62" s="21">
        <f t="shared" ref="G62:G63" si="9">J62+D62</f>
        <v>2611</v>
      </c>
      <c r="H62" s="22">
        <f>G62/G67</f>
        <v>5.8820901132000086E-2</v>
      </c>
      <c r="I62" s="21">
        <f>J62/I54*B62</f>
        <v>-588.49999999999989</v>
      </c>
      <c r="J62" s="43">
        <f t="shared" si="7"/>
        <v>-299.59999999999991</v>
      </c>
      <c r="K62" s="43">
        <v>0</v>
      </c>
      <c r="L62" s="43">
        <f>L56</f>
        <v>-299.59999999999991</v>
      </c>
      <c r="M62" s="43">
        <v>0</v>
      </c>
      <c r="N62" s="1"/>
      <c r="O62" s="1"/>
      <c r="P62" s="1"/>
      <c r="Q62" s="24"/>
    </row>
    <row r="63" spans="1:17" ht="15.75" customHeight="1" thickTop="1" thickBot="1">
      <c r="A63" s="20" t="s">
        <v>50</v>
      </c>
      <c r="B63" s="61">
        <v>18</v>
      </c>
      <c r="C63" s="21">
        <f>D63/I54*B63</f>
        <v>4142.2499999999991</v>
      </c>
      <c r="D63" s="43">
        <f t="shared" si="8"/>
        <v>5154.7999999999993</v>
      </c>
      <c r="E63" s="22">
        <f>D63/D67</f>
        <v>0.15402850210558605</v>
      </c>
      <c r="F63" s="21">
        <f t="shared" si="6"/>
        <v>0</v>
      </c>
      <c r="G63" s="21">
        <f t="shared" si="9"/>
        <v>0</v>
      </c>
      <c r="H63" s="22">
        <f>G63/G67</f>
        <v>0</v>
      </c>
      <c r="I63" s="21">
        <f>J63/I54*B63</f>
        <v>-4142.2500000000009</v>
      </c>
      <c r="J63" s="43">
        <f t="shared" si="7"/>
        <v>-5154.8</v>
      </c>
      <c r="K63" s="43">
        <f>K60*5+K59*4+K58*3+K57*2+K56</f>
        <v>-5154.8</v>
      </c>
      <c r="L63" s="43">
        <v>0</v>
      </c>
      <c r="M63" s="43">
        <v>0</v>
      </c>
      <c r="N63" s="1"/>
      <c r="O63" s="1"/>
      <c r="P63" s="1"/>
      <c r="Q63" s="24"/>
    </row>
    <row r="64" spans="1:17" ht="15.75" customHeight="1" thickTop="1" thickBot="1">
      <c r="A64" s="20" t="s">
        <v>108</v>
      </c>
      <c r="B64" s="61">
        <v>28</v>
      </c>
      <c r="C64" s="21">
        <v>0</v>
      </c>
      <c r="D64" s="43">
        <v>0</v>
      </c>
      <c r="E64" s="22">
        <f t="shared" ref="E64:E65" si="10">D64</f>
        <v>0</v>
      </c>
      <c r="F64" s="21">
        <f t="shared" si="6"/>
        <v>7192.5</v>
      </c>
      <c r="G64" s="21">
        <f t="shared" ref="G64:G65" si="11">J64</f>
        <v>5754</v>
      </c>
      <c r="H64" s="22">
        <f>G64/G67</f>
        <v>0.12962675799062753</v>
      </c>
      <c r="I64" s="21">
        <f>J64/I54*B64</f>
        <v>7192.5</v>
      </c>
      <c r="J64" s="43">
        <f t="shared" si="7"/>
        <v>5754</v>
      </c>
      <c r="K64" s="43">
        <f>-K60*5-K59*4-K58*3-K57*2-K56</f>
        <v>5154.8</v>
      </c>
      <c r="L64" s="43">
        <f>-L56*2</f>
        <v>599.19999999999982</v>
      </c>
      <c r="M64" s="43">
        <v>0</v>
      </c>
      <c r="N64" s="1"/>
      <c r="O64" s="1"/>
      <c r="P64" s="1"/>
      <c r="Q64" s="24"/>
    </row>
    <row r="65" spans="1:17" ht="15.75" customHeight="1" thickTop="1" thickBot="1">
      <c r="A65" s="20" t="s">
        <v>109</v>
      </c>
      <c r="B65" s="61">
        <v>2</v>
      </c>
      <c r="C65" s="21">
        <v>0</v>
      </c>
      <c r="D65" s="43">
        <v>0</v>
      </c>
      <c r="E65" s="22">
        <f t="shared" si="10"/>
        <v>0</v>
      </c>
      <c r="F65" s="21">
        <f t="shared" si="6"/>
        <v>1323.75</v>
      </c>
      <c r="G65" s="21">
        <f t="shared" si="11"/>
        <v>14826</v>
      </c>
      <c r="H65" s="22">
        <f>G65/G67</f>
        <v>0.33400179248679945</v>
      </c>
      <c r="I65" s="21">
        <f>J65/I54*B65</f>
        <v>1323.75</v>
      </c>
      <c r="J65" s="43">
        <f t="shared" si="7"/>
        <v>14826</v>
      </c>
      <c r="K65" s="43">
        <f>-K60*11-K59*9-K58*7-K57*5-K56*3</f>
        <v>14226.800000000001</v>
      </c>
      <c r="L65" s="43">
        <f>-L56*2</f>
        <v>599.19999999999982</v>
      </c>
      <c r="M65" s="43">
        <v>0</v>
      </c>
      <c r="N65" s="1"/>
      <c r="O65" s="1"/>
      <c r="P65" s="1"/>
      <c r="Q65" s="24"/>
    </row>
    <row r="66" spans="1:17" ht="15.75" customHeight="1" thickTop="1" thickBot="1">
      <c r="A66" s="20" t="s">
        <v>52</v>
      </c>
      <c r="B66" s="61">
        <v>28</v>
      </c>
      <c r="C66" s="21">
        <f>D66/I54*B66</f>
        <v>26480.416666666664</v>
      </c>
      <c r="D66" s="43">
        <f>G52*L51+G26</f>
        <v>21184.333333333332</v>
      </c>
      <c r="E66" s="22">
        <f>D66/D67</f>
        <v>0.63300052988258915</v>
      </c>
      <c r="F66" s="21">
        <f>I66+C66</f>
        <v>26480.416666666664</v>
      </c>
      <c r="G66" s="21">
        <f>D66+J66</f>
        <v>21184.333333333332</v>
      </c>
      <c r="H66" s="22">
        <f>G66/G67</f>
        <v>0.47724303965811332</v>
      </c>
      <c r="I66" s="21">
        <v>0</v>
      </c>
      <c r="J66" s="43">
        <f t="shared" si="7"/>
        <v>0</v>
      </c>
      <c r="K66" s="43">
        <v>0</v>
      </c>
      <c r="L66" s="43">
        <v>0</v>
      </c>
      <c r="M66" s="43">
        <v>0</v>
      </c>
      <c r="N66" s="1"/>
      <c r="O66" s="24">
        <f>D62+L62</f>
        <v>2611</v>
      </c>
      <c r="P66" s="1"/>
      <c r="Q66" s="24"/>
    </row>
    <row r="67" spans="1:17" ht="15.75" customHeight="1" thickTop="1" thickBot="1">
      <c r="A67" s="33" t="s">
        <v>54</v>
      </c>
      <c r="B67" s="15"/>
      <c r="C67" s="62">
        <f t="shared" ref="C67:H67" si="12">SUM(C56:C66)</f>
        <v>40125.416666666664</v>
      </c>
      <c r="D67" s="43">
        <f t="shared" si="12"/>
        <v>33466.533333333333</v>
      </c>
      <c r="E67" s="22">
        <f t="shared" si="12"/>
        <v>1</v>
      </c>
      <c r="F67" s="62">
        <f t="shared" si="12"/>
        <v>40125.416666666664</v>
      </c>
      <c r="G67" s="21">
        <f t="shared" si="12"/>
        <v>44388.983333333337</v>
      </c>
      <c r="H67" s="22">
        <f t="shared" si="12"/>
        <v>0.99999999999999989</v>
      </c>
      <c r="I67" s="21">
        <f>SUM(I56:I66)</f>
        <v>0</v>
      </c>
      <c r="J67" s="21">
        <f>SUM(J56:J66)</f>
        <v>10908.8</v>
      </c>
      <c r="K67" s="21">
        <f>SUM(K56:K66)</f>
        <v>10309.600000000002</v>
      </c>
      <c r="L67" s="21">
        <v>0</v>
      </c>
      <c r="M67" s="21">
        <v>0</v>
      </c>
      <c r="N67" s="1"/>
      <c r="O67" s="1"/>
      <c r="P67" s="1"/>
      <c r="Q67" s="24"/>
    </row>
    <row r="68" spans="1:17" ht="15.75" customHeight="1" thickTop="1" thickBot="1">
      <c r="A68" s="1"/>
      <c r="B68" s="1"/>
      <c r="C68" s="24"/>
      <c r="D68" s="24"/>
      <c r="E68" s="1"/>
      <c r="F68" s="1"/>
      <c r="G68" s="1"/>
      <c r="H68" s="1"/>
      <c r="I68" s="4"/>
      <c r="J68" s="1"/>
      <c r="K68" s="1"/>
      <c r="L68" s="1"/>
      <c r="M68" s="1"/>
      <c r="N68" s="1"/>
      <c r="O68" s="1"/>
      <c r="P68" s="1"/>
      <c r="Q68" s="1"/>
    </row>
    <row r="69" spans="1:17" ht="15.75" customHeight="1" thickTop="1" thickBot="1">
      <c r="A69" s="1"/>
      <c r="B69" s="4"/>
      <c r="C69" s="4"/>
      <c r="D69" s="4"/>
      <c r="E69" s="1"/>
      <c r="F69" s="1"/>
      <c r="G69" s="63" t="s">
        <v>111</v>
      </c>
      <c r="H69" s="7"/>
      <c r="I69" s="43">
        <f>G65/G64</f>
        <v>2.5766423357664232</v>
      </c>
      <c r="J69" s="1"/>
      <c r="K69" s="24">
        <f>D59-D62/4</f>
        <v>-500.15</v>
      </c>
      <c r="L69" s="1"/>
      <c r="M69" s="1">
        <f>D59*4</f>
        <v>910</v>
      </c>
      <c r="N69" s="1" t="s">
        <v>112</v>
      </c>
      <c r="O69" s="24">
        <f>D62+L57</f>
        <v>2910.6</v>
      </c>
      <c r="P69" s="1"/>
      <c r="Q69" s="1"/>
    </row>
    <row r="70" spans="1:17" ht="15.75" customHeight="1" thickTop="1" thickBot="1">
      <c r="A70" s="7"/>
      <c r="B70" s="89" t="s">
        <v>113</v>
      </c>
      <c r="C70" s="15"/>
      <c r="D70" s="15">
        <v>9</v>
      </c>
      <c r="E70" s="112" t="s">
        <v>116</v>
      </c>
      <c r="F70" s="65">
        <v>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 thickTop="1" thickBot="1">
      <c r="A71" s="66" t="s">
        <v>94</v>
      </c>
      <c r="B71" s="89" t="s">
        <v>115</v>
      </c>
      <c r="C71" s="4"/>
      <c r="D71" s="15">
        <v>7</v>
      </c>
      <c r="E71" s="1" t="s">
        <v>116</v>
      </c>
      <c r="F71" s="65">
        <v>7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 thickTop="1" thickBot="1">
      <c r="A72" s="7"/>
      <c r="B72" s="89" t="s">
        <v>117</v>
      </c>
      <c r="C72" s="4"/>
      <c r="D72" s="15">
        <v>5</v>
      </c>
      <c r="E72" s="1" t="s">
        <v>116</v>
      </c>
      <c r="F72" s="65">
        <v>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 thickTop="1" thickBot="1">
      <c r="A73" s="7"/>
      <c r="B73" s="89" t="s">
        <v>120</v>
      </c>
      <c r="C73" s="4"/>
      <c r="D73" s="15">
        <v>3</v>
      </c>
      <c r="E73" s="1" t="s">
        <v>116</v>
      </c>
      <c r="F73" s="65">
        <v>3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 thickTop="1" thickBot="1">
      <c r="A74" s="7"/>
      <c r="B74" s="89" t="s">
        <v>122</v>
      </c>
      <c r="C74" s="4"/>
      <c r="D74" s="15">
        <v>1</v>
      </c>
      <c r="E74" s="1" t="s">
        <v>116</v>
      </c>
      <c r="F74" s="65">
        <v>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 thickTop="1" thickBot="1">
      <c r="A75" s="7"/>
      <c r="B75" s="15"/>
      <c r="C75" s="15"/>
      <c r="D75" s="15"/>
      <c r="E75" s="1"/>
      <c r="F75" s="6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 thickTop="1" thickBot="1">
      <c r="A76" s="7"/>
      <c r="B76" s="89" t="s">
        <v>125</v>
      </c>
      <c r="C76" s="4"/>
      <c r="D76" s="15">
        <v>10</v>
      </c>
      <c r="E76" s="1" t="s">
        <v>116</v>
      </c>
      <c r="F76" s="65">
        <v>10</v>
      </c>
      <c r="G76" s="1"/>
      <c r="H76" s="24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 thickTop="1" thickBot="1">
      <c r="A77" s="66" t="s">
        <v>95</v>
      </c>
      <c r="B77" s="4" t="s">
        <v>128</v>
      </c>
      <c r="C77" s="4"/>
      <c r="D77" s="15">
        <v>8</v>
      </c>
      <c r="E77" s="112" t="s">
        <v>114</v>
      </c>
      <c r="F77" s="65">
        <v>8</v>
      </c>
      <c r="G77" s="1"/>
      <c r="H77" s="1"/>
      <c r="I77" s="1"/>
      <c r="J77" s="1"/>
      <c r="K77" s="24"/>
      <c r="L77" s="1"/>
      <c r="M77" s="24"/>
      <c r="N77" s="1"/>
      <c r="O77" s="1"/>
      <c r="P77" s="1"/>
      <c r="Q77" s="1"/>
    </row>
    <row r="78" spans="1:17" ht="15.75" customHeight="1" thickTop="1" thickBot="1">
      <c r="A78" s="7"/>
      <c r="B78" s="4" t="s">
        <v>130</v>
      </c>
      <c r="C78" s="4"/>
      <c r="D78" s="15">
        <v>6</v>
      </c>
      <c r="E78" s="1" t="s">
        <v>114</v>
      </c>
      <c r="F78" s="65">
        <v>6</v>
      </c>
      <c r="G78" s="1"/>
      <c r="H78" s="1"/>
      <c r="I78" s="1"/>
      <c r="J78" s="1"/>
      <c r="K78" s="1"/>
      <c r="L78" s="24"/>
      <c r="M78" s="24"/>
      <c r="N78" s="1"/>
      <c r="O78" s="1"/>
      <c r="P78" s="1"/>
      <c r="Q78" s="1"/>
    </row>
    <row r="79" spans="1:17" ht="15.75" customHeight="1" thickTop="1" thickBot="1">
      <c r="A79" s="7"/>
      <c r="B79" s="4" t="s">
        <v>132</v>
      </c>
      <c r="C79" s="4"/>
      <c r="D79" s="15">
        <v>4</v>
      </c>
      <c r="E79" s="1" t="s">
        <v>114</v>
      </c>
      <c r="F79" s="65">
        <v>4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 thickTop="1" thickBot="1">
      <c r="A80" s="7"/>
      <c r="B80" s="4" t="s">
        <v>133</v>
      </c>
      <c r="C80" s="4"/>
      <c r="D80" s="15">
        <v>2</v>
      </c>
      <c r="E80" s="1" t="s">
        <v>114</v>
      </c>
      <c r="F80" s="65">
        <v>2</v>
      </c>
      <c r="G80" s="1"/>
      <c r="H80" s="1"/>
      <c r="I80" s="1"/>
      <c r="J80" s="1"/>
      <c r="K80" s="24"/>
      <c r="L80" s="1"/>
      <c r="M80" s="24"/>
      <c r="N80" s="1"/>
      <c r="O80" s="1"/>
      <c r="P80" s="1"/>
      <c r="Q80" s="1"/>
    </row>
    <row r="81" spans="1:17" ht="15.75" customHeight="1" thickTop="1" thickBot="1">
      <c r="A81" s="7"/>
      <c r="B81" s="15"/>
      <c r="C81" s="15"/>
      <c r="D81" s="1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 thickTop="1" thickBot="1">
      <c r="A82" s="7"/>
      <c r="B82" s="4" t="s">
        <v>134</v>
      </c>
      <c r="C82" s="4"/>
      <c r="D82" s="15">
        <v>8</v>
      </c>
      <c r="E82" s="1" t="s">
        <v>114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 thickTop="1" thickBot="1">
      <c r="A83" s="66" t="s">
        <v>96</v>
      </c>
      <c r="B83" s="4" t="s">
        <v>135</v>
      </c>
      <c r="C83" s="4"/>
      <c r="D83" s="15">
        <v>6</v>
      </c>
      <c r="E83" s="1" t="s">
        <v>114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 thickTop="1" thickBot="1">
      <c r="A84" s="7"/>
      <c r="B84" s="4" t="s">
        <v>136</v>
      </c>
      <c r="C84" s="4"/>
      <c r="D84" s="15">
        <v>2</v>
      </c>
      <c r="E84" s="1" t="s">
        <v>114</v>
      </c>
      <c r="F84" s="1"/>
      <c r="G84" s="1"/>
      <c r="H84" s="1"/>
      <c r="I84" s="1"/>
      <c r="J84" s="1"/>
      <c r="K84" s="1"/>
      <c r="L84" s="1"/>
      <c r="M84" s="1"/>
      <c r="N84" s="24"/>
      <c r="O84" s="24"/>
      <c r="P84" s="24"/>
      <c r="Q84" s="24"/>
    </row>
    <row r="85" spans="1:17" ht="15.75" customHeight="1" thickTop="1" thickBot="1">
      <c r="A85" s="7"/>
      <c r="B85" s="4" t="s">
        <v>137</v>
      </c>
      <c r="C85" s="4"/>
      <c r="D85" s="15">
        <v>3</v>
      </c>
      <c r="E85" s="1" t="s">
        <v>114</v>
      </c>
      <c r="F85" s="1"/>
      <c r="G85" s="1"/>
      <c r="H85" s="1"/>
      <c r="I85" s="1"/>
      <c r="J85" s="1"/>
      <c r="K85" s="1"/>
      <c r="L85" s="1"/>
      <c r="M85" s="1"/>
      <c r="N85" s="24"/>
      <c r="O85" s="24"/>
      <c r="P85" s="24"/>
      <c r="Q85" s="24"/>
    </row>
    <row r="86" spans="1:17" ht="15.75" customHeight="1" thickTop="1" thickBot="1">
      <c r="A86" s="7"/>
      <c r="B86" s="89" t="s">
        <v>138</v>
      </c>
      <c r="C86" s="4"/>
      <c r="D86" s="15">
        <v>1</v>
      </c>
      <c r="E86" s="1" t="s">
        <v>114</v>
      </c>
      <c r="F86" s="1"/>
      <c r="G86" s="1"/>
      <c r="H86" s="1"/>
      <c r="I86" s="1"/>
      <c r="J86" s="1"/>
      <c r="K86" s="1"/>
      <c r="L86" s="1"/>
      <c r="M86" s="1"/>
      <c r="N86" s="24"/>
      <c r="O86" s="24"/>
      <c r="P86" s="24"/>
      <c r="Q86" s="24"/>
    </row>
    <row r="87" spans="1:17" ht="15.75" customHeight="1" thickTop="1">
      <c r="A87" s="1"/>
      <c r="B87" s="71"/>
      <c r="C87" s="71"/>
      <c r="D87" s="71"/>
      <c r="E87" s="1"/>
      <c r="F87" s="1"/>
      <c r="G87" s="1"/>
      <c r="H87" s="1"/>
      <c r="I87" s="1"/>
      <c r="J87" s="1"/>
      <c r="K87" s="1"/>
      <c r="L87" s="1"/>
      <c r="M87" s="1"/>
      <c r="N87" s="24"/>
      <c r="O87" s="24"/>
      <c r="P87" s="24"/>
      <c r="Q87" s="24"/>
    </row>
    <row r="88" spans="1:17" ht="15.75" customHeight="1">
      <c r="A88" s="72"/>
      <c r="B88" s="72"/>
      <c r="C88" s="51"/>
      <c r="D88" s="50"/>
      <c r="E88" s="1"/>
      <c r="F88" s="117" t="s">
        <v>139</v>
      </c>
      <c r="G88" s="118"/>
      <c r="H88" s="118"/>
      <c r="I88" s="118"/>
      <c r="J88" s="71"/>
      <c r="K88" s="71"/>
      <c r="L88" s="71"/>
      <c r="M88" s="71"/>
      <c r="N88" s="71"/>
      <c r="O88" s="24"/>
      <c r="P88" s="24"/>
      <c r="Q88" s="24"/>
    </row>
    <row r="89" spans="1:17" ht="15.75" customHeight="1" thickBot="1">
      <c r="A89" s="4"/>
      <c r="B89" s="39" t="s">
        <v>140</v>
      </c>
      <c r="C89" s="40" t="s">
        <v>59</v>
      </c>
      <c r="D89" s="50"/>
      <c r="E89" s="4"/>
      <c r="F89" s="4"/>
      <c r="G89" s="1"/>
      <c r="H89" s="73"/>
      <c r="I89" s="74"/>
      <c r="J89" s="74"/>
      <c r="K89" s="74"/>
      <c r="L89" s="74"/>
      <c r="M89" s="74"/>
      <c r="N89" s="75"/>
      <c r="O89" s="24"/>
      <c r="P89" s="24"/>
      <c r="Q89" s="24"/>
    </row>
    <row r="90" spans="1:17" ht="15.75" customHeight="1" thickTop="1" thickBot="1">
      <c r="A90" s="76" t="s">
        <v>26</v>
      </c>
      <c r="B90" s="77" t="s">
        <v>60</v>
      </c>
      <c r="C90" s="77" t="s">
        <v>61</v>
      </c>
      <c r="D90" s="78">
        <v>11</v>
      </c>
      <c r="E90" s="37" t="s">
        <v>113</v>
      </c>
      <c r="F90" s="7"/>
      <c r="G90" s="7"/>
      <c r="H90" s="79" t="s">
        <v>142</v>
      </c>
      <c r="I90" s="79" t="s">
        <v>143</v>
      </c>
      <c r="J90" s="79" t="s">
        <v>144</v>
      </c>
      <c r="K90" s="79" t="s">
        <v>145</v>
      </c>
      <c r="L90" s="79" t="s">
        <v>146</v>
      </c>
      <c r="M90" s="79" t="s">
        <v>147</v>
      </c>
      <c r="N90" s="71"/>
      <c r="O90" s="1"/>
      <c r="P90" s="1"/>
      <c r="Q90" s="1"/>
    </row>
    <row r="91" spans="1:17" ht="15.75" customHeight="1" thickTop="1" thickBot="1">
      <c r="A91" s="20" t="s">
        <v>9</v>
      </c>
      <c r="B91" s="102">
        <v>35.700000000000003</v>
      </c>
      <c r="C91" s="102">
        <v>-74.599999999999994</v>
      </c>
      <c r="D91" s="78">
        <v>12</v>
      </c>
      <c r="E91" s="37" t="s">
        <v>115</v>
      </c>
      <c r="F91" s="7"/>
      <c r="G91" s="7"/>
      <c r="H91" s="109">
        <f>H36</f>
        <v>32267186.69270834</v>
      </c>
      <c r="I91" s="109">
        <f>E6*(1-I6)/D13*N50*20*1000/3600</f>
        <v>45822.246527777788</v>
      </c>
      <c r="J91" s="109">
        <f>(K60/D13*C108+K59/D13*C107+K58/D13*C106+K57/D13*C105+K56/D13*C104)*1000/3600*1000</f>
        <v>-12255402.517361112</v>
      </c>
      <c r="K91" s="109">
        <f>L56/D13*C109*1000/3600*1000</f>
        <v>-917859.37499999977</v>
      </c>
      <c r="L91" s="21">
        <v>0</v>
      </c>
      <c r="M91" s="21">
        <f>H91+I91+J91+K91</f>
        <v>19139747.046875004</v>
      </c>
      <c r="N91" s="80"/>
      <c r="O91" s="1"/>
      <c r="P91" s="1"/>
      <c r="Q91" s="1"/>
    </row>
    <row r="92" spans="1:17" ht="15.75" customHeight="1" thickTop="1" thickBot="1">
      <c r="A92" s="20" t="s">
        <v>11</v>
      </c>
      <c r="B92" s="102">
        <v>52.49</v>
      </c>
      <c r="C92" s="102">
        <v>-84</v>
      </c>
      <c r="D92" s="78">
        <v>13</v>
      </c>
      <c r="E92" s="37" t="s">
        <v>117</v>
      </c>
      <c r="F92" s="7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thickTop="1" thickBot="1">
      <c r="A93" s="20" t="s">
        <v>13</v>
      </c>
      <c r="B93" s="102">
        <v>73.599999999999994</v>
      </c>
      <c r="C93" s="102">
        <v>-103.85</v>
      </c>
      <c r="D93" s="78">
        <v>14</v>
      </c>
      <c r="E93" s="37" t="s">
        <v>120</v>
      </c>
      <c r="F93" s="7"/>
      <c r="G93" s="1"/>
      <c r="H93" s="4"/>
      <c r="I93" s="4"/>
      <c r="J93" s="1"/>
      <c r="K93" s="1"/>
      <c r="L93" s="1"/>
      <c r="M93" s="1"/>
      <c r="N93" s="1"/>
      <c r="O93" s="1"/>
      <c r="P93" s="1"/>
      <c r="Q93" s="1"/>
    </row>
    <row r="94" spans="1:17" ht="15.75" customHeight="1" thickTop="1" thickBot="1">
      <c r="A94" s="20" t="s">
        <v>15</v>
      </c>
      <c r="B94" s="102">
        <v>98.49</v>
      </c>
      <c r="C94" s="102">
        <v>-125.77</v>
      </c>
      <c r="D94" s="78">
        <v>15</v>
      </c>
      <c r="E94" s="37" t="s">
        <v>122</v>
      </c>
      <c r="F94" s="7"/>
      <c r="G94" s="7"/>
      <c r="H94" s="82" t="s">
        <v>152</v>
      </c>
      <c r="I94" s="110">
        <f>M91/(G67/D13*1000/3600*B103)</f>
        <v>1177.5140383468211</v>
      </c>
      <c r="J94" s="1" t="s">
        <v>153</v>
      </c>
      <c r="K94" s="1"/>
      <c r="L94" s="1"/>
      <c r="M94" s="1"/>
      <c r="N94" s="1"/>
      <c r="O94" s="1"/>
      <c r="P94" s="1"/>
      <c r="Q94" s="1"/>
    </row>
    <row r="95" spans="1:17" ht="15.75" customHeight="1" thickTop="1" thickBot="1">
      <c r="A95" s="20" t="s">
        <v>17</v>
      </c>
      <c r="B95" s="102">
        <v>120.04</v>
      </c>
      <c r="C95" s="102">
        <v>-146.36000000000001</v>
      </c>
      <c r="D95" s="7"/>
      <c r="E95" s="1"/>
      <c r="F95" s="7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thickTop="1" thickBot="1">
      <c r="A96" s="20" t="s">
        <v>105</v>
      </c>
      <c r="B96" s="102">
        <v>29.38</v>
      </c>
      <c r="C96" s="102">
        <v>0</v>
      </c>
      <c r="D96" s="78">
        <v>21</v>
      </c>
      <c r="E96" s="37" t="s">
        <v>125</v>
      </c>
      <c r="F96" s="7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thickTop="1" thickBot="1">
      <c r="A97" s="20" t="s">
        <v>48</v>
      </c>
      <c r="B97" s="102">
        <v>37.14</v>
      </c>
      <c r="C97" s="102">
        <v>-393.51</v>
      </c>
      <c r="D97" s="78">
        <v>22</v>
      </c>
      <c r="E97" s="1" t="s">
        <v>128</v>
      </c>
      <c r="F97" s="7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thickTop="1" thickBot="1">
      <c r="A98" s="20" t="s">
        <v>50</v>
      </c>
      <c r="B98" s="102">
        <v>33.6</v>
      </c>
      <c r="C98" s="102">
        <v>-241.83</v>
      </c>
      <c r="D98" s="78">
        <v>23</v>
      </c>
      <c r="E98" s="1" t="s">
        <v>130</v>
      </c>
      <c r="F98" s="7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thickTop="1" thickBot="1">
      <c r="A99" s="20" t="s">
        <v>108</v>
      </c>
      <c r="B99" s="102">
        <v>29.14</v>
      </c>
      <c r="C99" s="102">
        <v>-110.53</v>
      </c>
      <c r="D99" s="78">
        <v>24</v>
      </c>
      <c r="E99" s="1" t="s">
        <v>132</v>
      </c>
      <c r="F99" s="7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 thickTop="1" thickBot="1">
      <c r="A100" s="20" t="s">
        <v>109</v>
      </c>
      <c r="B100" s="102">
        <v>28.84</v>
      </c>
      <c r="C100" s="102">
        <v>0</v>
      </c>
      <c r="D100" s="78">
        <v>25</v>
      </c>
      <c r="E100" s="1" t="s">
        <v>133</v>
      </c>
      <c r="F100" s="7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.75" customHeight="1" thickTop="1" thickBot="1">
      <c r="A101" s="84" t="s">
        <v>52</v>
      </c>
      <c r="B101" s="103">
        <v>29.12</v>
      </c>
      <c r="C101" s="43"/>
      <c r="D101" s="7"/>
      <c r="E101" s="1"/>
      <c r="F101" s="7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.75" customHeight="1" thickTop="1" thickBot="1">
      <c r="A102" s="85" t="s">
        <v>160</v>
      </c>
      <c r="B102" s="104">
        <f>B91*E56+B92*E57+B93*E58+B94*E59+B95*E60+B96*E61+B97*E62+B98*E63+B99*E64+B100*E65+B101*E66</f>
        <v>32.072461792676464</v>
      </c>
      <c r="C102" s="75"/>
      <c r="D102" s="78">
        <v>31</v>
      </c>
      <c r="E102" s="1" t="s">
        <v>134</v>
      </c>
      <c r="F102" s="7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.75" customHeight="1" thickTop="1" thickBot="1">
      <c r="A103" s="85" t="s">
        <v>161</v>
      </c>
      <c r="B103" s="105">
        <f>B91*H56+B92*H57+B93*H58+B94*H59+B95*H60+B96*H61+B97*H62+B98*H63+B99*H64+B100*H65+B101*H66</f>
        <v>29.528774354297369</v>
      </c>
      <c r="C103" s="86"/>
      <c r="D103" s="78">
        <v>32</v>
      </c>
      <c r="E103" s="1" t="s">
        <v>135</v>
      </c>
      <c r="F103" s="7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.75" customHeight="1" thickTop="1" thickBot="1">
      <c r="A104" s="7"/>
      <c r="B104" s="53" t="s">
        <v>162</v>
      </c>
      <c r="C104" s="106">
        <f>C99-C91-C98</f>
        <v>205.9</v>
      </c>
      <c r="D104" s="78">
        <v>33</v>
      </c>
      <c r="E104" s="1" t="s">
        <v>136</v>
      </c>
      <c r="F104" s="7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.75" customHeight="1" thickTop="1" thickBot="1">
      <c r="A105" s="7"/>
      <c r="B105" s="53" t="s">
        <v>163</v>
      </c>
      <c r="C105" s="107">
        <f>2*C99-C92-2*C98</f>
        <v>346.6</v>
      </c>
      <c r="D105" s="78">
        <v>34</v>
      </c>
      <c r="E105" s="1" t="s">
        <v>137</v>
      </c>
      <c r="F105" s="7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.75" customHeight="1" thickTop="1" thickBot="1">
      <c r="A106" s="7"/>
      <c r="B106" s="53" t="s">
        <v>164</v>
      </c>
      <c r="C106" s="108">
        <f>C99*3-C93-3*C98</f>
        <v>497.75</v>
      </c>
      <c r="D106" s="78">
        <v>35</v>
      </c>
      <c r="E106" s="89" t="s">
        <v>138</v>
      </c>
      <c r="F106" s="15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.75" customHeight="1" thickTop="1" thickBot="1">
      <c r="A107" s="7"/>
      <c r="B107" s="53" t="s">
        <v>165</v>
      </c>
      <c r="C107" s="108">
        <f>C99*4-C94-C98*4</f>
        <v>650.97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.75" customHeight="1" thickTop="1" thickBot="1">
      <c r="A108" s="7"/>
      <c r="B108" s="53" t="s">
        <v>166</v>
      </c>
      <c r="C108" s="108">
        <f>C99*5-C95-C98*5</f>
        <v>802.86000000000013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.75" customHeight="1" thickTop="1" thickBot="1">
      <c r="A109" s="7"/>
      <c r="B109" s="53" t="s">
        <v>167</v>
      </c>
      <c r="C109" s="108">
        <f>2*C99-C91-C97</f>
        <v>247.04999999999998</v>
      </c>
      <c r="D109" s="1" t="s">
        <v>79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.75" customHeight="1" thickTop="1" thickBot="1">
      <c r="A110" s="7"/>
      <c r="B110" s="53" t="s">
        <v>168</v>
      </c>
      <c r="C110" s="47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.75" customHeight="1" thickTop="1" thickBot="1">
      <c r="A111" s="7"/>
      <c r="B111" s="53" t="s">
        <v>169</v>
      </c>
      <c r="C111" s="47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.75" customHeight="1" thickTop="1" thickBot="1">
      <c r="A112" s="7"/>
      <c r="B112" s="53" t="s">
        <v>170</v>
      </c>
      <c r="C112" s="4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.75" customHeight="1" thickTop="1" thickBot="1">
      <c r="A113" s="7"/>
      <c r="B113" s="53" t="s">
        <v>171</v>
      </c>
      <c r="C113" s="4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.75" customHeight="1" thickTop="1" thickBot="1">
      <c r="A114" s="7"/>
      <c r="B114" s="53" t="s">
        <v>172</v>
      </c>
      <c r="C114" s="47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.75" customHeight="1" thickTop="1" thickBot="1">
      <c r="A115" s="7"/>
      <c r="B115" s="53" t="s">
        <v>173</v>
      </c>
      <c r="C115" s="47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.75" customHeight="1" thickTop="1" thickBot="1">
      <c r="A116" s="7"/>
      <c r="B116" s="53" t="s">
        <v>174</v>
      </c>
      <c r="C116" s="47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.75" customHeight="1" thickTop="1" thickBot="1">
      <c r="A117" s="7"/>
      <c r="B117" s="53" t="s">
        <v>175</v>
      </c>
      <c r="C117" s="47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.75" customHeight="1" thickTop="1" thickBot="1">
      <c r="A118" s="7"/>
      <c r="B118" s="53" t="s">
        <v>176</v>
      </c>
      <c r="C118" s="47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.75" customHeight="1" thickTop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.75" customHeight="1"/>
    <row r="138" spans="1:17" ht="15.75" customHeight="1"/>
    <row r="139" spans="1:17" ht="15.75" customHeight="1"/>
    <row r="140" spans="1:17" ht="15.75" customHeight="1"/>
    <row r="141" spans="1:17" ht="15.75" customHeight="1"/>
    <row r="142" spans="1:17" ht="15.75" customHeight="1"/>
    <row r="143" spans="1:17" ht="15.75" customHeight="1"/>
    <row r="144" spans="1:17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D53:I53"/>
    <mergeCell ref="F88:I88"/>
    <mergeCell ref="M7:O7"/>
    <mergeCell ref="M9:O9"/>
    <mergeCell ref="M11:O11"/>
    <mergeCell ref="M13:O13"/>
    <mergeCell ref="M15:O15"/>
    <mergeCell ref="C16:E16"/>
    <mergeCell ref="F16:H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S1000"/>
  <sheetViews>
    <sheetView topLeftCell="A83" workbookViewId="0">
      <selection activeCell="G66" sqref="G66:H66"/>
    </sheetView>
  </sheetViews>
  <sheetFormatPr defaultColWidth="12.5703125" defaultRowHeight="15" customHeight="1"/>
  <cols>
    <col min="1" max="19" width="12.5703125" customWidth="1"/>
    <col min="20" max="26" width="11.42578125" customWidth="1"/>
  </cols>
  <sheetData>
    <row r="1" spans="1:17" ht="15.75" customHeight="1">
      <c r="A1" s="1" t="s">
        <v>0</v>
      </c>
    </row>
    <row r="2" spans="1:17" ht="15.75" customHeight="1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.75" customHeight="1">
      <c r="A4" s="3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.75" customHeight="1">
      <c r="A5" s="1"/>
      <c r="B5" s="1"/>
      <c r="C5" s="4"/>
      <c r="D5" s="5" t="s">
        <v>4</v>
      </c>
      <c r="E5" s="6"/>
      <c r="F5" s="1"/>
      <c r="G5" s="4"/>
      <c r="H5" s="4"/>
      <c r="I5" s="6"/>
      <c r="J5" s="1"/>
      <c r="K5" s="1"/>
      <c r="L5" s="1"/>
      <c r="M5" s="1"/>
      <c r="N5" s="1"/>
      <c r="O5" s="1"/>
      <c r="P5" s="1"/>
      <c r="Q5" s="1"/>
    </row>
    <row r="6" spans="1:17" ht="15.75" customHeight="1">
      <c r="A6" s="1"/>
      <c r="B6" s="7"/>
      <c r="C6" s="8" t="s">
        <v>5</v>
      </c>
      <c r="D6" s="9"/>
      <c r="E6" s="10">
        <v>7000</v>
      </c>
      <c r="F6" s="7" t="s">
        <v>6</v>
      </c>
      <c r="G6" s="8" t="s">
        <v>7</v>
      </c>
      <c r="H6" s="9"/>
      <c r="I6" s="10">
        <v>0.4</v>
      </c>
      <c r="J6" t="s">
        <v>394</v>
      </c>
      <c r="K6" s="1"/>
      <c r="L6" s="1"/>
      <c r="M6" s="1"/>
      <c r="N6" s="1"/>
      <c r="O6" s="1"/>
      <c r="P6" s="1"/>
      <c r="Q6" s="1"/>
    </row>
    <row r="7" spans="1:17" ht="15.75" customHeight="1">
      <c r="A7" s="1"/>
      <c r="B7" s="7"/>
      <c r="C7" s="11" t="s">
        <v>8</v>
      </c>
      <c r="D7" s="12" t="s">
        <v>393</v>
      </c>
      <c r="E7" s="10">
        <v>0.8</v>
      </c>
      <c r="F7" s="7"/>
      <c r="G7" s="8" t="s">
        <v>10</v>
      </c>
      <c r="H7" s="9"/>
      <c r="I7" s="13">
        <v>1.4</v>
      </c>
      <c r="J7" s="1" t="s">
        <v>392</v>
      </c>
      <c r="K7" s="1"/>
      <c r="L7" s="1"/>
      <c r="M7" s="120"/>
      <c r="N7" s="118"/>
      <c r="O7" s="118"/>
      <c r="P7" s="1"/>
      <c r="Q7" s="1"/>
    </row>
    <row r="8" spans="1:17" ht="15.75" customHeight="1">
      <c r="A8" s="1"/>
      <c r="B8" s="1"/>
      <c r="C8" s="7"/>
      <c r="D8" s="12" t="s">
        <v>395</v>
      </c>
      <c r="E8" s="10">
        <v>0.03</v>
      </c>
      <c r="F8" s="1"/>
      <c r="G8" s="14" t="s">
        <v>12</v>
      </c>
      <c r="H8" s="4"/>
      <c r="I8" s="4"/>
      <c r="J8" s="1"/>
      <c r="K8" s="1"/>
      <c r="L8" s="1"/>
      <c r="M8" s="1"/>
      <c r="N8" s="1"/>
      <c r="O8" s="1"/>
      <c r="P8" s="1"/>
      <c r="Q8" s="1"/>
    </row>
    <row r="9" spans="1:17" ht="15.75" customHeight="1">
      <c r="A9" s="1"/>
      <c r="B9" s="1"/>
      <c r="C9" s="7"/>
      <c r="D9" s="12" t="s">
        <v>396</v>
      </c>
      <c r="E9" s="10">
        <v>0.04</v>
      </c>
      <c r="F9" s="7"/>
      <c r="G9" s="4" t="s">
        <v>14</v>
      </c>
      <c r="H9" s="15"/>
      <c r="I9" s="15">
        <v>5</v>
      </c>
      <c r="J9" s="1"/>
      <c r="K9" s="1"/>
      <c r="L9" s="1"/>
      <c r="M9" s="120"/>
      <c r="N9" s="118"/>
      <c r="O9" s="118"/>
      <c r="P9" s="1"/>
      <c r="Q9" s="1"/>
    </row>
    <row r="10" spans="1:17" ht="15.75" customHeight="1">
      <c r="A10" s="1"/>
      <c r="B10" s="1"/>
      <c r="C10" s="7"/>
      <c r="D10" s="12" t="s">
        <v>397</v>
      </c>
      <c r="E10" s="10">
        <v>0.05</v>
      </c>
      <c r="F10" s="7"/>
      <c r="G10" s="4" t="s">
        <v>16</v>
      </c>
      <c r="H10" s="15"/>
      <c r="I10" s="15">
        <v>4</v>
      </c>
      <c r="J10" s="1"/>
      <c r="K10" s="1"/>
      <c r="L10" s="1"/>
      <c r="M10" s="1"/>
      <c r="N10" s="1"/>
      <c r="O10" s="1"/>
      <c r="P10" s="1"/>
      <c r="Q10" s="1"/>
    </row>
    <row r="11" spans="1:17" ht="15.75" customHeight="1">
      <c r="A11" s="1"/>
      <c r="B11" s="1"/>
      <c r="C11" s="7"/>
      <c r="D11" s="12" t="s">
        <v>398</v>
      </c>
      <c r="E11" s="10">
        <v>3.0000000000000001E-3</v>
      </c>
      <c r="F11" s="7"/>
      <c r="G11" s="4" t="s">
        <v>18</v>
      </c>
      <c r="H11" s="15"/>
      <c r="I11" s="15">
        <v>3</v>
      </c>
      <c r="J11" s="1"/>
      <c r="K11" s="1"/>
      <c r="L11" s="1"/>
      <c r="M11" s="120"/>
      <c r="N11" s="118"/>
      <c r="O11" s="118"/>
      <c r="P11" s="1"/>
      <c r="Q11" s="1"/>
    </row>
    <row r="12" spans="1:17" ht="15.75" customHeight="1">
      <c r="A12" s="1"/>
      <c r="B12" s="1"/>
      <c r="C12" s="7"/>
      <c r="D12" s="12" t="s">
        <v>19</v>
      </c>
      <c r="E12" s="6">
        <f>1-(E7+E8+E9+E10+E11)</f>
        <v>7.6999999999999846E-2</v>
      </c>
      <c r="F12" s="7"/>
      <c r="G12" s="4" t="s">
        <v>20</v>
      </c>
      <c r="H12" s="15"/>
      <c r="I12" s="15">
        <v>2</v>
      </c>
      <c r="J12" s="1"/>
      <c r="K12" s="1"/>
      <c r="L12" s="1"/>
      <c r="M12" s="1"/>
      <c r="N12" s="1"/>
      <c r="O12" s="1"/>
      <c r="P12" s="1"/>
      <c r="Q12" s="1"/>
    </row>
    <row r="13" spans="1:17" ht="15.75" customHeight="1">
      <c r="A13" s="1"/>
      <c r="B13" s="1"/>
      <c r="C13" s="1"/>
      <c r="D13" s="16">
        <v>22.4</v>
      </c>
      <c r="E13" s="1"/>
      <c r="F13" s="7"/>
      <c r="G13" s="4" t="s">
        <v>21</v>
      </c>
      <c r="H13" s="15"/>
      <c r="I13" s="15">
        <v>1</v>
      </c>
      <c r="J13" s="1"/>
      <c r="K13" s="1"/>
      <c r="L13" s="1"/>
      <c r="M13" s="120"/>
      <c r="N13" s="118"/>
      <c r="O13" s="118"/>
      <c r="P13" s="1"/>
      <c r="Q13" s="1"/>
    </row>
    <row r="14" spans="1:17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.75" customHeight="1">
      <c r="A15" s="4"/>
      <c r="B15" s="4"/>
      <c r="C15" s="4"/>
      <c r="D15" s="4"/>
      <c r="E15" s="5" t="s">
        <v>22</v>
      </c>
      <c r="F15" s="4"/>
      <c r="G15" s="4"/>
      <c r="H15" s="4"/>
      <c r="I15" s="4"/>
      <c r="J15" s="4"/>
      <c r="K15" s="1"/>
      <c r="L15" s="1"/>
      <c r="M15" s="120"/>
      <c r="N15" s="118"/>
      <c r="O15" s="118"/>
      <c r="P15" s="1"/>
      <c r="Q15" s="1"/>
    </row>
    <row r="16" spans="1:17" ht="15.75" customHeight="1">
      <c r="A16" s="17"/>
      <c r="B16" s="15"/>
      <c r="C16" s="114" t="s">
        <v>23</v>
      </c>
      <c r="D16" s="115"/>
      <c r="E16" s="116"/>
      <c r="F16" s="114" t="s">
        <v>24</v>
      </c>
      <c r="G16" s="115"/>
      <c r="H16" s="116"/>
      <c r="I16" s="8" t="s">
        <v>25</v>
      </c>
      <c r="J16" s="15"/>
      <c r="K16" s="1"/>
      <c r="L16" s="1"/>
      <c r="M16" s="1"/>
      <c r="N16" s="1"/>
      <c r="O16" s="1">
        <f>O23/2</f>
        <v>-19.599999999999909</v>
      </c>
      <c r="P16" s="1"/>
      <c r="Q16" s="1"/>
    </row>
    <row r="17" spans="1:19" ht="15.75" customHeight="1">
      <c r="A17" s="18" t="s">
        <v>26</v>
      </c>
      <c r="B17" s="19" t="s">
        <v>27</v>
      </c>
      <c r="C17" s="19" t="s">
        <v>28</v>
      </c>
      <c r="D17" s="19" t="s">
        <v>29</v>
      </c>
      <c r="E17" s="19" t="s">
        <v>30</v>
      </c>
      <c r="F17" s="19" t="s">
        <v>31</v>
      </c>
      <c r="G17" s="19" t="s">
        <v>32</v>
      </c>
      <c r="H17" s="19" t="s">
        <v>33</v>
      </c>
      <c r="I17" s="19" t="s">
        <v>34</v>
      </c>
      <c r="J17" s="19" t="s">
        <v>35</v>
      </c>
      <c r="K17" s="1"/>
      <c r="L17" s="1"/>
      <c r="M17" s="1" t="s">
        <v>35</v>
      </c>
      <c r="N17" s="1" t="s">
        <v>34</v>
      </c>
      <c r="O17" s="1" t="s">
        <v>32</v>
      </c>
      <c r="P17" s="1"/>
      <c r="Q17" s="1"/>
    </row>
    <row r="18" spans="1:19" ht="15.75" customHeight="1">
      <c r="A18" s="20" t="s">
        <v>399</v>
      </c>
      <c r="B18" s="15">
        <v>16</v>
      </c>
      <c r="C18" s="21">
        <f>D18/D13*B18</f>
        <v>1600</v>
      </c>
      <c r="D18" s="21">
        <f>F29*E7</f>
        <v>2240</v>
      </c>
      <c r="E18" s="22">
        <f>D18/D27</f>
        <v>6.8571428571428575E-2</v>
      </c>
      <c r="F18" s="21">
        <f t="shared" ref="F18:F26" si="0">C18+I18</f>
        <v>13.999999999999773</v>
      </c>
      <c r="G18" s="94">
        <f>-O16</f>
        <v>19.599999999999909</v>
      </c>
      <c r="H18" s="22">
        <f>G18/G27</f>
        <v>5.9308630817893988E-4</v>
      </c>
      <c r="I18" s="21">
        <f>J18/D13*B18</f>
        <v>-1586.0000000000002</v>
      </c>
      <c r="J18" s="21">
        <f>G18-D18</f>
        <v>-2220.4</v>
      </c>
      <c r="K18" s="1"/>
      <c r="L18" s="1" t="s">
        <v>37</v>
      </c>
      <c r="M18" s="23">
        <f t="shared" ref="M18:M22" si="1">-D18</f>
        <v>-2240</v>
      </c>
      <c r="N18" s="1">
        <f>M18/22.4*B18</f>
        <v>-1600</v>
      </c>
      <c r="O18" s="24">
        <f>M18+D18</f>
        <v>0</v>
      </c>
      <c r="Q18" s="24"/>
      <c r="R18" s="24"/>
    </row>
    <row r="19" spans="1:19" ht="15.75" customHeight="1">
      <c r="A19" s="20" t="s">
        <v>400</v>
      </c>
      <c r="B19" s="15">
        <v>30</v>
      </c>
      <c r="C19" s="21">
        <f>D19/D13*B19</f>
        <v>112.50000000000001</v>
      </c>
      <c r="D19" s="21">
        <f>F29*E8</f>
        <v>84</v>
      </c>
      <c r="E19" s="22">
        <f>D19/D27</f>
        <v>2.5714285714285717E-3</v>
      </c>
      <c r="F19" s="21">
        <f t="shared" si="0"/>
        <v>0</v>
      </c>
      <c r="G19" s="21">
        <f>D19+(J19)</f>
        <v>0</v>
      </c>
      <c r="H19" s="22">
        <f>G19/G27</f>
        <v>0</v>
      </c>
      <c r="I19" s="21">
        <f>J19/D13*B19</f>
        <v>-112.50000000000001</v>
      </c>
      <c r="J19" s="21">
        <f t="shared" ref="J19:J22" si="2">-D19</f>
        <v>-84</v>
      </c>
      <c r="K19" s="1"/>
      <c r="L19" s="1" t="s">
        <v>39</v>
      </c>
      <c r="M19" s="23">
        <f t="shared" si="1"/>
        <v>-84</v>
      </c>
      <c r="N19" s="1">
        <f>M19/D13*B19</f>
        <v>-112.50000000000001</v>
      </c>
      <c r="O19" s="24">
        <f>J19+D19</f>
        <v>0</v>
      </c>
      <c r="Q19" s="24"/>
      <c r="R19" s="24"/>
    </row>
    <row r="20" spans="1:19" ht="15.75" customHeight="1">
      <c r="A20" s="20" t="s">
        <v>401</v>
      </c>
      <c r="B20" s="15">
        <v>44</v>
      </c>
      <c r="C20" s="21">
        <f>D20/D13*B20</f>
        <v>220</v>
      </c>
      <c r="D20" s="21">
        <f>F29*E9</f>
        <v>112</v>
      </c>
      <c r="E20" s="22">
        <f>D20/D27</f>
        <v>3.4285714285714288E-3</v>
      </c>
      <c r="F20" s="21">
        <f t="shared" si="0"/>
        <v>0</v>
      </c>
      <c r="G20" s="21">
        <f t="shared" ref="G20:G26" si="3">D20+J20</f>
        <v>0</v>
      </c>
      <c r="H20" s="22">
        <f>G20/G27</f>
        <v>0</v>
      </c>
      <c r="I20" s="21">
        <f>J20/D13*B20</f>
        <v>-220</v>
      </c>
      <c r="J20" s="21">
        <f t="shared" si="2"/>
        <v>-112</v>
      </c>
      <c r="K20" s="1"/>
      <c r="L20" s="1" t="s">
        <v>41</v>
      </c>
      <c r="M20" s="23">
        <f t="shared" si="1"/>
        <v>-112</v>
      </c>
      <c r="N20" s="1">
        <f>M20/D13*B20</f>
        <v>-220</v>
      </c>
      <c r="O20" s="23">
        <f t="shared" ref="O20:O26" si="4">M20+D20</f>
        <v>0</v>
      </c>
      <c r="Q20" s="24"/>
      <c r="R20" s="24"/>
      <c r="S20" s="24"/>
    </row>
    <row r="21" spans="1:19" ht="15.75" customHeight="1">
      <c r="A21" s="20" t="s">
        <v>402</v>
      </c>
      <c r="B21" s="15">
        <v>58</v>
      </c>
      <c r="C21" s="21">
        <f>D21/D13*B21</f>
        <v>362.5</v>
      </c>
      <c r="D21" s="21">
        <f>F29*E10</f>
        <v>140</v>
      </c>
      <c r="E21" s="22">
        <f>D21/D27</f>
        <v>4.2857142857142859E-3</v>
      </c>
      <c r="F21" s="21">
        <f t="shared" si="0"/>
        <v>0</v>
      </c>
      <c r="G21" s="21">
        <f t="shared" si="3"/>
        <v>0</v>
      </c>
      <c r="H21" s="22">
        <f>G21/G27</f>
        <v>0</v>
      </c>
      <c r="I21" s="21">
        <f>J21/D13*B21</f>
        <v>-362.5</v>
      </c>
      <c r="J21" s="21">
        <f t="shared" si="2"/>
        <v>-140</v>
      </c>
      <c r="K21" s="1"/>
      <c r="L21" s="4" t="s">
        <v>43</v>
      </c>
      <c r="M21" s="23">
        <f t="shared" si="1"/>
        <v>-140</v>
      </c>
      <c r="N21" s="1">
        <f>M21/D13*B21</f>
        <v>-362.5</v>
      </c>
      <c r="O21" s="23">
        <f t="shared" si="4"/>
        <v>0</v>
      </c>
      <c r="Q21" s="24"/>
      <c r="R21" s="24"/>
    </row>
    <row r="22" spans="1:19" ht="15.75" customHeight="1">
      <c r="A22" s="20" t="s">
        <v>403</v>
      </c>
      <c r="B22" s="15">
        <v>72</v>
      </c>
      <c r="C22" s="21">
        <f>D22/D13*B22</f>
        <v>27.000000000000004</v>
      </c>
      <c r="D22" s="21">
        <f>F29*E11</f>
        <v>8.4</v>
      </c>
      <c r="E22" s="22">
        <f>D22/D27</f>
        <v>2.5714285714285715E-4</v>
      </c>
      <c r="F22" s="21">
        <f t="shared" si="0"/>
        <v>0</v>
      </c>
      <c r="G22" s="25">
        <f t="shared" si="3"/>
        <v>0</v>
      </c>
      <c r="H22" s="22">
        <f>G22/G27</f>
        <v>0</v>
      </c>
      <c r="I22" s="21">
        <f>J22/D13*B22</f>
        <v>-27.000000000000004</v>
      </c>
      <c r="J22" s="21">
        <f t="shared" si="2"/>
        <v>-8.4</v>
      </c>
      <c r="K22" s="7"/>
      <c r="L22" s="26" t="s">
        <v>45</v>
      </c>
      <c r="M22" s="23">
        <f t="shared" si="1"/>
        <v>-8.4</v>
      </c>
      <c r="N22" s="1">
        <f>M22/D13*B22</f>
        <v>-27.000000000000004</v>
      </c>
      <c r="O22" s="23">
        <f t="shared" si="4"/>
        <v>0</v>
      </c>
      <c r="R22" s="24"/>
      <c r="S22" s="1"/>
    </row>
    <row r="23" spans="1:19" ht="15.75" customHeight="1">
      <c r="A23" s="20" t="s">
        <v>404</v>
      </c>
      <c r="B23" s="15">
        <v>32</v>
      </c>
      <c r="C23" s="21">
        <f>D23/D13*B23</f>
        <v>8960</v>
      </c>
      <c r="D23" s="21">
        <f>F29*E7*I7*2</f>
        <v>6272</v>
      </c>
      <c r="E23" s="22">
        <f>D23/D27</f>
        <v>0.192</v>
      </c>
      <c r="F23" s="27">
        <f t="shared" si="0"/>
        <v>0</v>
      </c>
      <c r="G23" s="28">
        <f t="shared" si="3"/>
        <v>0</v>
      </c>
      <c r="H23" s="22">
        <f>G23/G27</f>
        <v>0</v>
      </c>
      <c r="I23" s="21">
        <f>J23/D13*B23</f>
        <v>-8960</v>
      </c>
      <c r="J23" s="21">
        <f>J22*8+J21*6.5+J20*5+J19*3.5+J18*2</f>
        <v>-6272</v>
      </c>
      <c r="K23" s="7"/>
      <c r="L23" s="29" t="s">
        <v>405</v>
      </c>
      <c r="M23" s="1">
        <f>(M22*8+M21*6.5+M20*5+M19*3.5+M18*2)</f>
        <v>-6311.2</v>
      </c>
      <c r="N23" s="1">
        <f>M23/D13*B23</f>
        <v>-9016</v>
      </c>
      <c r="O23" s="30">
        <f t="shared" si="4"/>
        <v>-39.199999999999818</v>
      </c>
      <c r="Q23" s="24"/>
      <c r="R23" s="24"/>
      <c r="S23" s="1"/>
    </row>
    <row r="24" spans="1:19" ht="15.75" customHeight="1">
      <c r="A24" s="20" t="s">
        <v>406</v>
      </c>
      <c r="B24" s="15">
        <v>44</v>
      </c>
      <c r="C24" s="21">
        <f>D24/D13*B24</f>
        <v>0</v>
      </c>
      <c r="D24" s="21">
        <v>0</v>
      </c>
      <c r="E24" s="22">
        <f>D24/D27</f>
        <v>0</v>
      </c>
      <c r="F24" s="21">
        <f t="shared" si="0"/>
        <v>6534</v>
      </c>
      <c r="G24" s="21">
        <f t="shared" si="3"/>
        <v>3326.4</v>
      </c>
      <c r="H24" s="22">
        <f>G24/G27</f>
        <v>0.10065521915951198</v>
      </c>
      <c r="I24" s="21">
        <f>J24/D13*B24</f>
        <v>6534</v>
      </c>
      <c r="J24" s="21">
        <f>-J22*5+(-J21*4)+(-J20*3)+(-J19*2)+(-J18*1)</f>
        <v>3326.4</v>
      </c>
      <c r="K24" s="7"/>
      <c r="L24" s="31" t="s">
        <v>407</v>
      </c>
      <c r="M24" s="23">
        <f>-(M22*8+M21*4+M20*3+M19*2+M18)</f>
        <v>3371.2</v>
      </c>
      <c r="N24" s="1">
        <f>M24/D13*B24</f>
        <v>6622</v>
      </c>
      <c r="O24" s="23">
        <f t="shared" si="4"/>
        <v>3371.2</v>
      </c>
      <c r="Q24" s="24"/>
      <c r="R24" s="24"/>
      <c r="S24" s="1"/>
    </row>
    <row r="25" spans="1:19" ht="15.75" customHeight="1">
      <c r="A25" s="20" t="s">
        <v>408</v>
      </c>
      <c r="B25" s="15">
        <v>18</v>
      </c>
      <c r="C25" s="21">
        <f>D25/D13*B25</f>
        <v>0</v>
      </c>
      <c r="D25" s="21">
        <v>0</v>
      </c>
      <c r="E25" s="22">
        <f>D25/D27</f>
        <v>0</v>
      </c>
      <c r="F25" s="21">
        <f t="shared" si="0"/>
        <v>4734.0000000000009</v>
      </c>
      <c r="G25" s="21">
        <f t="shared" si="3"/>
        <v>5891.2000000000007</v>
      </c>
      <c r="H25" s="22">
        <f>G25/G27</f>
        <v>0.17826479891549935</v>
      </c>
      <c r="I25" s="21">
        <f>J25/D13*B25</f>
        <v>4734.0000000000009</v>
      </c>
      <c r="J25" s="21">
        <f>-J22*6+(-J21*5)+(-J20*4)+(-J19*3)+(-J18*2)</f>
        <v>5891.2000000000007</v>
      </c>
      <c r="K25" s="7"/>
      <c r="L25" s="31" t="s">
        <v>409</v>
      </c>
      <c r="M25" s="1">
        <f>-(M22*6+M21*5+M20*4+M19*3+M18*2)</f>
        <v>5930.4</v>
      </c>
      <c r="N25" s="1">
        <f>M25/D13*B25</f>
        <v>4765.5</v>
      </c>
      <c r="O25" s="23">
        <f t="shared" si="4"/>
        <v>5930.4</v>
      </c>
      <c r="Q25" s="24"/>
      <c r="R25" s="24"/>
      <c r="S25" s="1"/>
    </row>
    <row r="26" spans="1:19" ht="15.75" customHeight="1">
      <c r="A26" s="20" t="s">
        <v>410</v>
      </c>
      <c r="B26" s="15">
        <v>28</v>
      </c>
      <c r="C26" s="25">
        <f>D26/D13*B26</f>
        <v>29762.833333333336</v>
      </c>
      <c r="D26" s="21">
        <f>D23*79/21+F29*(1-E7-E8-E9-E10-E11)</f>
        <v>23810.266666666666</v>
      </c>
      <c r="E26" s="32">
        <f>D26/D27</f>
        <v>0.72888571428571436</v>
      </c>
      <c r="F26" s="25">
        <f t="shared" si="0"/>
        <v>29762.833333333336</v>
      </c>
      <c r="G26" s="21">
        <f t="shared" si="3"/>
        <v>23810.266666666666</v>
      </c>
      <c r="H26" s="32">
        <f>G26/G27</f>
        <v>0.72048689561680979</v>
      </c>
      <c r="I26" s="25">
        <f>J26/D13*B26</f>
        <v>0</v>
      </c>
      <c r="J26" s="21">
        <v>0</v>
      </c>
      <c r="K26" s="1"/>
      <c r="L26" s="31" t="s">
        <v>411</v>
      </c>
      <c r="M26" s="1">
        <v>0</v>
      </c>
      <c r="N26" s="1">
        <f>M26/D13*B26</f>
        <v>0</v>
      </c>
      <c r="O26" s="24">
        <f t="shared" si="4"/>
        <v>23810.266666666666</v>
      </c>
      <c r="P26" s="24"/>
      <c r="Q26" s="24"/>
    </row>
    <row r="27" spans="1:19" ht="15.75" customHeight="1">
      <c r="A27" s="33" t="s">
        <v>54</v>
      </c>
      <c r="B27" s="9"/>
      <c r="C27" s="28">
        <f t="shared" ref="C27:J27" si="5">SUM(C18:C26)</f>
        <v>41044.833333333336</v>
      </c>
      <c r="D27" s="27">
        <f t="shared" si="5"/>
        <v>32666.666666666664</v>
      </c>
      <c r="E27" s="34">
        <f t="shared" si="5"/>
        <v>1</v>
      </c>
      <c r="F27" s="28">
        <f t="shared" si="5"/>
        <v>41044.833333333336</v>
      </c>
      <c r="G27" s="27">
        <f t="shared" si="5"/>
        <v>33047.466666666667</v>
      </c>
      <c r="H27" s="34">
        <f t="shared" si="5"/>
        <v>1</v>
      </c>
      <c r="I27" s="28">
        <f t="shared" si="5"/>
        <v>9.0949470177292824E-13</v>
      </c>
      <c r="J27" s="21">
        <f t="shared" si="5"/>
        <v>380.80000000000109</v>
      </c>
      <c r="K27" s="1"/>
      <c r="L27" s="1"/>
      <c r="M27" s="35"/>
      <c r="N27" s="1">
        <f t="shared" ref="N27:O27" si="6">SUM(N18:N26)</f>
        <v>49.5</v>
      </c>
      <c r="O27" s="24">
        <f t="shared" si="6"/>
        <v>33072.666666666664</v>
      </c>
      <c r="P27" s="24"/>
      <c r="Q27" s="24"/>
    </row>
    <row r="28" spans="1:19" ht="15.75" customHeight="1">
      <c r="A28" s="1"/>
      <c r="B28" s="1"/>
      <c r="C28" s="1"/>
      <c r="D28" s="1"/>
      <c r="E28" s="1"/>
      <c r="F28" s="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9" ht="15.75" customHeight="1">
      <c r="A29" s="71"/>
      <c r="B29" s="1"/>
      <c r="C29" s="37" t="s">
        <v>55</v>
      </c>
      <c r="D29" s="1"/>
      <c r="E29" s="7"/>
      <c r="F29" s="15">
        <f>E6*I6</f>
        <v>2800</v>
      </c>
      <c r="G29" s="1"/>
      <c r="H29" s="1" t="s">
        <v>56</v>
      </c>
      <c r="I29" s="1">
        <v>450</v>
      </c>
      <c r="J29" s="1" t="s">
        <v>57</v>
      </c>
      <c r="K29" s="1"/>
      <c r="L29" s="1"/>
      <c r="M29" s="1"/>
      <c r="N29" s="1"/>
      <c r="O29" s="1"/>
      <c r="P29" s="1"/>
      <c r="Q29" s="1"/>
    </row>
    <row r="30" spans="1:19" ht="15.75" customHeight="1">
      <c r="A30" s="38"/>
      <c r="B30" s="39" t="s">
        <v>58</v>
      </c>
      <c r="C30" s="40" t="s">
        <v>59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9" ht="15.75" customHeight="1">
      <c r="A31" s="41" t="s">
        <v>26</v>
      </c>
      <c r="B31" s="42" t="s">
        <v>60</v>
      </c>
      <c r="C31" s="42" t="s">
        <v>412</v>
      </c>
      <c r="D31" s="1"/>
      <c r="E31" s="1"/>
      <c r="F31" s="1"/>
      <c r="G31" s="1"/>
      <c r="H31" s="1"/>
      <c r="I31" s="1"/>
      <c r="J31" s="1"/>
      <c r="K31" s="1"/>
      <c r="L31" s="1" t="s">
        <v>304</v>
      </c>
      <c r="M31" s="1"/>
      <c r="N31" s="1"/>
      <c r="O31" s="1"/>
      <c r="P31" s="1"/>
      <c r="Q31" s="1"/>
    </row>
    <row r="32" spans="1:19" ht="15.75" customHeight="1">
      <c r="A32" s="20" t="s">
        <v>413</v>
      </c>
      <c r="B32" s="43">
        <v>35.700000000000003</v>
      </c>
      <c r="C32" s="43">
        <v>-74.599999999999994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>
      <c r="A33" s="20" t="s">
        <v>414</v>
      </c>
      <c r="B33" s="43">
        <v>52.49</v>
      </c>
      <c r="C33" s="43">
        <v>-84</v>
      </c>
      <c r="D33" s="1"/>
      <c r="E33" s="1"/>
      <c r="F33" s="3" t="s">
        <v>64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>
      <c r="A34" s="20" t="s">
        <v>415</v>
      </c>
      <c r="B34" s="43">
        <v>73.599999999999994</v>
      </c>
      <c r="C34" s="43">
        <f>-103.85</f>
        <v>-103.85</v>
      </c>
      <c r="D34" s="1"/>
      <c r="E34" s="1"/>
      <c r="F34" s="4"/>
      <c r="G34" s="4"/>
      <c r="H34" s="4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>
      <c r="A35" s="20" t="s">
        <v>416</v>
      </c>
      <c r="B35" s="43">
        <v>98.49</v>
      </c>
      <c r="C35" s="43">
        <f>-125.77</f>
        <v>-125.77</v>
      </c>
      <c r="D35" s="1"/>
      <c r="E35" s="7"/>
      <c r="F35" s="44" t="s">
        <v>67</v>
      </c>
      <c r="G35" s="44" t="s">
        <v>68</v>
      </c>
      <c r="H35" s="45" t="s">
        <v>69</v>
      </c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>
      <c r="A36" s="20" t="s">
        <v>417</v>
      </c>
      <c r="B36" s="43">
        <v>120.04</v>
      </c>
      <c r="C36" s="43">
        <f>-146.36</f>
        <v>-146.36000000000001</v>
      </c>
      <c r="D36" s="1"/>
      <c r="E36" s="7" t="s">
        <v>71</v>
      </c>
      <c r="F36" s="43">
        <f>I29*B42*D27/22.4*1000/3600</f>
        <v>5496895.208333334</v>
      </c>
      <c r="G36" s="46">
        <f>(J22*C45/1+J21*C46/1+J20*C47/1+J19*C48/1+J18*C49/1)/22.4*(1000/3600)*1000</f>
        <v>31379889.583333336</v>
      </c>
      <c r="H36" s="47">
        <f>F36+G36</f>
        <v>36876784.791666672</v>
      </c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>
      <c r="A37" s="20" t="s">
        <v>418</v>
      </c>
      <c r="B37" s="43">
        <v>29.38</v>
      </c>
      <c r="C37" s="43">
        <f>0</f>
        <v>0</v>
      </c>
      <c r="D37" s="1"/>
      <c r="E37" s="1"/>
      <c r="F37" s="1"/>
      <c r="G37" s="1"/>
      <c r="H37" s="1"/>
      <c r="I37" s="1"/>
      <c r="J37" s="1"/>
      <c r="K37" s="1"/>
      <c r="L37" s="1"/>
      <c r="O37" s="1"/>
      <c r="P37" s="1"/>
      <c r="Q37" s="1"/>
    </row>
    <row r="38" spans="1:17" ht="15.75" customHeight="1">
      <c r="A38" s="20" t="s">
        <v>419</v>
      </c>
      <c r="B38" s="43">
        <v>37.14</v>
      </c>
      <c r="C38" s="43">
        <f>-393.51</f>
        <v>-393.51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Q38" s="1"/>
    </row>
    <row r="39" spans="1:17" ht="15.75" customHeight="1">
      <c r="A39" s="20" t="s">
        <v>420</v>
      </c>
      <c r="B39" s="43">
        <v>33.6</v>
      </c>
      <c r="C39" s="43">
        <f>-241.83</f>
        <v>-241.83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>
      <c r="A40" s="20" t="s">
        <v>421</v>
      </c>
      <c r="B40" s="43">
        <v>29.12</v>
      </c>
      <c r="C40" s="43">
        <f>0</f>
        <v>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>
      <c r="A41" s="4"/>
      <c r="B41" s="48"/>
      <c r="C41" s="2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>
      <c r="A42" s="49" t="s">
        <v>422</v>
      </c>
      <c r="B42" s="47">
        <f>B32*E18+B33*E19+B34*E20+B35*E21+B36*E22+B37*E23+B38*E24+B39*E25+B40*E26</f>
        <v>30.154396571428574</v>
      </c>
      <c r="C42" s="50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>
      <c r="A43" s="49" t="s">
        <v>423</v>
      </c>
      <c r="B43" s="47">
        <f>B32*H18+B33*H19+B34*H20+B35*H21+B36*H22+B37*H23+B38*H24+B39*H25+B40*H26</f>
        <v>30.729783664708542</v>
      </c>
      <c r="C43" s="5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>
      <c r="A44" s="1"/>
      <c r="B44" s="52"/>
      <c r="C44" s="4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>
      <c r="A45" s="7"/>
      <c r="B45" s="53" t="s">
        <v>78</v>
      </c>
      <c r="C45" s="47">
        <f>((5*C38+6*C39)-(C36+8*C37))</f>
        <v>-3272.1699999999996</v>
      </c>
      <c r="D45" s="1" t="s">
        <v>79</v>
      </c>
      <c r="E45" s="1"/>
      <c r="F45" s="1"/>
      <c r="G45" s="1"/>
      <c r="H45" s="1"/>
      <c r="I45" s="1"/>
      <c r="J45" s="1"/>
      <c r="K45" s="4"/>
      <c r="L45" s="54" t="s">
        <v>8</v>
      </c>
      <c r="M45" s="54" t="s">
        <v>80</v>
      </c>
      <c r="N45" s="1"/>
      <c r="O45" s="1"/>
      <c r="P45" s="1"/>
      <c r="Q45" s="1"/>
    </row>
    <row r="46" spans="1:17" ht="15.75" customHeight="1">
      <c r="A46" s="7"/>
      <c r="B46" s="53" t="s">
        <v>81</v>
      </c>
      <c r="C46" s="47">
        <f>((4*C38+5*C39)-(1*C35))</f>
        <v>-2657.42</v>
      </c>
      <c r="D46" s="1" t="s">
        <v>79</v>
      </c>
      <c r="E46" s="1"/>
      <c r="F46" s="1"/>
      <c r="G46" s="1"/>
      <c r="H46" s="1"/>
      <c r="I46" s="1"/>
      <c r="J46" s="7"/>
      <c r="K46" s="55" t="s">
        <v>82</v>
      </c>
      <c r="L46" s="10">
        <v>0.8</v>
      </c>
      <c r="M46" s="43">
        <v>35.700000000000003</v>
      </c>
      <c r="N46" s="1"/>
      <c r="O46" s="1"/>
      <c r="P46" s="1"/>
      <c r="Q46" s="1"/>
    </row>
    <row r="47" spans="1:17" ht="15.75" customHeight="1">
      <c r="A47" s="7"/>
      <c r="B47" s="53" t="s">
        <v>83</v>
      </c>
      <c r="C47" s="47">
        <f>((3*C38+4*C39)-(1*C34))</f>
        <v>-2044</v>
      </c>
      <c r="D47" s="1" t="s">
        <v>79</v>
      </c>
      <c r="E47" s="1"/>
      <c r="F47" s="1"/>
      <c r="G47" s="1"/>
      <c r="H47" s="1"/>
      <c r="I47" s="1"/>
      <c r="J47" s="7"/>
      <c r="K47" s="55" t="s">
        <v>84</v>
      </c>
      <c r="L47" s="10">
        <v>0.03</v>
      </c>
      <c r="M47" s="43">
        <v>52.49</v>
      </c>
      <c r="N47" s="1"/>
      <c r="O47" s="1"/>
      <c r="P47" s="1"/>
      <c r="Q47" s="1"/>
    </row>
    <row r="48" spans="1:17" ht="15.75" customHeight="1">
      <c r="A48" s="7"/>
      <c r="B48" s="53" t="s">
        <v>85</v>
      </c>
      <c r="C48" s="47">
        <f>((2*C38+3*C39)-(C33))</f>
        <v>-1428.51</v>
      </c>
      <c r="D48" s="1" t="s">
        <v>79</v>
      </c>
      <c r="E48" s="1"/>
      <c r="F48" s="1"/>
      <c r="G48" s="1"/>
      <c r="H48" s="1"/>
      <c r="I48" s="1"/>
      <c r="J48" s="7"/>
      <c r="K48" s="55" t="s">
        <v>86</v>
      </c>
      <c r="L48" s="10">
        <v>0.04</v>
      </c>
      <c r="M48" s="43">
        <v>73.599999999999994</v>
      </c>
      <c r="N48" s="1"/>
      <c r="O48" s="1"/>
      <c r="P48" s="1"/>
      <c r="Q48" s="1"/>
    </row>
    <row r="49" spans="1:17" ht="15.75" customHeight="1">
      <c r="A49" s="7"/>
      <c r="B49" s="53" t="s">
        <v>87</v>
      </c>
      <c r="C49" s="47">
        <f>((1*C38+2*C39)-(1*C32))</f>
        <v>-802.57</v>
      </c>
      <c r="D49" s="1" t="s">
        <v>79</v>
      </c>
      <c r="E49" s="1"/>
      <c r="F49" s="1"/>
      <c r="G49" s="1"/>
      <c r="H49" s="1"/>
      <c r="I49" s="1"/>
      <c r="J49" s="7"/>
      <c r="K49" s="55" t="s">
        <v>88</v>
      </c>
      <c r="L49" s="10">
        <v>0.05</v>
      </c>
      <c r="M49" s="43">
        <v>98.49</v>
      </c>
      <c r="N49" s="5" t="s">
        <v>89</v>
      </c>
      <c r="O49" s="1"/>
      <c r="P49" s="1"/>
      <c r="Q49" s="1"/>
    </row>
    <row r="50" spans="1:17" ht="15.75" customHeight="1">
      <c r="A50" s="1"/>
      <c r="B50" s="24"/>
      <c r="C50" s="24"/>
      <c r="D50" s="1"/>
      <c r="E50" s="1"/>
      <c r="F50" s="1"/>
      <c r="G50" s="1"/>
      <c r="H50" s="1"/>
      <c r="I50" s="1"/>
      <c r="J50" s="7"/>
      <c r="K50" s="55" t="s">
        <v>90</v>
      </c>
      <c r="L50" s="10">
        <v>3.0000000000000001E-3</v>
      </c>
      <c r="M50" s="43">
        <v>120.04</v>
      </c>
      <c r="N50" s="56">
        <f>L46*M46+L47*M47+L48*M48+L49*M49+L50*M50+L51*M51</f>
        <v>40.605560000000004</v>
      </c>
      <c r="O50" s="1"/>
      <c r="P50" s="1"/>
      <c r="Q50" s="1"/>
    </row>
    <row r="51" spans="1:17" ht="15.75" customHeight="1">
      <c r="A51" s="1"/>
      <c r="B51" s="1"/>
      <c r="C51" s="1"/>
      <c r="D51" s="1"/>
      <c r="E51" s="1"/>
      <c r="F51" s="1"/>
      <c r="G51" s="4"/>
      <c r="H51" s="1"/>
      <c r="I51" s="1"/>
      <c r="J51" s="7"/>
      <c r="K51" s="55" t="s">
        <v>19</v>
      </c>
      <c r="L51" s="6">
        <f>1-(L46+L47+L48+L49+L50)</f>
        <v>7.6999999999999846E-2</v>
      </c>
      <c r="M51" s="43">
        <v>29.12</v>
      </c>
      <c r="N51" s="1"/>
      <c r="O51" s="1"/>
      <c r="P51" s="1"/>
      <c r="Q51" s="1"/>
    </row>
    <row r="52" spans="1:17" ht="15.75" customHeight="1">
      <c r="A52" s="3" t="s">
        <v>91</v>
      </c>
      <c r="B52" s="1"/>
      <c r="C52" s="1"/>
      <c r="D52" s="1"/>
      <c r="E52" s="37" t="s">
        <v>92</v>
      </c>
      <c r="F52" s="7"/>
      <c r="G52" s="15">
        <f>E6-F29</f>
        <v>4200</v>
      </c>
      <c r="H52" s="1" t="s">
        <v>6</v>
      </c>
      <c r="I52" s="1"/>
      <c r="J52" s="1"/>
      <c r="K52" s="1"/>
      <c r="L52" s="1"/>
      <c r="M52" s="1"/>
      <c r="N52" s="1"/>
      <c r="O52" s="1"/>
      <c r="P52" s="1"/>
      <c r="Q52" s="1"/>
    </row>
    <row r="53" spans="1:17" ht="29.25" customHeight="1">
      <c r="A53" s="1"/>
      <c r="B53" s="1"/>
      <c r="C53" s="1"/>
      <c r="D53" s="119" t="s">
        <v>93</v>
      </c>
      <c r="E53" s="118"/>
      <c r="F53" s="118"/>
      <c r="G53" s="118"/>
      <c r="H53" s="118"/>
      <c r="I53" s="118"/>
      <c r="J53" s="1"/>
      <c r="K53" s="1"/>
      <c r="L53" s="1"/>
      <c r="M53" s="1"/>
      <c r="N53" s="1"/>
      <c r="O53" s="1"/>
      <c r="P53" s="1"/>
      <c r="Q53" s="1"/>
    </row>
    <row r="54" spans="1:17" ht="15.75" customHeight="1">
      <c r="A54" s="4"/>
      <c r="B54" s="4"/>
      <c r="C54" s="4"/>
      <c r="D54" s="4"/>
      <c r="E54" s="4"/>
      <c r="F54" s="4"/>
      <c r="G54" s="4"/>
      <c r="H54" s="4"/>
      <c r="I54" s="57">
        <v>22.4</v>
      </c>
      <c r="J54" s="4"/>
      <c r="K54" s="58" t="s">
        <v>94</v>
      </c>
      <c r="L54" s="58" t="s">
        <v>95</v>
      </c>
      <c r="M54" s="58" t="s">
        <v>96</v>
      </c>
      <c r="N54" s="1"/>
      <c r="O54" s="1"/>
      <c r="P54" s="1"/>
      <c r="Q54" s="1"/>
    </row>
    <row r="55" spans="1:17" ht="15.75" customHeight="1">
      <c r="A55" s="59" t="s">
        <v>26</v>
      </c>
      <c r="B55" s="44" t="s">
        <v>27</v>
      </c>
      <c r="C55" s="44" t="s">
        <v>28</v>
      </c>
      <c r="D55" s="44" t="s">
        <v>29</v>
      </c>
      <c r="E55" s="44" t="s">
        <v>30</v>
      </c>
      <c r="F55" s="44" t="s">
        <v>31</v>
      </c>
      <c r="G55" s="44" t="s">
        <v>32</v>
      </c>
      <c r="H55" s="44" t="s">
        <v>33</v>
      </c>
      <c r="I55" s="44" t="s">
        <v>34</v>
      </c>
      <c r="J55" s="44" t="s">
        <v>35</v>
      </c>
      <c r="K55" s="44" t="s">
        <v>97</v>
      </c>
      <c r="L55" s="44" t="s">
        <v>98</v>
      </c>
      <c r="M55" s="44" t="s">
        <v>99</v>
      </c>
      <c r="N55" s="60"/>
      <c r="O55" s="1"/>
      <c r="P55" s="1"/>
      <c r="Q55" s="1"/>
    </row>
    <row r="56" spans="1:17" ht="15.75" customHeight="1">
      <c r="A56" s="20" t="s">
        <v>424</v>
      </c>
      <c r="B56" s="61">
        <v>16</v>
      </c>
      <c r="C56" s="21">
        <f>D56/I54*B56</f>
        <v>2414</v>
      </c>
      <c r="D56" s="43">
        <f>G52*L46+G18</f>
        <v>3379.6</v>
      </c>
      <c r="E56" s="22">
        <f>D56/D67</f>
        <v>9.0733687481206776E-2</v>
      </c>
      <c r="F56" s="21">
        <f t="shared" ref="F56:G56" si="7">C56+I56</f>
        <v>0</v>
      </c>
      <c r="G56" s="21">
        <f t="shared" si="7"/>
        <v>0</v>
      </c>
      <c r="H56" s="22">
        <f>G56/G67</f>
        <v>0</v>
      </c>
      <c r="I56" s="21">
        <f>J56/I54*B56</f>
        <v>-2414</v>
      </c>
      <c r="J56" s="43">
        <f t="shared" ref="J56:J66" si="8">SUM(K56:M56)</f>
        <v>-3379.6</v>
      </c>
      <c r="K56" s="43">
        <f>-D56</f>
        <v>-3379.6</v>
      </c>
      <c r="L56" s="43">
        <v>0</v>
      </c>
      <c r="M56" s="43">
        <v>0</v>
      </c>
      <c r="N56" s="1"/>
      <c r="O56" s="1"/>
      <c r="P56" s="1"/>
      <c r="Q56" s="24"/>
    </row>
    <row r="57" spans="1:17" ht="15.75" customHeight="1">
      <c r="A57" s="20" t="s">
        <v>425</v>
      </c>
      <c r="B57" s="61">
        <v>30</v>
      </c>
      <c r="C57" s="21">
        <f>D57/I54*B57</f>
        <v>168.75</v>
      </c>
      <c r="D57" s="43">
        <f>G52*L47</f>
        <v>126</v>
      </c>
      <c r="E57" s="22">
        <f>D57/D67</f>
        <v>3.382780394908289E-3</v>
      </c>
      <c r="F57" s="21">
        <f t="shared" ref="F57:G57" si="9">C57+I57</f>
        <v>0</v>
      </c>
      <c r="G57" s="21">
        <f t="shared" si="9"/>
        <v>0</v>
      </c>
      <c r="H57" s="22">
        <f>G57/G67</f>
        <v>0</v>
      </c>
      <c r="I57" s="21">
        <f>J57/I54*B57</f>
        <v>-168.75</v>
      </c>
      <c r="J57" s="43">
        <f t="shared" si="8"/>
        <v>-126</v>
      </c>
      <c r="K57" s="43">
        <f>-D57</f>
        <v>-126</v>
      </c>
      <c r="L57" s="43">
        <v>0</v>
      </c>
      <c r="M57" s="43">
        <v>0</v>
      </c>
      <c r="N57" s="1"/>
      <c r="O57" s="1"/>
      <c r="P57" s="1"/>
      <c r="Q57" s="24"/>
    </row>
    <row r="58" spans="1:17" ht="15.75" customHeight="1">
      <c r="A58" s="20" t="s">
        <v>426</v>
      </c>
      <c r="B58" s="61">
        <v>44</v>
      </c>
      <c r="C58" s="21">
        <f>D58/I54*B58</f>
        <v>330.00000000000006</v>
      </c>
      <c r="D58" s="43">
        <f>G52*L48</f>
        <v>168</v>
      </c>
      <c r="E58" s="22">
        <f>D58/D67</f>
        <v>4.5103738598777183E-3</v>
      </c>
      <c r="F58" s="21">
        <f t="shared" ref="F58:G58" si="10">C58+I58</f>
        <v>0</v>
      </c>
      <c r="G58" s="21">
        <f t="shared" si="10"/>
        <v>0</v>
      </c>
      <c r="H58" s="22">
        <f>G58/G67</f>
        <v>0</v>
      </c>
      <c r="I58" s="21">
        <f>J58/I54*B58</f>
        <v>-330.00000000000006</v>
      </c>
      <c r="J58" s="43">
        <f t="shared" si="8"/>
        <v>-168</v>
      </c>
      <c r="K58" s="43">
        <f>-D58</f>
        <v>-168</v>
      </c>
      <c r="L58" s="43">
        <v>0</v>
      </c>
      <c r="M58" s="43">
        <v>0</v>
      </c>
      <c r="N58" s="1"/>
      <c r="O58" s="1"/>
      <c r="P58" s="1"/>
      <c r="Q58" s="24"/>
    </row>
    <row r="59" spans="1:17" ht="15.75" customHeight="1">
      <c r="A59" s="20" t="s">
        <v>427</v>
      </c>
      <c r="B59" s="61">
        <v>58</v>
      </c>
      <c r="C59" s="21">
        <f>D59/I54*B59</f>
        <v>543.75</v>
      </c>
      <c r="D59" s="43">
        <f>G52*L49</f>
        <v>210</v>
      </c>
      <c r="E59" s="22">
        <f>D59/D67</f>
        <v>5.6379673248471481E-3</v>
      </c>
      <c r="F59" s="21">
        <f t="shared" ref="F59:G59" si="11">C59+I59</f>
        <v>0</v>
      </c>
      <c r="G59" s="21">
        <f t="shared" si="11"/>
        <v>0</v>
      </c>
      <c r="H59" s="22">
        <f>G59/G67</f>
        <v>0</v>
      </c>
      <c r="I59" s="21">
        <f>J59/I54*B59</f>
        <v>-543.75</v>
      </c>
      <c r="J59" s="43">
        <f t="shared" si="8"/>
        <v>-210</v>
      </c>
      <c r="K59" s="43">
        <f>-D59</f>
        <v>-210</v>
      </c>
      <c r="L59" s="43">
        <v>0</v>
      </c>
      <c r="M59" s="43">
        <v>0</v>
      </c>
      <c r="N59" s="1"/>
      <c r="O59" s="1"/>
      <c r="P59" s="1"/>
      <c r="Q59" s="24"/>
    </row>
    <row r="60" spans="1:17" ht="15.75" customHeight="1">
      <c r="A60" s="20" t="s">
        <v>428</v>
      </c>
      <c r="B60" s="61">
        <v>72</v>
      </c>
      <c r="C60" s="21">
        <f>D60/I54*B60</f>
        <v>40.5</v>
      </c>
      <c r="D60" s="43">
        <f>G52*L50</f>
        <v>12.6</v>
      </c>
      <c r="E60" s="22">
        <f>D60/D67</f>
        <v>3.3827803949082892E-4</v>
      </c>
      <c r="F60" s="21">
        <f t="shared" ref="F60:F65" si="12">C60+I60</f>
        <v>0</v>
      </c>
      <c r="G60" s="21">
        <f>D60+L60</f>
        <v>12.6</v>
      </c>
      <c r="H60" s="22">
        <f>G60/G67</f>
        <v>2.6617506432564058E-4</v>
      </c>
      <c r="I60" s="21">
        <f>J60/I54*B60</f>
        <v>-40.5</v>
      </c>
      <c r="J60" s="43">
        <f t="shared" si="8"/>
        <v>-12.6</v>
      </c>
      <c r="K60" s="43">
        <f>-D60</f>
        <v>-12.6</v>
      </c>
      <c r="L60" s="43">
        <v>0</v>
      </c>
      <c r="M60" s="43">
        <v>0</v>
      </c>
      <c r="N60" s="1"/>
      <c r="O60" s="1"/>
      <c r="P60" s="1"/>
      <c r="Q60" s="24"/>
    </row>
    <row r="61" spans="1:17" ht="15.75" customHeight="1">
      <c r="A61" s="20" t="s">
        <v>429</v>
      </c>
      <c r="B61" s="61">
        <v>32</v>
      </c>
      <c r="C61" s="21">
        <f>D61</f>
        <v>0</v>
      </c>
      <c r="D61" s="43">
        <v>0</v>
      </c>
      <c r="E61" s="22">
        <f>D61</f>
        <v>0</v>
      </c>
      <c r="F61" s="21">
        <f t="shared" si="12"/>
        <v>0</v>
      </c>
      <c r="G61" s="21">
        <f>J61</f>
        <v>0</v>
      </c>
      <c r="H61" s="22">
        <f>G61/G67</f>
        <v>0</v>
      </c>
      <c r="I61" s="21">
        <f>0</f>
        <v>0</v>
      </c>
      <c r="J61" s="43">
        <f t="shared" si="8"/>
        <v>0</v>
      </c>
      <c r="K61" s="43">
        <v>0</v>
      </c>
      <c r="L61" s="43">
        <v>0</v>
      </c>
      <c r="M61" s="43">
        <v>0</v>
      </c>
      <c r="N61" s="1"/>
      <c r="O61" s="1"/>
      <c r="P61" s="1"/>
      <c r="Q61" s="24"/>
    </row>
    <row r="62" spans="1:17" ht="15.75" customHeight="1">
      <c r="A62" s="20" t="s">
        <v>430</v>
      </c>
      <c r="B62" s="61">
        <v>44</v>
      </c>
      <c r="C62" s="21">
        <f>D62/I54*B62</f>
        <v>6534</v>
      </c>
      <c r="D62" s="43">
        <f t="shared" ref="D62:D63" si="13">G24</f>
        <v>3326.4</v>
      </c>
      <c r="E62" s="22">
        <f>D62/D67</f>
        <v>8.9305402425578828E-2</v>
      </c>
      <c r="F62" s="21">
        <f t="shared" si="12"/>
        <v>6534</v>
      </c>
      <c r="G62" s="21">
        <f t="shared" ref="G62:G63" si="14">J62+D62</f>
        <v>3326.4</v>
      </c>
      <c r="H62" s="22">
        <f>G62/G67</f>
        <v>7.0270216981969114E-2</v>
      </c>
      <c r="I62" s="21">
        <f>J62/I54*B62</f>
        <v>0</v>
      </c>
      <c r="J62" s="43">
        <f t="shared" si="8"/>
        <v>0</v>
      </c>
      <c r="K62" s="43">
        <v>0</v>
      </c>
      <c r="L62" s="43">
        <v>0</v>
      </c>
      <c r="M62" s="43">
        <v>0</v>
      </c>
      <c r="N62" s="1"/>
      <c r="O62" s="1"/>
      <c r="P62" s="1"/>
      <c r="Q62" s="24"/>
    </row>
    <row r="63" spans="1:17" ht="15.75" customHeight="1">
      <c r="A63" s="20" t="s">
        <v>431</v>
      </c>
      <c r="B63" s="61">
        <v>18</v>
      </c>
      <c r="C63" s="21">
        <f>D63/I54*B63</f>
        <v>4734.0000000000009</v>
      </c>
      <c r="D63" s="43">
        <f t="shared" si="13"/>
        <v>5891.2000000000007</v>
      </c>
      <c r="E63" s="22">
        <f>D63/D67</f>
        <v>0.15816377668637868</v>
      </c>
      <c r="F63" s="21">
        <f t="shared" si="12"/>
        <v>685.12500000000045</v>
      </c>
      <c r="G63" s="21">
        <f t="shared" si="14"/>
        <v>852.60000000000036</v>
      </c>
      <c r="H63" s="22">
        <f>G63/G67</f>
        <v>1.8011179352701686E-2</v>
      </c>
      <c r="I63" s="21">
        <f>J63/I54*B63</f>
        <v>-4048.8750000000005</v>
      </c>
      <c r="J63" s="43">
        <f t="shared" si="8"/>
        <v>-5038.6000000000004</v>
      </c>
      <c r="K63" s="43">
        <f>K60*5+K59*4+K58*3+K57*2+K56</f>
        <v>-5038.6000000000004</v>
      </c>
      <c r="L63" s="43">
        <v>0</v>
      </c>
      <c r="M63" s="43">
        <v>0</v>
      </c>
      <c r="N63" s="1"/>
      <c r="O63" s="1"/>
      <c r="P63" s="1"/>
      <c r="Q63" s="24"/>
    </row>
    <row r="64" spans="1:17" ht="15.75" customHeight="1">
      <c r="A64" s="20" t="s">
        <v>108</v>
      </c>
      <c r="B64" s="61">
        <v>28</v>
      </c>
      <c r="C64" s="21">
        <v>0</v>
      </c>
      <c r="D64" s="43">
        <v>0</v>
      </c>
      <c r="E64" s="22">
        <f t="shared" ref="E64:E65" si="15">D64</f>
        <v>0</v>
      </c>
      <c r="F64" s="21">
        <f t="shared" si="12"/>
        <v>6298.2500000000009</v>
      </c>
      <c r="G64" s="21">
        <f t="shared" ref="G64:G65" si="16">J64</f>
        <v>5038.6000000000004</v>
      </c>
      <c r="H64" s="22">
        <f>G64/G67</f>
        <v>0.10644045072310894</v>
      </c>
      <c r="I64" s="21">
        <f>J64/I54*B64</f>
        <v>6298.2500000000009</v>
      </c>
      <c r="J64" s="43">
        <f t="shared" si="8"/>
        <v>5038.6000000000004</v>
      </c>
      <c r="K64" s="43">
        <f>-K60*5-K59*4-K58*3-K57*2-K56*1</f>
        <v>5038.6000000000004</v>
      </c>
      <c r="L64" s="43">
        <v>0</v>
      </c>
      <c r="M64" s="43">
        <v>0</v>
      </c>
      <c r="N64" s="1"/>
      <c r="O64" s="1"/>
      <c r="P64" s="1"/>
      <c r="Q64" s="24"/>
    </row>
    <row r="65" spans="1:17" ht="15.75" customHeight="1">
      <c r="A65" s="20" t="s">
        <v>432</v>
      </c>
      <c r="B65" s="61">
        <v>2</v>
      </c>
      <c r="C65" s="21">
        <v>0</v>
      </c>
      <c r="D65" s="43">
        <v>0</v>
      </c>
      <c r="E65" s="22">
        <f t="shared" si="15"/>
        <v>0</v>
      </c>
      <c r="F65" s="21">
        <f t="shared" si="12"/>
        <v>1247.625</v>
      </c>
      <c r="G65" s="21">
        <f t="shared" si="16"/>
        <v>13973.4</v>
      </c>
      <c r="H65" s="22">
        <f>G65/G67</f>
        <v>0.29518814633713536</v>
      </c>
      <c r="I65" s="21">
        <f>J65/I54*B65</f>
        <v>1247.625</v>
      </c>
      <c r="J65" s="43">
        <f t="shared" si="8"/>
        <v>13973.4</v>
      </c>
      <c r="K65" s="43">
        <f>-K60*11-K59*9-K58*7-K57*5-K56*3</f>
        <v>13973.4</v>
      </c>
      <c r="L65" s="43">
        <v>0</v>
      </c>
      <c r="M65" s="43">
        <v>0</v>
      </c>
      <c r="N65" s="1"/>
      <c r="O65" s="1"/>
      <c r="P65" s="1"/>
      <c r="Q65" s="24"/>
    </row>
    <row r="66" spans="1:17" ht="15.75" customHeight="1">
      <c r="A66" s="20" t="s">
        <v>433</v>
      </c>
      <c r="B66" s="61">
        <v>28</v>
      </c>
      <c r="C66" s="21">
        <f>D66/I54*B66</f>
        <v>30167.083333333332</v>
      </c>
      <c r="D66" s="43">
        <f>G52*L51+D26</f>
        <v>24133.666666666664</v>
      </c>
      <c r="E66" s="22">
        <f>D66/D67</f>
        <v>0.64792773378771162</v>
      </c>
      <c r="F66" s="21">
        <f>I66+C66</f>
        <v>30167.083333333332</v>
      </c>
      <c r="G66" s="21">
        <f>D66+J66</f>
        <v>24133.666666666664</v>
      </c>
      <c r="H66" s="22">
        <f>G66/G67</f>
        <v>0.50982383154075928</v>
      </c>
      <c r="I66" s="21">
        <v>0</v>
      </c>
      <c r="J66" s="43">
        <f t="shared" si="8"/>
        <v>0</v>
      </c>
      <c r="K66" s="43">
        <v>0</v>
      </c>
      <c r="L66" s="43">
        <v>0</v>
      </c>
      <c r="M66" s="43">
        <v>0</v>
      </c>
      <c r="N66" s="1"/>
      <c r="O66" s="24">
        <f>D62+L62</f>
        <v>3326.4</v>
      </c>
      <c r="P66" s="1"/>
      <c r="Q66" s="24"/>
    </row>
    <row r="67" spans="1:17" ht="15.75" customHeight="1">
      <c r="A67" s="33" t="s">
        <v>54</v>
      </c>
      <c r="B67" s="15"/>
      <c r="C67" s="62">
        <f t="shared" ref="C67:H67" si="17">SUM(C56:C66)</f>
        <v>44932.083333333328</v>
      </c>
      <c r="D67" s="43">
        <f t="shared" si="17"/>
        <v>37247.466666666667</v>
      </c>
      <c r="E67" s="22">
        <f t="shared" si="17"/>
        <v>0.99999999999999989</v>
      </c>
      <c r="F67" s="62">
        <f t="shared" si="17"/>
        <v>44932.083333333328</v>
      </c>
      <c r="G67" s="21">
        <f t="shared" si="17"/>
        <v>47337.266666666663</v>
      </c>
      <c r="H67" s="22">
        <f t="shared" si="17"/>
        <v>1</v>
      </c>
      <c r="I67" s="21">
        <f>SUM(I56:I66)</f>
        <v>9.0949470177292824E-13</v>
      </c>
      <c r="J67" s="21">
        <f>SUM(J56:J66)</f>
        <v>10077.200000000001</v>
      </c>
      <c r="K67" s="21">
        <f>SUM(K56:K66)</f>
        <v>10077.200000000001</v>
      </c>
      <c r="L67" s="21">
        <f>SUM(L56:L66)</f>
        <v>0</v>
      </c>
      <c r="M67" s="21">
        <v>0</v>
      </c>
      <c r="N67" s="1"/>
      <c r="O67" s="1"/>
      <c r="P67" s="1"/>
      <c r="Q67" s="24"/>
    </row>
    <row r="68" spans="1:17" ht="15.75" customHeight="1">
      <c r="A68" s="1"/>
      <c r="B68" s="1"/>
      <c r="C68" s="24"/>
      <c r="D68" s="24"/>
      <c r="E68" s="1"/>
      <c r="F68" s="1"/>
      <c r="G68" s="1"/>
      <c r="H68" s="1"/>
      <c r="I68" s="4"/>
      <c r="J68" s="1"/>
      <c r="K68" s="1"/>
      <c r="L68" s="1"/>
      <c r="M68" s="1"/>
      <c r="N68" s="1"/>
      <c r="O68" s="1"/>
      <c r="P68" s="1"/>
      <c r="Q68" s="1"/>
    </row>
    <row r="69" spans="1:17" ht="15.75" customHeight="1">
      <c r="A69" s="1"/>
      <c r="B69" s="4"/>
      <c r="C69" s="4"/>
      <c r="D69" s="4"/>
      <c r="E69" s="1"/>
      <c r="F69" s="1"/>
      <c r="G69" s="63" t="s">
        <v>111</v>
      </c>
      <c r="H69" s="7"/>
      <c r="I69" s="43">
        <f>G65/G64</f>
        <v>2.7732703528757985</v>
      </c>
      <c r="J69" s="1"/>
      <c r="K69" s="24">
        <f>D59-D62/4</f>
        <v>-621.6</v>
      </c>
      <c r="L69" s="1"/>
      <c r="M69" s="1">
        <f>D59*4</f>
        <v>840</v>
      </c>
      <c r="N69" s="1" t="s">
        <v>112</v>
      </c>
      <c r="O69" s="24">
        <f>D62+L57</f>
        <v>3326.4</v>
      </c>
      <c r="P69" s="1"/>
      <c r="Q69" s="1"/>
    </row>
    <row r="70" spans="1:17" ht="15.75" customHeight="1">
      <c r="A70" s="7"/>
      <c r="B70" s="89" t="s">
        <v>113</v>
      </c>
      <c r="C70" s="15"/>
      <c r="D70" s="15">
        <v>9</v>
      </c>
      <c r="E70" s="112" t="s">
        <v>116</v>
      </c>
      <c r="F70" s="65">
        <v>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>
      <c r="A71" s="66" t="s">
        <v>94</v>
      </c>
      <c r="B71" s="89" t="s">
        <v>115</v>
      </c>
      <c r="C71" s="4"/>
      <c r="D71" s="15">
        <v>7</v>
      </c>
      <c r="E71" s="1" t="s">
        <v>116</v>
      </c>
      <c r="F71" s="65">
        <v>7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>
      <c r="A72" s="7"/>
      <c r="B72" s="89" t="s">
        <v>117</v>
      </c>
      <c r="C72" s="4"/>
      <c r="D72" s="15">
        <v>5</v>
      </c>
      <c r="E72" s="1" t="s">
        <v>116</v>
      </c>
      <c r="F72" s="65">
        <v>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>
      <c r="A73" s="7"/>
      <c r="B73" s="89" t="s">
        <v>120</v>
      </c>
      <c r="C73" s="4"/>
      <c r="D73" s="15">
        <v>3</v>
      </c>
      <c r="E73" s="1" t="s">
        <v>116</v>
      </c>
      <c r="F73" s="65">
        <v>3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>
      <c r="A74" s="7"/>
      <c r="B74" s="89" t="s">
        <v>122</v>
      </c>
      <c r="C74" s="4"/>
      <c r="D74" s="15">
        <v>1</v>
      </c>
      <c r="E74" s="1" t="s">
        <v>116</v>
      </c>
      <c r="F74" s="65">
        <v>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>
      <c r="A75" s="7"/>
      <c r="B75" s="15"/>
      <c r="C75" s="15"/>
      <c r="D75" s="15"/>
      <c r="E75" s="1"/>
      <c r="F75" s="6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>
      <c r="A76" s="7"/>
      <c r="B76" s="89" t="s">
        <v>125</v>
      </c>
      <c r="C76" s="4"/>
      <c r="D76" s="15">
        <v>10</v>
      </c>
      <c r="E76" s="112" t="s">
        <v>114</v>
      </c>
      <c r="F76" s="65">
        <v>10</v>
      </c>
      <c r="G76" s="1"/>
      <c r="H76" s="24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>
      <c r="A77" s="66" t="s">
        <v>95</v>
      </c>
      <c r="B77" s="4" t="s">
        <v>128</v>
      </c>
      <c r="C77" s="4"/>
      <c r="D77" s="15">
        <v>8</v>
      </c>
      <c r="E77" s="112" t="s">
        <v>114</v>
      </c>
      <c r="F77" s="65">
        <v>8</v>
      </c>
      <c r="G77" s="1"/>
      <c r="H77" s="1"/>
      <c r="I77" s="1"/>
      <c r="J77" s="1"/>
      <c r="K77" s="24"/>
      <c r="L77" s="1"/>
      <c r="M77" s="24"/>
      <c r="N77" s="1"/>
      <c r="O77" s="1"/>
      <c r="P77" s="1"/>
      <c r="Q77" s="1"/>
    </row>
    <row r="78" spans="1:17" ht="15.75" customHeight="1">
      <c r="A78" s="7"/>
      <c r="B78" s="4" t="s">
        <v>130</v>
      </c>
      <c r="C78" s="4"/>
      <c r="D78" s="15">
        <v>6</v>
      </c>
      <c r="E78" s="1" t="s">
        <v>114</v>
      </c>
      <c r="F78" s="65">
        <v>6</v>
      </c>
      <c r="G78" s="1"/>
      <c r="H78" s="1"/>
      <c r="I78" s="1"/>
      <c r="J78" s="1"/>
      <c r="K78" s="1"/>
      <c r="L78" s="24"/>
      <c r="M78" s="24"/>
      <c r="N78" s="1"/>
      <c r="O78" s="1"/>
      <c r="P78" s="1"/>
      <c r="Q78" s="1"/>
    </row>
    <row r="79" spans="1:17" ht="15.75" customHeight="1">
      <c r="A79" s="7"/>
      <c r="B79" s="4" t="s">
        <v>132</v>
      </c>
      <c r="C79" s="4"/>
      <c r="D79" s="15">
        <v>4</v>
      </c>
      <c r="E79" s="1" t="s">
        <v>114</v>
      </c>
      <c r="F79" s="65">
        <v>4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>
      <c r="A80" s="7"/>
      <c r="B80" s="4" t="s">
        <v>133</v>
      </c>
      <c r="C80" s="4"/>
      <c r="D80" s="15">
        <v>2</v>
      </c>
      <c r="E80" s="1" t="s">
        <v>114</v>
      </c>
      <c r="F80" s="65">
        <v>2</v>
      </c>
      <c r="G80" s="1"/>
      <c r="H80" s="1"/>
      <c r="I80" s="1"/>
      <c r="J80" s="1"/>
      <c r="K80" s="24"/>
      <c r="L80" s="1"/>
      <c r="M80" s="24"/>
      <c r="N80" s="1"/>
      <c r="O80" s="1"/>
      <c r="P80" s="1"/>
      <c r="Q80" s="1"/>
    </row>
    <row r="81" spans="1:17" ht="15.75" customHeight="1">
      <c r="A81" s="7"/>
      <c r="B81" s="15"/>
      <c r="C81" s="15"/>
      <c r="D81" s="1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>
      <c r="A82" s="7"/>
      <c r="B82" s="4" t="s">
        <v>134</v>
      </c>
      <c r="C82" s="4"/>
      <c r="D82" s="15">
        <v>8</v>
      </c>
      <c r="E82" s="1" t="s">
        <v>114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>
      <c r="A83" s="66" t="s">
        <v>96</v>
      </c>
      <c r="B83" s="4" t="s">
        <v>135</v>
      </c>
      <c r="C83" s="4"/>
      <c r="D83" s="15">
        <v>6</v>
      </c>
      <c r="E83" s="1" t="s">
        <v>114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>
      <c r="A84" s="7"/>
      <c r="B84" s="4" t="s">
        <v>136</v>
      </c>
      <c r="C84" s="4"/>
      <c r="D84" s="15">
        <v>2</v>
      </c>
      <c r="E84" s="1" t="s">
        <v>114</v>
      </c>
      <c r="F84" s="1"/>
      <c r="G84" s="1"/>
      <c r="H84" s="1"/>
      <c r="I84" s="1"/>
      <c r="J84" s="1"/>
      <c r="K84" s="1"/>
      <c r="L84" s="1"/>
      <c r="M84" s="1"/>
      <c r="N84" s="24"/>
      <c r="O84" s="24"/>
      <c r="P84" s="24"/>
      <c r="Q84" s="24"/>
    </row>
    <row r="85" spans="1:17" ht="15.75" customHeight="1">
      <c r="A85" s="7"/>
      <c r="B85" s="4" t="s">
        <v>137</v>
      </c>
      <c r="C85" s="4"/>
      <c r="D85" s="15">
        <v>3</v>
      </c>
      <c r="E85" s="1" t="s">
        <v>114</v>
      </c>
      <c r="F85" s="1"/>
      <c r="G85" s="1"/>
      <c r="H85" s="1"/>
      <c r="I85" s="1"/>
      <c r="J85" s="1"/>
      <c r="K85" s="1"/>
      <c r="L85" s="1"/>
      <c r="M85" s="1"/>
      <c r="N85" s="24"/>
      <c r="O85" s="24"/>
      <c r="P85" s="24"/>
      <c r="Q85" s="24"/>
    </row>
    <row r="86" spans="1:17" ht="15.75" customHeight="1">
      <c r="A86" s="7"/>
      <c r="B86" s="89" t="s">
        <v>138</v>
      </c>
      <c r="C86" s="4"/>
      <c r="D86" s="15">
        <v>1</v>
      </c>
      <c r="E86" s="1" t="s">
        <v>114</v>
      </c>
      <c r="F86" s="1"/>
      <c r="G86" s="1"/>
      <c r="H86" s="1"/>
      <c r="I86" s="1"/>
      <c r="J86" s="1"/>
      <c r="K86" s="1"/>
      <c r="L86" s="1"/>
      <c r="M86" s="1"/>
      <c r="N86" s="24"/>
      <c r="O86" s="24"/>
      <c r="P86" s="24"/>
      <c r="Q86" s="24"/>
    </row>
    <row r="87" spans="1:17" ht="15.75" customHeight="1">
      <c r="A87" s="1"/>
      <c r="B87" s="71"/>
      <c r="C87" s="71"/>
      <c r="D87" s="71"/>
      <c r="E87" s="1"/>
      <c r="F87" s="1"/>
      <c r="G87" s="1"/>
      <c r="H87" s="1"/>
      <c r="I87" s="1"/>
      <c r="J87" s="1"/>
      <c r="K87" s="1"/>
      <c r="L87" s="1"/>
      <c r="M87" s="1"/>
      <c r="N87" s="24"/>
      <c r="O87" s="24"/>
      <c r="P87" s="24"/>
      <c r="Q87" s="24"/>
    </row>
    <row r="88" spans="1:17" ht="15.75" customHeight="1">
      <c r="A88" s="72"/>
      <c r="B88" s="72"/>
      <c r="C88" s="51"/>
      <c r="D88" s="50"/>
      <c r="E88" s="1"/>
      <c r="F88" s="117" t="s">
        <v>139</v>
      </c>
      <c r="G88" s="118"/>
      <c r="H88" s="118"/>
      <c r="I88" s="118"/>
      <c r="J88" s="71"/>
      <c r="K88" s="71"/>
      <c r="L88" s="71"/>
      <c r="M88" s="71"/>
      <c r="N88" s="71"/>
      <c r="O88" s="24"/>
      <c r="P88" s="24"/>
      <c r="Q88" s="24"/>
    </row>
    <row r="89" spans="1:17" ht="15.75" customHeight="1">
      <c r="A89" s="4"/>
      <c r="B89" s="39" t="s">
        <v>140</v>
      </c>
      <c r="C89" s="40" t="s">
        <v>59</v>
      </c>
      <c r="D89" s="50"/>
      <c r="E89" s="4"/>
      <c r="F89" s="4"/>
      <c r="G89" s="1"/>
      <c r="H89" s="73"/>
      <c r="I89" s="74"/>
      <c r="J89" s="74"/>
      <c r="K89" s="74"/>
      <c r="L89" s="74"/>
      <c r="M89" s="74"/>
      <c r="N89" s="75"/>
      <c r="O89" s="24"/>
      <c r="P89" s="24"/>
      <c r="Q89" s="24"/>
    </row>
    <row r="90" spans="1:17" ht="15.75" customHeight="1" thickTop="1" thickBot="1">
      <c r="A90" s="76" t="s">
        <v>26</v>
      </c>
      <c r="B90" s="77" t="s">
        <v>60</v>
      </c>
      <c r="C90" s="77" t="s">
        <v>434</v>
      </c>
      <c r="D90" s="78">
        <v>11</v>
      </c>
      <c r="E90" s="37" t="s">
        <v>113</v>
      </c>
      <c r="F90" s="7"/>
      <c r="G90" s="7"/>
      <c r="H90" s="79" t="s">
        <v>142</v>
      </c>
      <c r="I90" s="79" t="s">
        <v>143</v>
      </c>
      <c r="J90" s="79" t="s">
        <v>144</v>
      </c>
      <c r="K90" s="79" t="s">
        <v>145</v>
      </c>
      <c r="L90" s="79" t="s">
        <v>146</v>
      </c>
      <c r="M90" s="79" t="s">
        <v>147</v>
      </c>
      <c r="N90" s="71"/>
      <c r="O90" s="1"/>
      <c r="P90" s="1"/>
      <c r="Q90" s="1"/>
    </row>
    <row r="91" spans="1:17" ht="15.75" customHeight="1" thickTop="1" thickBot="1">
      <c r="A91" s="20" t="s">
        <v>435</v>
      </c>
      <c r="B91" s="102">
        <v>35.700000000000003</v>
      </c>
      <c r="C91" s="102">
        <v>-74.599999999999994</v>
      </c>
      <c r="D91" s="78">
        <v>12</v>
      </c>
      <c r="E91" s="37" t="s">
        <v>115</v>
      </c>
      <c r="F91" s="7"/>
      <c r="G91" s="7"/>
      <c r="H91" s="109">
        <f>H36</f>
        <v>36876784.791666672</v>
      </c>
      <c r="I91" s="109">
        <f>E6*(1-I6)/D13*N50*20*1000/3600</f>
        <v>42297.458333333336</v>
      </c>
      <c r="J91" s="109">
        <f>(K60/D13*C108+K59/D13*C107+K58/D13*C106+K57/D13*C105+K56/D13*C104)*1000/3600*1000</f>
        <v>-12028434.722222224</v>
      </c>
      <c r="K91" s="109">
        <f>L56/D13*C109*1000/3600*1000</f>
        <v>0</v>
      </c>
      <c r="L91" s="21">
        <v>0</v>
      </c>
      <c r="M91" s="21">
        <f>H91+I91+J91+K91</f>
        <v>24890647.527777784</v>
      </c>
      <c r="N91" s="80"/>
      <c r="O91" s="1"/>
      <c r="P91" s="1"/>
      <c r="Q91" s="1"/>
    </row>
    <row r="92" spans="1:17" ht="15.75" customHeight="1" thickTop="1" thickBot="1">
      <c r="A92" s="20" t="s">
        <v>436</v>
      </c>
      <c r="B92" s="102">
        <v>52.49</v>
      </c>
      <c r="C92" s="102">
        <v>-84</v>
      </c>
      <c r="D92" s="78">
        <v>13</v>
      </c>
      <c r="E92" s="37" t="s">
        <v>117</v>
      </c>
      <c r="F92" s="7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 thickTop="1" thickBot="1">
      <c r="A93" s="20" t="s">
        <v>437</v>
      </c>
      <c r="B93" s="102">
        <v>73.599999999999994</v>
      </c>
      <c r="C93" s="102">
        <v>-103.85</v>
      </c>
      <c r="D93" s="78">
        <v>14</v>
      </c>
      <c r="E93" s="37" t="s">
        <v>120</v>
      </c>
      <c r="F93" s="7"/>
      <c r="G93" s="1"/>
      <c r="H93" s="4"/>
      <c r="I93" s="4"/>
      <c r="J93" s="1"/>
      <c r="K93" s="1"/>
      <c r="L93" s="1"/>
      <c r="M93" s="1"/>
      <c r="N93" s="1"/>
      <c r="O93" s="1"/>
      <c r="P93" s="1"/>
      <c r="Q93" s="1"/>
    </row>
    <row r="94" spans="1:17" ht="15.75" customHeight="1" thickTop="1" thickBot="1">
      <c r="A94" s="20" t="s">
        <v>438</v>
      </c>
      <c r="B94" s="102">
        <v>98.49</v>
      </c>
      <c r="C94" s="102">
        <v>-125.77</v>
      </c>
      <c r="D94" s="78">
        <v>15</v>
      </c>
      <c r="E94" s="37" t="s">
        <v>122</v>
      </c>
      <c r="F94" s="7"/>
      <c r="G94" s="7"/>
      <c r="H94" s="82" t="s">
        <v>152</v>
      </c>
      <c r="I94" s="110">
        <f>M91/(G67/D13*1000/3600*B103)</f>
        <v>1427.28626433254</v>
      </c>
      <c r="J94" s="1" t="s">
        <v>153</v>
      </c>
      <c r="K94" s="1"/>
      <c r="L94" s="1"/>
      <c r="M94" s="1"/>
      <c r="N94" s="1"/>
      <c r="O94" s="1"/>
      <c r="P94" s="1"/>
      <c r="Q94" s="1"/>
    </row>
    <row r="95" spans="1:17" ht="15.75" customHeight="1" thickTop="1" thickBot="1">
      <c r="A95" s="20" t="s">
        <v>439</v>
      </c>
      <c r="B95" s="102">
        <v>120.04</v>
      </c>
      <c r="C95" s="102">
        <v>-146.36000000000001</v>
      </c>
      <c r="D95" s="7"/>
      <c r="E95" s="1"/>
      <c r="F95" s="7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 thickTop="1" thickBot="1">
      <c r="A96" s="20" t="s">
        <v>440</v>
      </c>
      <c r="B96" s="102">
        <v>29.38</v>
      </c>
      <c r="C96" s="102">
        <v>0</v>
      </c>
      <c r="D96" s="78">
        <v>21</v>
      </c>
      <c r="E96" s="37" t="s">
        <v>125</v>
      </c>
      <c r="F96" s="7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 thickTop="1" thickBot="1">
      <c r="A97" s="20" t="s">
        <v>441</v>
      </c>
      <c r="B97" s="102">
        <v>37.14</v>
      </c>
      <c r="C97" s="102">
        <v>-393.51</v>
      </c>
      <c r="D97" s="78">
        <v>22</v>
      </c>
      <c r="E97" s="1" t="s">
        <v>128</v>
      </c>
      <c r="F97" s="7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 thickTop="1" thickBot="1">
      <c r="A98" s="20" t="s">
        <v>442</v>
      </c>
      <c r="B98" s="102">
        <v>33.6</v>
      </c>
      <c r="C98" s="102">
        <v>-241.83</v>
      </c>
      <c r="D98" s="78">
        <v>23</v>
      </c>
      <c r="E98" s="1" t="s">
        <v>130</v>
      </c>
      <c r="F98" s="7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 thickTop="1" thickBot="1">
      <c r="A99" s="20" t="s">
        <v>108</v>
      </c>
      <c r="B99" s="102">
        <v>29.14</v>
      </c>
      <c r="C99" s="102">
        <v>-110.53</v>
      </c>
      <c r="D99" s="78">
        <v>24</v>
      </c>
      <c r="E99" s="1" t="s">
        <v>132</v>
      </c>
      <c r="F99" s="7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 thickTop="1" thickBot="1">
      <c r="A100" s="20" t="s">
        <v>443</v>
      </c>
      <c r="B100" s="102">
        <v>28.84</v>
      </c>
      <c r="C100" s="102">
        <v>0</v>
      </c>
      <c r="D100" s="78">
        <v>25</v>
      </c>
      <c r="E100" s="1" t="s">
        <v>133</v>
      </c>
      <c r="F100" s="7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.75" customHeight="1" thickTop="1" thickBot="1">
      <c r="A101" s="84" t="s">
        <v>444</v>
      </c>
      <c r="B101" s="103">
        <v>29.12</v>
      </c>
      <c r="C101" s="43"/>
      <c r="D101" s="7"/>
      <c r="E101" s="1"/>
      <c r="F101" s="7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.75" customHeight="1" thickTop="1" thickBot="1">
      <c r="A102" s="85" t="s">
        <v>445</v>
      </c>
      <c r="B102" s="104">
        <f>B91*E56+B92*E57+B93*E58+B94*E59+B95*E60+B96*E61+B97*E62+B98*E63+B99*E64+B100*E65+B101*E66</f>
        <v>31.843369750425978</v>
      </c>
      <c r="C102" s="75"/>
      <c r="D102" s="78">
        <v>31</v>
      </c>
      <c r="E102" s="1" t="s">
        <v>134</v>
      </c>
      <c r="F102" s="7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.75" customHeight="1" thickTop="1" thickBot="1">
      <c r="A103" s="85" t="s">
        <v>446</v>
      </c>
      <c r="B103" s="105">
        <f>B91*H56+B92*H57+B93*H58+B94*H59+B95*H60+B96*H61+B97*H62+B98*H63+B99*H64+B100*H65+B101*H66</f>
        <v>29.707933988584045</v>
      </c>
      <c r="C103" s="86"/>
      <c r="D103" s="78">
        <v>32</v>
      </c>
      <c r="E103" s="1" t="s">
        <v>135</v>
      </c>
      <c r="F103" s="7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.75" customHeight="1" thickTop="1" thickBot="1">
      <c r="A104" s="7"/>
      <c r="B104" s="53" t="s">
        <v>162</v>
      </c>
      <c r="C104" s="106">
        <f>C99-C91-C98</f>
        <v>205.9</v>
      </c>
      <c r="D104" s="78">
        <v>33</v>
      </c>
      <c r="E104" s="1" t="s">
        <v>136</v>
      </c>
      <c r="F104" s="7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.75" customHeight="1" thickTop="1" thickBot="1">
      <c r="A105" s="7"/>
      <c r="B105" s="53" t="s">
        <v>163</v>
      </c>
      <c r="C105" s="107">
        <f>2*C99-C92-2*C98</f>
        <v>346.6</v>
      </c>
      <c r="D105" s="78">
        <v>34</v>
      </c>
      <c r="E105" s="1" t="s">
        <v>137</v>
      </c>
      <c r="F105" s="7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.75" customHeight="1" thickTop="1" thickBot="1">
      <c r="A106" s="7"/>
      <c r="B106" s="53" t="s">
        <v>164</v>
      </c>
      <c r="C106" s="108">
        <f>C99*3-C93-3*C98</f>
        <v>497.75</v>
      </c>
      <c r="D106" s="78">
        <v>35</v>
      </c>
      <c r="E106" s="89" t="s">
        <v>138</v>
      </c>
      <c r="F106" s="15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.75" customHeight="1" thickTop="1" thickBot="1">
      <c r="A107" s="7"/>
      <c r="B107" s="53" t="s">
        <v>165</v>
      </c>
      <c r="C107" s="108">
        <f>C99*4-C94-C98*4</f>
        <v>650.97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.75" customHeight="1" thickTop="1" thickBot="1">
      <c r="A108" s="7"/>
      <c r="B108" s="53" t="s">
        <v>166</v>
      </c>
      <c r="C108" s="108">
        <f>C99*5-C95-C98*5</f>
        <v>802.86000000000013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.75" customHeight="1" thickTop="1" thickBot="1">
      <c r="A109" s="7"/>
      <c r="B109" s="53" t="s">
        <v>167</v>
      </c>
      <c r="C109" s="47"/>
      <c r="D109" s="1" t="s">
        <v>79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.75" customHeight="1">
      <c r="A110" s="7"/>
      <c r="B110" s="53" t="s">
        <v>168</v>
      </c>
      <c r="C110" s="47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.75" customHeight="1">
      <c r="A111" s="7"/>
      <c r="B111" s="53" t="s">
        <v>169</v>
      </c>
      <c r="C111" s="47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.75" customHeight="1">
      <c r="A112" s="7"/>
      <c r="B112" s="53" t="s">
        <v>170</v>
      </c>
      <c r="C112" s="4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.75" customHeight="1">
      <c r="A113" s="7"/>
      <c r="B113" s="53" t="s">
        <v>171</v>
      </c>
      <c r="C113" s="4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.75" customHeight="1">
      <c r="A114" s="7"/>
      <c r="B114" s="53" t="s">
        <v>172</v>
      </c>
      <c r="C114" s="47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.75" customHeight="1">
      <c r="A115" s="7"/>
      <c r="B115" s="53" t="s">
        <v>173</v>
      </c>
      <c r="C115" s="47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.75" customHeight="1">
      <c r="A116" s="7"/>
      <c r="B116" s="53" t="s">
        <v>174</v>
      </c>
      <c r="C116" s="47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.75" customHeight="1">
      <c r="A117" s="7"/>
      <c r="B117" s="53" t="s">
        <v>175</v>
      </c>
      <c r="C117" s="47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.75" customHeight="1">
      <c r="A118" s="7"/>
      <c r="B118" s="53" t="s">
        <v>176</v>
      </c>
      <c r="C118" s="47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.75" customHeight="1"/>
    <row r="138" spans="1:17" ht="15.75" customHeight="1"/>
    <row r="139" spans="1:17" ht="15.75" customHeight="1"/>
    <row r="140" spans="1:17" ht="15.75" customHeight="1"/>
    <row r="141" spans="1:17" ht="15.75" customHeight="1"/>
    <row r="142" spans="1:17" ht="15.75" customHeight="1"/>
    <row r="143" spans="1:17" ht="15.75" customHeight="1"/>
    <row r="144" spans="1:17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6:E16"/>
    <mergeCell ref="F16:H16"/>
    <mergeCell ref="F88:I88"/>
    <mergeCell ref="D53:I53"/>
    <mergeCell ref="M7:O7"/>
    <mergeCell ref="M9:O9"/>
    <mergeCell ref="M11:O11"/>
    <mergeCell ref="M13:O13"/>
    <mergeCell ref="M15:O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0,15-1,1</vt:lpstr>
      <vt:lpstr>0,15-1,3</vt:lpstr>
      <vt:lpstr>0,15; 1,4</vt:lpstr>
      <vt:lpstr>0,2; 1,4</vt:lpstr>
      <vt:lpstr>0,3; 1,4</vt:lpstr>
      <vt:lpstr>0,35; 1,4</vt:lpstr>
      <vt:lpstr>0,4; 1,4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Ксения</dc:creator>
  <cp:lastModifiedBy>Леготин Андрей Александрович</cp:lastModifiedBy>
  <dcterms:created xsi:type="dcterms:W3CDTF">2024-04-18T20:19:19Z</dcterms:created>
  <dcterms:modified xsi:type="dcterms:W3CDTF">2024-05-23T18:44:28Z</dcterms:modified>
</cp:coreProperties>
</file>