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"/>
    </mc:Choice>
  </mc:AlternateContent>
  <xr:revisionPtr revIDLastSave="0" documentId="8_{29F426B5-654E-4683-8BF4-5B4A8751DCAB}" xr6:coauthVersionLast="47" xr6:coauthVersionMax="47" xr10:uidLastSave="{00000000-0000-0000-0000-000000000000}"/>
  <bookViews>
    <workbookView xWindow="-120" yWindow="480" windowWidth="29040" windowHeight="15840" xr2:uid="{15473426-B2F0-4ECE-A664-969CF82667B7}"/>
  </bookViews>
  <sheets>
    <sheet name="0.3+1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  <c r="C105" i="1" s="1"/>
  <c r="C97" i="1"/>
  <c r="C109" i="1" s="1"/>
  <c r="C96" i="1"/>
  <c r="C95" i="1"/>
  <c r="C108" i="1" s="1"/>
  <c r="C94" i="1"/>
  <c r="C107" i="1" s="1"/>
  <c r="C93" i="1"/>
  <c r="C106" i="1" s="1"/>
  <c r="M67" i="1"/>
  <c r="J66" i="1"/>
  <c r="E65" i="1"/>
  <c r="E64" i="1"/>
  <c r="J61" i="1"/>
  <c r="G61" i="1" s="1"/>
  <c r="I61" i="1"/>
  <c r="F61" i="1"/>
  <c r="E61" i="1"/>
  <c r="C61" i="1"/>
  <c r="G52" i="1"/>
  <c r="D60" i="1" s="1"/>
  <c r="L51" i="1"/>
  <c r="N50" i="1"/>
  <c r="I91" i="1" s="1"/>
  <c r="C45" i="1"/>
  <c r="C40" i="1"/>
  <c r="C39" i="1"/>
  <c r="F38" i="1"/>
  <c r="C38" i="1"/>
  <c r="C49" i="1" s="1"/>
  <c r="C37" i="1"/>
  <c r="C36" i="1"/>
  <c r="C35" i="1"/>
  <c r="C34" i="1"/>
  <c r="F29" i="1"/>
  <c r="D22" i="1" s="1"/>
  <c r="N26" i="1"/>
  <c r="I26" i="1"/>
  <c r="C25" i="1"/>
  <c r="C24" i="1"/>
  <c r="M21" i="1"/>
  <c r="O21" i="1" s="1"/>
  <c r="D21" i="1"/>
  <c r="C21" i="1"/>
  <c r="M20" i="1"/>
  <c r="N20" i="1" s="1"/>
  <c r="D20" i="1"/>
  <c r="J20" i="1" s="1"/>
  <c r="I20" i="1" s="1"/>
  <c r="C20" i="1"/>
  <c r="F20" i="1" s="1"/>
  <c r="D19" i="1"/>
  <c r="D18" i="1"/>
  <c r="E12" i="1"/>
  <c r="M22" i="1" l="1"/>
  <c r="C22" i="1"/>
  <c r="J22" i="1"/>
  <c r="G22" i="1"/>
  <c r="K60" i="1"/>
  <c r="C60" i="1"/>
  <c r="G60" i="1"/>
  <c r="C18" i="1"/>
  <c r="M18" i="1"/>
  <c r="O20" i="1"/>
  <c r="J21" i="1"/>
  <c r="I21" i="1" s="1"/>
  <c r="F21" i="1" s="1"/>
  <c r="D23" i="1"/>
  <c r="C46" i="1"/>
  <c r="C104" i="1"/>
  <c r="C47" i="1"/>
  <c r="J19" i="1"/>
  <c r="G20" i="1"/>
  <c r="N21" i="1"/>
  <c r="C48" i="1"/>
  <c r="D57" i="1"/>
  <c r="C19" i="1"/>
  <c r="M19" i="1"/>
  <c r="N19" i="1" s="1"/>
  <c r="D58" i="1"/>
  <c r="D59" i="1"/>
  <c r="O18" i="1" l="1"/>
  <c r="N18" i="1"/>
  <c r="G57" i="1"/>
  <c r="K57" i="1"/>
  <c r="J57" i="1" s="1"/>
  <c r="I57" i="1" s="1"/>
  <c r="C57" i="1"/>
  <c r="G21" i="1"/>
  <c r="I22" i="1"/>
  <c r="D26" i="1"/>
  <c r="C23" i="1"/>
  <c r="F22" i="1"/>
  <c r="N22" i="1"/>
  <c r="M23" i="1"/>
  <c r="O22" i="1"/>
  <c r="M25" i="1"/>
  <c r="M24" i="1"/>
  <c r="J60" i="1"/>
  <c r="I60" i="1" s="1"/>
  <c r="K58" i="1"/>
  <c r="J58" i="1" s="1"/>
  <c r="I58" i="1" s="1"/>
  <c r="C58" i="1"/>
  <c r="F58" i="1" s="1"/>
  <c r="O19" i="1"/>
  <c r="I19" i="1"/>
  <c r="F19" i="1" s="1"/>
  <c r="G19" i="1"/>
  <c r="K59" i="1"/>
  <c r="J59" i="1" s="1"/>
  <c r="I59" i="1" s="1"/>
  <c r="C59" i="1"/>
  <c r="F59" i="1" s="1"/>
  <c r="M69" i="1"/>
  <c r="F60" i="1"/>
  <c r="G58" i="1" l="1"/>
  <c r="O27" i="1"/>
  <c r="O24" i="1"/>
  <c r="N24" i="1"/>
  <c r="G59" i="1"/>
  <c r="O25" i="1"/>
  <c r="N25" i="1"/>
  <c r="C27" i="1"/>
  <c r="G26" i="1"/>
  <c r="O26" i="1"/>
  <c r="C26" i="1"/>
  <c r="F26" i="1" s="1"/>
  <c r="F57" i="1"/>
  <c r="O23" i="1"/>
  <c r="O16" i="1" s="1"/>
  <c r="G18" i="1" s="1"/>
  <c r="N23" i="1"/>
  <c r="N27" i="1" s="1"/>
  <c r="D27" i="1"/>
  <c r="E25" i="1" l="1"/>
  <c r="E24" i="1"/>
  <c r="E19" i="1"/>
  <c r="E20" i="1"/>
  <c r="E21" i="1"/>
  <c r="E18" i="1"/>
  <c r="E22" i="1"/>
  <c r="E23" i="1"/>
  <c r="J18" i="1"/>
  <c r="D56" i="1"/>
  <c r="D66" i="1"/>
  <c r="E26" i="1"/>
  <c r="B42" i="1" l="1"/>
  <c r="F36" i="1" s="1"/>
  <c r="E27" i="1"/>
  <c r="K56" i="1"/>
  <c r="L56" i="1" s="1"/>
  <c r="C56" i="1"/>
  <c r="C66" i="1"/>
  <c r="F66" i="1" s="1"/>
  <c r="G66" i="1"/>
  <c r="I18" i="1"/>
  <c r="J23" i="1"/>
  <c r="J25" i="1"/>
  <c r="J24" i="1"/>
  <c r="G36" i="1"/>
  <c r="L65" i="1" l="1"/>
  <c r="L64" i="1"/>
  <c r="L62" i="1"/>
  <c r="J62" i="1" s="1"/>
  <c r="K91" i="1"/>
  <c r="L67" i="1"/>
  <c r="G24" i="1"/>
  <c r="I24" i="1"/>
  <c r="F24" i="1" s="1"/>
  <c r="I23" i="1"/>
  <c r="F23" i="1" s="1"/>
  <c r="G23" i="1"/>
  <c r="J27" i="1"/>
  <c r="G25" i="1"/>
  <c r="I25" i="1"/>
  <c r="F25" i="1" s="1"/>
  <c r="K67" i="1"/>
  <c r="J56" i="1"/>
  <c r="K64" i="1"/>
  <c r="J64" i="1" s="1"/>
  <c r="K65" i="1"/>
  <c r="J65" i="1" s="1"/>
  <c r="K63" i="1"/>
  <c r="J63" i="1" s="1"/>
  <c r="J91" i="1"/>
  <c r="F18" i="1"/>
  <c r="F27" i="1" s="1"/>
  <c r="H36" i="1"/>
  <c r="H91" i="1" s="1"/>
  <c r="M91" i="1" s="1"/>
  <c r="D62" i="1" l="1"/>
  <c r="I56" i="1"/>
  <c r="J67" i="1"/>
  <c r="G56" i="1"/>
  <c r="D63" i="1"/>
  <c r="G63" i="1" s="1"/>
  <c r="H25" i="1"/>
  <c r="I27" i="1"/>
  <c r="I63" i="1"/>
  <c r="G27" i="1"/>
  <c r="I62" i="1"/>
  <c r="G62" i="1"/>
  <c r="I65" i="1"/>
  <c r="F65" i="1" s="1"/>
  <c r="G65" i="1"/>
  <c r="I64" i="1"/>
  <c r="F64" i="1" s="1"/>
  <c r="G64" i="1"/>
  <c r="G67" i="1" l="1"/>
  <c r="I67" i="1"/>
  <c r="F56" i="1"/>
  <c r="H65" i="1"/>
  <c r="I69" i="1"/>
  <c r="H62" i="1"/>
  <c r="H20" i="1"/>
  <c r="H22" i="1"/>
  <c r="H19" i="1"/>
  <c r="H21" i="1"/>
  <c r="H18" i="1"/>
  <c r="H26" i="1"/>
  <c r="H23" i="1"/>
  <c r="H24" i="1"/>
  <c r="C63" i="1"/>
  <c r="F63" i="1" s="1"/>
  <c r="H64" i="1"/>
  <c r="C62" i="1"/>
  <c r="K69" i="1"/>
  <c r="D67" i="1"/>
  <c r="E60" i="1" l="1"/>
  <c r="E59" i="1"/>
  <c r="E58" i="1"/>
  <c r="E57" i="1"/>
  <c r="E66" i="1"/>
  <c r="E56" i="1"/>
  <c r="E67" i="1" s="1"/>
  <c r="H61" i="1"/>
  <c r="H60" i="1"/>
  <c r="H57" i="1"/>
  <c r="H59" i="1"/>
  <c r="H58" i="1"/>
  <c r="H66" i="1"/>
  <c r="F62" i="1"/>
  <c r="F67" i="1" s="1"/>
  <c r="C67" i="1"/>
  <c r="E62" i="1"/>
  <c r="E63" i="1"/>
  <c r="H56" i="1"/>
  <c r="H27" i="1"/>
  <c r="B43" i="1"/>
  <c r="H63" i="1"/>
  <c r="H67" i="1" l="1"/>
  <c r="B103" i="1"/>
  <c r="I94" i="1" s="1"/>
</calcChain>
</file>

<file path=xl/sharedStrings.xml><?xml version="1.0" encoding="utf-8"?>
<sst xmlns="http://schemas.openxmlformats.org/spreadsheetml/2006/main" count="227" uniqueCount="136">
  <si>
    <t xml:space="preserve">Зона горения </t>
  </si>
  <si>
    <t>Половникова К.В., Смирнова Е.Е. ВАРИАНТ 14</t>
  </si>
  <si>
    <t>Расчет зоны горения</t>
  </si>
  <si>
    <t>Исходные данные</t>
  </si>
  <si>
    <t>Расход природного газа</t>
  </si>
  <si>
    <t>м3/ч</t>
  </si>
  <si>
    <t>Доля газа на горение</t>
  </si>
  <si>
    <t>состав</t>
  </si>
  <si>
    <r>
      <rPr>
        <sz val="10"/>
        <color rgb="FF333333"/>
        <rFont val="Arial"/>
        <family val="2"/>
        <charset val="204"/>
      </rPr>
      <t>СН</t>
    </r>
    <r>
      <rPr>
        <vertAlign val="subscript"/>
        <sz val="10"/>
        <color rgb="FF333333"/>
        <rFont val="Arial"/>
        <family val="2"/>
        <charset val="204"/>
      </rPr>
      <t>4</t>
    </r>
  </si>
  <si>
    <t>Коэффициент избытка</t>
  </si>
  <si>
    <r>
      <rPr>
        <sz val="10"/>
        <color rgb="FF333333"/>
        <rFont val="Arial"/>
        <family val="2"/>
        <charset val="204"/>
      </rPr>
      <t>C</t>
    </r>
    <r>
      <rPr>
        <vertAlign val="subscript"/>
        <sz val="10"/>
        <color rgb="FF333333"/>
        <rFont val="Arial"/>
        <family val="2"/>
        <charset val="204"/>
      </rPr>
      <t>2</t>
    </r>
    <r>
      <rPr>
        <sz val="10"/>
        <color rgb="FF333333"/>
        <rFont val="Arial"/>
        <family val="2"/>
        <charset val="204"/>
      </rPr>
      <t>H</t>
    </r>
    <r>
      <rPr>
        <vertAlign val="subscript"/>
        <sz val="10"/>
        <color rgb="FF333333"/>
        <rFont val="Arial"/>
        <family val="2"/>
        <charset val="204"/>
      </rPr>
      <t>6</t>
    </r>
  </si>
  <si>
    <t>последовательность протекания реакций в зоне горения</t>
  </si>
  <si>
    <r>
      <rPr>
        <sz val="10"/>
        <color rgb="FF333333"/>
        <rFont val="Arial"/>
        <family val="2"/>
        <charset val="204"/>
      </rPr>
      <t>C</t>
    </r>
    <r>
      <rPr>
        <vertAlign val="subscript"/>
        <sz val="10"/>
        <color rgb="FF333333"/>
        <rFont val="Arial"/>
        <family val="2"/>
        <charset val="204"/>
      </rPr>
      <t>3</t>
    </r>
    <r>
      <rPr>
        <sz val="10"/>
        <color rgb="FF333333"/>
        <rFont val="Arial"/>
        <family val="2"/>
        <charset val="204"/>
      </rPr>
      <t>H</t>
    </r>
    <r>
      <rPr>
        <vertAlign val="subscript"/>
        <sz val="10"/>
        <color rgb="FF333333"/>
        <rFont val="Arial"/>
        <family val="2"/>
        <charset val="204"/>
      </rPr>
      <t>8</t>
    </r>
  </si>
  <si>
    <t>СН4 + 2О2 = СО2 + 2Н2О</t>
  </si>
  <si>
    <r>
      <rPr>
        <sz val="10"/>
        <color rgb="FF333333"/>
        <rFont val="Arial"/>
        <family val="2"/>
        <charset val="204"/>
      </rPr>
      <t>C</t>
    </r>
    <r>
      <rPr>
        <vertAlign val="subscript"/>
        <sz val="10"/>
        <color rgb="FF333333"/>
        <rFont val="Arial"/>
        <family val="2"/>
        <charset val="204"/>
      </rPr>
      <t>4</t>
    </r>
    <r>
      <rPr>
        <sz val="10"/>
        <color rgb="FF333333"/>
        <rFont val="Arial"/>
        <family val="2"/>
        <charset val="204"/>
      </rPr>
      <t>H</t>
    </r>
    <r>
      <rPr>
        <vertAlign val="subscript"/>
        <sz val="10"/>
        <color rgb="FF333333"/>
        <rFont val="Arial"/>
        <family val="2"/>
        <charset val="204"/>
      </rPr>
      <t>10</t>
    </r>
  </si>
  <si>
    <t>С2Н6 + 3,5О2 = 2СО2 + 3Н2О</t>
  </si>
  <si>
    <r>
      <rPr>
        <sz val="10"/>
        <color rgb="FF333333"/>
        <rFont val="Arial"/>
        <family val="2"/>
        <charset val="204"/>
      </rPr>
      <t>C</t>
    </r>
    <r>
      <rPr>
        <vertAlign val="subscript"/>
        <sz val="10"/>
        <color rgb="FF333333"/>
        <rFont val="Arial"/>
        <family val="2"/>
        <charset val="204"/>
      </rPr>
      <t>5</t>
    </r>
    <r>
      <rPr>
        <sz val="10"/>
        <color rgb="FF333333"/>
        <rFont val="Arial"/>
        <family val="2"/>
        <charset val="204"/>
      </rPr>
      <t>H</t>
    </r>
    <r>
      <rPr>
        <vertAlign val="subscript"/>
        <sz val="10"/>
        <color rgb="FF333333"/>
        <rFont val="Arial"/>
        <family val="2"/>
        <charset val="204"/>
      </rPr>
      <t>12</t>
    </r>
  </si>
  <si>
    <t>С3Н8 + 5О2 = 3СО2 + 4Н2О</t>
  </si>
  <si>
    <t>азот</t>
  </si>
  <si>
    <t>С4Н10 + 6,5О2 = 4СО2 + 5Н2О</t>
  </si>
  <si>
    <t>С5Н12 + 8Н2О = 5СО2 + 6Н2О</t>
  </si>
  <si>
    <t>Материальный баланс зоны горения энерготехнологичного реактора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</si>
  <si>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</si>
  <si>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</si>
  <si>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</si>
  <si>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</si>
  <si>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</si>
  <si>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</si>
  <si>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</si>
  <si>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ZN</t>
  </si>
  <si>
    <t>GK</t>
  </si>
  <si>
    <t>VK</t>
  </si>
  <si>
    <t>ZK</t>
  </si>
  <si>
    <t>GR</t>
  </si>
  <si>
    <t>VR</t>
  </si>
  <si>
    <t>Ch4</t>
  </si>
  <si>
    <t>c2h6</t>
  </si>
  <si>
    <t>c3h8</t>
  </si>
  <si>
    <t>c4h10</t>
  </si>
  <si>
    <t>c5h12</t>
  </si>
  <si>
    <r>
      <rPr>
        <sz val="10"/>
        <color rgb="FF333333"/>
        <rFont val="Arial"/>
        <family val="2"/>
        <charset val="204"/>
      </rPr>
      <t>O</t>
    </r>
    <r>
      <rPr>
        <vertAlign val="subscript"/>
        <sz val="10"/>
        <color rgb="FF333333"/>
        <rFont val="Arial"/>
        <family val="2"/>
        <charset val="204"/>
      </rPr>
      <t>2</t>
    </r>
  </si>
  <si>
    <r>
      <rPr>
        <sz val="10"/>
        <color theme="1"/>
        <rFont val="Arial"/>
        <family val="2"/>
        <charset val="204"/>
      </rPr>
      <t>O</t>
    </r>
    <r>
      <rPr>
        <vertAlign val="subscript"/>
        <sz val="10"/>
        <color theme="1"/>
        <rFont val="Arial"/>
        <family val="2"/>
        <charset val="204"/>
      </rPr>
      <t>2</t>
    </r>
  </si>
  <si>
    <r>
      <rPr>
        <sz val="10"/>
        <color rgb="FF333333"/>
        <rFont val="Arial"/>
        <family val="2"/>
        <charset val="204"/>
      </rPr>
      <t>CO</t>
    </r>
    <r>
      <rPr>
        <vertAlign val="subscript"/>
        <sz val="10"/>
        <color rgb="FF333333"/>
        <rFont val="Arial"/>
        <family val="2"/>
        <charset val="204"/>
      </rPr>
      <t>2</t>
    </r>
  </si>
  <si>
    <r>
      <rPr>
        <sz val="10"/>
        <color theme="1"/>
        <rFont val="Arial"/>
        <family val="2"/>
        <charset val="204"/>
      </rPr>
      <t>CO</t>
    </r>
    <r>
      <rPr>
        <vertAlign val="subscript"/>
        <sz val="10"/>
        <color theme="1"/>
        <rFont val="Arial"/>
        <family val="2"/>
        <charset val="204"/>
      </rPr>
      <t>2</t>
    </r>
  </si>
  <si>
    <r>
      <rPr>
        <sz val="10"/>
        <color rgb="FF333333"/>
        <rFont val="Arial"/>
        <family val="2"/>
        <charset val="204"/>
      </rPr>
      <t>H</t>
    </r>
    <r>
      <rPr>
        <vertAlign val="subscript"/>
        <sz val="10"/>
        <color rgb="FF333333"/>
        <rFont val="Arial"/>
        <family val="2"/>
        <charset val="204"/>
      </rPr>
      <t>2</t>
    </r>
    <r>
      <rPr>
        <sz val="10"/>
        <color rgb="FF333333"/>
        <rFont val="Arial"/>
        <family val="2"/>
        <charset val="204"/>
      </rPr>
      <t>O</t>
    </r>
  </si>
  <si>
    <r>
      <rPr>
        <sz val="10"/>
        <color theme="1"/>
        <rFont val="Arial"/>
        <family val="2"/>
        <charset val="204"/>
      </rPr>
      <t>H</t>
    </r>
    <r>
      <rPr>
        <vertAlign val="sub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O</t>
    </r>
  </si>
  <si>
    <r>
      <rPr>
        <sz val="10"/>
        <color rgb="FF333333"/>
        <rFont val="Arial"/>
        <family val="2"/>
        <charset val="204"/>
      </rPr>
      <t>N</t>
    </r>
    <r>
      <rPr>
        <vertAlign val="subscript"/>
        <sz val="10"/>
        <color rgb="FF333333"/>
        <rFont val="Arial"/>
        <family val="2"/>
        <charset val="204"/>
      </rPr>
      <t>2</t>
    </r>
  </si>
  <si>
    <r>
      <rPr>
        <sz val="10"/>
        <color theme="1"/>
        <rFont val="Arial"/>
        <family val="2"/>
        <charset val="204"/>
      </rPr>
      <t>N</t>
    </r>
    <r>
      <rPr>
        <vertAlign val="subscript"/>
        <sz val="10"/>
        <color theme="1"/>
        <rFont val="Arial"/>
        <family val="2"/>
        <charset val="204"/>
      </rPr>
      <t>2</t>
    </r>
  </si>
  <si>
    <t>Сумма</t>
  </si>
  <si>
    <t>Расход природного газа в зону горения</t>
  </si>
  <si>
    <t>Твх=</t>
  </si>
  <si>
    <t>С</t>
  </si>
  <si>
    <t>Дж/(моль/К)</t>
  </si>
  <si>
    <t>кДж/моль</t>
  </si>
  <si>
    <t>Ср</t>
  </si>
  <si>
    <r>
      <rPr>
        <b/>
        <sz val="12"/>
        <color theme="1"/>
        <rFont val="Arial"/>
        <family val="2"/>
        <charset val="204"/>
      </rPr>
      <t>∆H</t>
    </r>
    <r>
      <rPr>
        <b/>
        <vertAlign val="subscript"/>
        <sz val="12"/>
        <color theme="1"/>
        <rFont val="Arial"/>
        <family val="2"/>
        <charset val="204"/>
      </rPr>
      <t>обр</t>
    </r>
  </si>
  <si>
    <t>В данных условиях наблюдается недостаток кислорода, поэтому рассмотрим другие условия.</t>
  </si>
  <si>
    <t>Тепловой баланс зоны горения</t>
  </si>
  <si>
    <t>Q вх</t>
  </si>
  <si>
    <t>Q хр</t>
  </si>
  <si>
    <t>Q вых</t>
  </si>
  <si>
    <t>Дж/с</t>
  </si>
  <si>
    <r>
      <rPr>
        <sz val="12"/>
        <color rgb="FF333333"/>
        <rFont val="Arial"/>
        <family val="2"/>
        <charset val="204"/>
      </rPr>
      <t>С</t>
    </r>
    <r>
      <rPr>
        <vertAlign val="subscript"/>
        <sz val="12"/>
        <color rgb="FF333333"/>
        <rFont val="Arial"/>
        <family val="2"/>
        <charset val="204"/>
      </rPr>
      <t>p вх</t>
    </r>
  </si>
  <si>
    <r>
      <rPr>
        <sz val="12"/>
        <color rgb="FF333333"/>
        <rFont val="Arial"/>
        <family val="2"/>
        <charset val="204"/>
      </rPr>
      <t>С</t>
    </r>
    <r>
      <rPr>
        <vertAlign val="subscript"/>
        <sz val="12"/>
        <color rgb="FF333333"/>
        <rFont val="Arial"/>
        <family val="2"/>
        <charset val="204"/>
      </rPr>
      <t>p вых</t>
    </r>
  </si>
  <si>
    <t>∆H1</t>
  </si>
  <si>
    <t>кДж</t>
  </si>
  <si>
    <t>Ср, Дж/(моль/К)</t>
  </si>
  <si>
    <t>∆H2</t>
  </si>
  <si>
    <t>СН4</t>
  </si>
  <si>
    <t>∆H3</t>
  </si>
  <si>
    <t>С2Н6</t>
  </si>
  <si>
    <t>∆H4</t>
  </si>
  <si>
    <t>С3Н8</t>
  </si>
  <si>
    <t>∆H5</t>
  </si>
  <si>
    <t>С4Н10</t>
  </si>
  <si>
    <t>Ср ПГ</t>
  </si>
  <si>
    <t>С5Н12</t>
  </si>
  <si>
    <t>Расчёт зоны конверсии</t>
  </si>
  <si>
    <t>Расход ПГ в зону конверсии</t>
  </si>
  <si>
    <t>Материальный баланс зоны конверсии энерготехнологичного реактора</t>
  </si>
  <si>
    <t>ПК</t>
  </si>
  <si>
    <t>УК</t>
  </si>
  <si>
    <t>ПО</t>
  </si>
  <si>
    <t>VR1</t>
  </si>
  <si>
    <t>VR2</t>
  </si>
  <si>
    <t>VR3</t>
  </si>
  <si>
    <r>
      <rPr>
        <sz val="10"/>
        <color rgb="FF333333"/>
        <rFont val="Arial"/>
        <family val="2"/>
        <charset val="204"/>
      </rPr>
      <t>О</t>
    </r>
    <r>
      <rPr>
        <vertAlign val="subscript"/>
        <sz val="10"/>
        <color rgb="FF333333"/>
        <rFont val="Arial"/>
        <family val="2"/>
        <charset val="204"/>
      </rPr>
      <t>2</t>
    </r>
  </si>
  <si>
    <t>CO</t>
  </si>
  <si>
    <r>
      <rPr>
        <sz val="10"/>
        <color rgb="FF333333"/>
        <rFont val="Arial"/>
        <family val="2"/>
        <charset val="204"/>
      </rPr>
      <t>H</t>
    </r>
    <r>
      <rPr>
        <vertAlign val="subscript"/>
        <sz val="10"/>
        <color rgb="FF333333"/>
        <rFont val="Arial"/>
        <family val="2"/>
        <charset val="204"/>
      </rPr>
      <t>2</t>
    </r>
  </si>
  <si>
    <t>Соотношение Н2/СО</t>
  </si>
  <si>
    <t>со2</t>
  </si>
  <si>
    <t>CH4+H2O=CO+3H2</t>
  </si>
  <si>
    <t>да</t>
  </si>
  <si>
    <t>C2H6+2H2O=2CO+5H2</t>
  </si>
  <si>
    <t>C3H8+3H2O=3CO+7H2</t>
  </si>
  <si>
    <t>C4H10+4H2O=4CO+9H2</t>
  </si>
  <si>
    <t>C5H12+5H2O=5CO+11H2</t>
  </si>
  <si>
    <t>CH4+CO2=2CO+2H2</t>
  </si>
  <si>
    <t>C2H6+2CO2=4CO+3H2</t>
  </si>
  <si>
    <t>нет</t>
  </si>
  <si>
    <t>C3H8+3CO2=6CO+4H2</t>
  </si>
  <si>
    <t>C4H10+4CO2=8CO+5H2</t>
  </si>
  <si>
    <t>C5H12+5CO2=10CO+6H2</t>
  </si>
  <si>
    <t>2CH4+O2=2CO+4H2</t>
  </si>
  <si>
    <t>C2H6+O2=2CO+3H2</t>
  </si>
  <si>
    <t>2C3H8+3O2=6CO+8H2</t>
  </si>
  <si>
    <t>C4H10+2O2=4CO+5H2</t>
  </si>
  <si>
    <t>2C5H12+5O2=10CO+12H2</t>
  </si>
  <si>
    <t>Совместный тепловой баланс зон горения и конверсии</t>
  </si>
  <si>
    <t>Дж/(моль*/К)</t>
  </si>
  <si>
    <t>Q вых гор</t>
  </si>
  <si>
    <t>Q вх пг</t>
  </si>
  <si>
    <t>Q пк</t>
  </si>
  <si>
    <t>Q ук</t>
  </si>
  <si>
    <t>Q по</t>
  </si>
  <si>
    <t>Q вых кон</t>
  </si>
  <si>
    <t>Т вых</t>
  </si>
  <si>
    <t>°С</t>
  </si>
  <si>
    <r>
      <rPr>
        <b/>
        <sz val="12"/>
        <color rgb="FF333333"/>
        <rFont val="Arial"/>
        <family val="2"/>
        <charset val="204"/>
      </rPr>
      <t>С</t>
    </r>
    <r>
      <rPr>
        <b/>
        <vertAlign val="subscript"/>
        <sz val="12"/>
        <color rgb="FF333333"/>
        <rFont val="Arial"/>
        <family val="2"/>
        <charset val="204"/>
      </rPr>
      <t>p вх</t>
    </r>
  </si>
  <si>
    <t>м</t>
  </si>
  <si>
    <r>
      <rPr>
        <b/>
        <sz val="12"/>
        <color rgb="FF333333"/>
        <rFont val="Arial"/>
        <family val="2"/>
        <charset val="204"/>
      </rPr>
      <t>С</t>
    </r>
    <r>
      <rPr>
        <b/>
        <vertAlign val="subscript"/>
        <sz val="12"/>
        <color rgb="FF333333"/>
        <rFont val="Arial"/>
        <family val="2"/>
        <charset val="204"/>
      </rPr>
      <t>p вых</t>
    </r>
  </si>
  <si>
    <t>∆H11</t>
  </si>
  <si>
    <t>∆H12</t>
  </si>
  <si>
    <t>∆H13</t>
  </si>
  <si>
    <t>∆H14</t>
  </si>
  <si>
    <t>∆H15</t>
  </si>
  <si>
    <t>∆H21</t>
  </si>
  <si>
    <t>∆H22</t>
  </si>
  <si>
    <t>∆H23</t>
  </si>
  <si>
    <t>∆H24</t>
  </si>
  <si>
    <t>∆H25</t>
  </si>
  <si>
    <t>∆H31</t>
  </si>
  <si>
    <t>∆H32</t>
  </si>
  <si>
    <t>∆H33</t>
  </si>
  <si>
    <t>∆H34</t>
  </si>
  <si>
    <t>∆H35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</si>
</sst>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27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rgb="FF333333"/>
      <name val="Arial"/>
      <family val="2"/>
      <charset val="204"/>
    </font>
    <font>
      <b/>
      <sz val="12"/>
      <color rgb="FF800000"/>
      <name val="Arial"/>
      <family val="2"/>
      <charset val="204"/>
    </font>
    <font>
      <sz val="12"/>
      <color theme="1"/>
      <name val="Arial"/>
      <family val="2"/>
      <charset val="204"/>
    </font>
    <font>
      <sz val="10"/>
      <color rgb="FF333333"/>
      <name val="Arial"/>
      <family val="2"/>
      <charset val="204"/>
    </font>
    <font>
      <vertAlign val="subscript"/>
      <sz val="10"/>
      <color rgb="FF333333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800000"/>
      <name val="Arial"/>
      <family val="2"/>
      <charset val="204"/>
    </font>
    <font>
      <sz val="10"/>
      <name val="Arial"/>
      <family val="2"/>
      <charset val="204"/>
    </font>
    <font>
      <b/>
      <sz val="10"/>
      <color rgb="FF333333"/>
      <name val="Arial"/>
      <family val="2"/>
      <charset val="204"/>
    </font>
    <font>
      <vertAlign val="subscript"/>
      <sz val="10"/>
      <color theme="1"/>
      <name val="Arial"/>
      <family val="2"/>
      <charset val="204"/>
    </font>
    <font>
      <sz val="10"/>
      <color theme="4"/>
      <name val="Arial"/>
      <family val="2"/>
      <charset val="204"/>
    </font>
    <font>
      <sz val="10"/>
      <color rgb="FF80000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vertAlign val="subscript"/>
      <sz val="12"/>
      <color theme="1"/>
      <name val="Arial"/>
      <family val="2"/>
      <charset val="204"/>
    </font>
    <font>
      <b/>
      <sz val="12"/>
      <color rgb="FF333333"/>
      <name val="Arial"/>
      <family val="2"/>
      <charset val="204"/>
    </font>
    <font>
      <sz val="12"/>
      <color rgb="FF333333"/>
      <name val="Arial"/>
      <family val="2"/>
      <charset val="204"/>
    </font>
    <font>
      <vertAlign val="subscript"/>
      <sz val="12"/>
      <color rgb="FF333333"/>
      <name val="Arial"/>
      <family val="2"/>
      <charset val="204"/>
    </font>
    <font>
      <sz val="9"/>
      <color rgb="FF000000"/>
      <name val="&quot;Google Sans Mono&quot;"/>
    </font>
    <font>
      <b/>
      <sz val="10"/>
      <color theme="1"/>
      <name val="Arial"/>
      <family val="2"/>
      <charset val="204"/>
    </font>
    <font>
      <b/>
      <sz val="14"/>
      <color rgb="FF80000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vertAlign val="subscript"/>
      <sz val="12"/>
      <color rgb="FF333333"/>
      <name val="Arial"/>
      <family val="2"/>
      <charset val="204"/>
    </font>
    <font>
      <sz val="10"/>
      <color rgb="FF000000"/>
      <name val="Aptos Narrow"/>
      <family val="2"/>
      <charset val="20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/>
      <top/>
      <bottom style="thick">
        <color rgb="FF800000"/>
      </bottom>
      <diagonal/>
    </border>
    <border>
      <left/>
      <right style="thick">
        <color rgb="FF808080"/>
      </right>
      <top/>
      <bottom/>
      <diagonal/>
    </border>
    <border>
      <left/>
      <right style="thick">
        <color rgb="FF800000"/>
      </right>
      <top/>
      <bottom style="thick">
        <color rgb="FF808080"/>
      </bottom>
      <diagonal/>
    </border>
    <border>
      <left/>
      <right style="thick">
        <color rgb="FF800000"/>
      </right>
      <top/>
      <bottom style="thick">
        <color rgb="FF800000"/>
      </bottom>
      <diagonal/>
    </border>
    <border>
      <left/>
      <right style="thick">
        <color rgb="FF808080"/>
      </right>
      <top/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/>
      <bottom style="thick">
        <color rgb="FF808080"/>
      </bottom>
      <diagonal/>
    </border>
    <border>
      <left/>
      <right style="thick">
        <color rgb="FF808080"/>
      </right>
      <top/>
      <bottom style="thick">
        <color rgb="FF800000"/>
      </bottom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thick">
        <color rgb="FF808080"/>
      </bottom>
      <diagonal/>
    </border>
    <border>
      <left style="thick">
        <color rgb="FF808080"/>
      </left>
      <right style="thick">
        <color rgb="FF800000"/>
      </right>
      <top/>
      <bottom style="thick">
        <color rgb="FF80808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ck">
        <color rgb="FF80808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rgb="FF808080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ck">
        <color rgb="FF808080"/>
      </left>
      <right style="thick">
        <color theme="0" tint="-0.499984740745262"/>
      </right>
      <top style="thick">
        <color rgb="FF808080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/>
      <diagonal/>
    </border>
    <border>
      <left/>
      <right style="hair">
        <color rgb="FF000000"/>
      </right>
      <top/>
      <bottom style="thick">
        <color rgb="FF808080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rgb="FF808080"/>
      </left>
      <right style="thick">
        <color rgb="FF808080"/>
      </right>
      <top/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/>
      <bottom style="thick">
        <color rgb="FF800000"/>
      </bottom>
      <diagonal/>
    </border>
    <border>
      <left style="thick">
        <color indexed="16"/>
      </left>
      <right style="thick">
        <color rgb="FF800000"/>
      </right>
      <top style="thick">
        <color indexed="16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hair">
        <color rgb="FF000000"/>
      </right>
      <top/>
      <bottom style="thick">
        <color rgb="FF8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6" xfId="0" applyFont="1" applyBorder="1"/>
    <xf numFmtId="0" fontId="5" fillId="0" borderId="4" xfId="0" applyFont="1" applyBorder="1" applyAlignment="1">
      <alignment horizontal="center"/>
    </xf>
    <xf numFmtId="0" fontId="7" fillId="2" borderId="0" xfId="0" applyFont="1" applyFill="1" applyAlignment="1">
      <alignment horizontal="left"/>
    </xf>
    <xf numFmtId="0" fontId="1" fillId="0" borderId="0" xfId="0" applyFont="1"/>
    <xf numFmtId="0" fontId="0" fillId="0" borderId="0" xfId="0"/>
    <xf numFmtId="0" fontId="8" fillId="0" borderId="1" xfId="0" applyFont="1" applyBorder="1"/>
    <xf numFmtId="0" fontId="1" fillId="0" borderId="6" xfId="0" applyFont="1" applyBorder="1"/>
    <xf numFmtId="0" fontId="1" fillId="0" borderId="0" xfId="0" applyFont="1" applyAlignment="1">
      <alignment horizontal="right"/>
    </xf>
    <xf numFmtId="0" fontId="1" fillId="0" borderId="7" xfId="0" applyFont="1" applyBorder="1"/>
    <xf numFmtId="0" fontId="4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6" xfId="0" applyFont="1" applyBorder="1"/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3" fontId="1" fillId="0" borderId="6" xfId="0" applyNumberFormat="1" applyFont="1" applyBorder="1"/>
    <xf numFmtId="164" fontId="1" fillId="0" borderId="6" xfId="0" applyNumberFormat="1" applyFont="1" applyBorder="1"/>
    <xf numFmtId="3" fontId="1" fillId="0" borderId="0" xfId="0" applyNumberFormat="1" applyFont="1"/>
    <xf numFmtId="4" fontId="1" fillId="0" borderId="0" xfId="0" applyNumberFormat="1" applyFont="1"/>
    <xf numFmtId="3" fontId="1" fillId="0" borderId="8" xfId="0" applyNumberFormat="1" applyFont="1" applyBorder="1"/>
    <xf numFmtId="0" fontId="1" fillId="0" borderId="6" xfId="0" applyFont="1" applyBorder="1" applyAlignment="1">
      <alignment horizontal="center"/>
    </xf>
    <xf numFmtId="3" fontId="1" fillId="0" borderId="4" xfId="0" applyNumberFormat="1" applyFont="1" applyBorder="1"/>
    <xf numFmtId="3" fontId="1" fillId="0" borderId="5" xfId="0" applyNumberFormat="1" applyFont="1" applyBorder="1"/>
    <xf numFmtId="0" fontId="1" fillId="0" borderId="9" xfId="0" applyFont="1" applyBorder="1" applyAlignment="1">
      <alignment horizontal="center"/>
    </xf>
    <xf numFmtId="165" fontId="1" fillId="0" borderId="0" xfId="0" applyNumberFormat="1" applyFont="1"/>
    <xf numFmtId="0" fontId="1" fillId="0" borderId="7" xfId="0" applyFont="1" applyBorder="1" applyAlignment="1">
      <alignment horizontal="center"/>
    </xf>
    <xf numFmtId="3" fontId="12" fillId="0" borderId="6" xfId="0" applyNumberFormat="1" applyFont="1" applyBorder="1"/>
    <xf numFmtId="164" fontId="1" fillId="0" borderId="8" xfId="0" applyNumberFormat="1" applyFont="1" applyBorder="1"/>
    <xf numFmtId="0" fontId="5" fillId="0" borderId="7" xfId="0" applyFont="1" applyBorder="1"/>
    <xf numFmtId="164" fontId="1" fillId="0" borderId="5" xfId="0" applyNumberFormat="1" applyFont="1" applyBorder="1"/>
    <xf numFmtId="164" fontId="1" fillId="0" borderId="0" xfId="0" applyNumberFormat="1" applyFont="1"/>
    <xf numFmtId="0" fontId="1" fillId="0" borderId="10" xfId="0" applyFont="1" applyBorder="1"/>
    <xf numFmtId="0" fontId="13" fillId="0" borderId="0" xfId="0" applyFont="1"/>
    <xf numFmtId="0" fontId="1" fillId="0" borderId="1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4" fillId="0" borderId="7" xfId="0" applyFont="1" applyBorder="1"/>
    <xf numFmtId="0" fontId="14" fillId="0" borderId="6" xfId="0" applyFont="1" applyBorder="1"/>
    <xf numFmtId="4" fontId="1" fillId="0" borderId="6" xfId="0" applyNumberFormat="1" applyFont="1" applyBorder="1"/>
    <xf numFmtId="0" fontId="16" fillId="0" borderId="6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4" fontId="1" fillId="0" borderId="4" xfId="0" applyNumberFormat="1" applyFont="1" applyBorder="1"/>
    <xf numFmtId="4" fontId="1" fillId="0" borderId="5" xfId="0" applyNumberFormat="1" applyFont="1" applyBorder="1"/>
    <xf numFmtId="4" fontId="1" fillId="0" borderId="2" xfId="0" applyNumberFormat="1" applyFont="1" applyBorder="1"/>
    <xf numFmtId="0" fontId="17" fillId="0" borderId="12" xfId="0" applyFont="1" applyBorder="1" applyAlignment="1">
      <alignment horizontal="center"/>
    </xf>
    <xf numFmtId="4" fontId="1" fillId="0" borderId="13" xfId="0" applyNumberFormat="1" applyFont="1" applyBorder="1"/>
    <xf numFmtId="4" fontId="1" fillId="0" borderId="14" xfId="0" applyNumberFormat="1" applyFont="1" applyBorder="1"/>
    <xf numFmtId="4" fontId="1" fillId="0" borderId="1" xfId="0" applyNumberFormat="1" applyFont="1" applyBorder="1"/>
    <xf numFmtId="0" fontId="17" fillId="0" borderId="4" xfId="0" applyFont="1" applyBorder="1" applyAlignment="1">
      <alignment horizontal="center"/>
    </xf>
    <xf numFmtId="0" fontId="16" fillId="0" borderId="1" xfId="0" applyFont="1" applyBorder="1"/>
    <xf numFmtId="0" fontId="5" fillId="0" borderId="6" xfId="0" applyFont="1" applyBorder="1" applyAlignment="1">
      <alignment horizontal="center"/>
    </xf>
    <xf numFmtId="2" fontId="1" fillId="0" borderId="6" xfId="0" applyNumberFormat="1" applyFont="1" applyBorder="1"/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15" xfId="0" applyFont="1" applyBorder="1"/>
    <xf numFmtId="0" fontId="16" fillId="0" borderId="7" xfId="0" applyFont="1" applyBorder="1" applyAlignment="1">
      <alignment horizontal="center"/>
    </xf>
    <xf numFmtId="0" fontId="19" fillId="2" borderId="16" xfId="0" applyFont="1" applyFill="1" applyBorder="1"/>
    <xf numFmtId="1" fontId="1" fillId="0" borderId="6" xfId="0" applyNumberFormat="1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19" xfId="0" applyBorder="1"/>
    <xf numFmtId="0" fontId="1" fillId="0" borderId="20" xfId="0" applyFont="1" applyBorder="1"/>
    <xf numFmtId="3" fontId="20" fillId="0" borderId="6" xfId="0" applyNumberFormat="1" applyFont="1" applyBorder="1"/>
    <xf numFmtId="0" fontId="21" fillId="0" borderId="0" xfId="0" applyFont="1"/>
    <xf numFmtId="0" fontId="13" fillId="0" borderId="1" xfId="0" applyFont="1" applyBorder="1"/>
    <xf numFmtId="0" fontId="1" fillId="0" borderId="0" xfId="0" applyFont="1" applyAlignment="1">
      <alignment horizontal="left"/>
    </xf>
    <xf numFmtId="0" fontId="3" fillId="0" borderId="3" xfId="0" applyFont="1" applyBorder="1" applyAlignment="1">
      <alignment horizontal="center"/>
    </xf>
    <xf numFmtId="0" fontId="1" fillId="0" borderId="14" xfId="0" applyFont="1" applyBorder="1"/>
    <xf numFmtId="0" fontId="3" fillId="0" borderId="0" xfId="0" applyFont="1"/>
    <xf numFmtId="0" fontId="1" fillId="0" borderId="21" xfId="0" applyFont="1" applyBorder="1"/>
    <xf numFmtId="3" fontId="1" fillId="0" borderId="21" xfId="0" applyNumberFormat="1" applyFont="1" applyBorder="1"/>
    <xf numFmtId="0" fontId="1" fillId="0" borderId="13" xfId="0" applyFont="1" applyBorder="1"/>
    <xf numFmtId="0" fontId="14" fillId="0" borderId="7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6" fillId="0" borderId="6" xfId="0" applyFont="1" applyBorder="1"/>
    <xf numFmtId="3" fontId="0" fillId="0" borderId="22" xfId="0" applyNumberFormat="1" applyBorder="1" applyAlignment="1">
      <alignment horizontal="center"/>
    </xf>
    <xf numFmtId="3" fontId="1" fillId="0" borderId="13" xfId="0" applyNumberFormat="1" applyFont="1" applyBorder="1"/>
    <xf numFmtId="0" fontId="22" fillId="0" borderId="6" xfId="0" applyFont="1" applyBorder="1"/>
    <xf numFmtId="3" fontId="23" fillId="0" borderId="22" xfId="0" applyNumberFormat="1" applyFont="1" applyBorder="1"/>
    <xf numFmtId="0" fontId="5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2" fontId="25" fillId="0" borderId="25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" fillId="0" borderId="27" xfId="0" applyFont="1" applyBorder="1"/>
    <xf numFmtId="4" fontId="26" fillId="0" borderId="26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6FB5-CD6C-460B-9337-9B21CF9B9137}">
  <dimension ref="A1:S1000"/>
  <sheetViews>
    <sheetView tabSelected="1" workbookViewId="0">
      <selection activeCell="I110" sqref="I110"/>
    </sheetView>
  </sheetViews>
  <sheetFormatPr defaultColWidth="12.5703125" defaultRowHeight="1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4"/>
      <c r="D5" s="5" t="s">
        <v>3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7"/>
      <c r="C6" s="8" t="s">
        <v>4</v>
      </c>
      <c r="D6" s="9"/>
      <c r="E6" s="10">
        <v>7000</v>
      </c>
      <c r="F6" s="7" t="s">
        <v>5</v>
      </c>
      <c r="G6" s="8" t="s">
        <v>6</v>
      </c>
      <c r="H6" s="9"/>
      <c r="I6" s="10">
        <v>0.3</v>
      </c>
      <c r="J6" s="1"/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7"/>
      <c r="C7" s="11" t="s">
        <v>7</v>
      </c>
      <c r="D7" s="12" t="s">
        <v>8</v>
      </c>
      <c r="E7" s="10">
        <v>0.8</v>
      </c>
      <c r="F7" s="7"/>
      <c r="G7" s="8" t="s">
        <v>9</v>
      </c>
      <c r="H7" s="9"/>
      <c r="I7" s="13">
        <v>1.4</v>
      </c>
      <c r="J7" s="1"/>
      <c r="K7" s="1"/>
      <c r="L7" s="1"/>
      <c r="M7" s="14"/>
      <c r="N7" s="15"/>
      <c r="O7" s="15"/>
      <c r="P7" s="1"/>
      <c r="Q7" s="1"/>
    </row>
    <row r="8" spans="1:17" ht="15.75" customHeight="1" thickTop="1" thickBot="1">
      <c r="A8" s="1"/>
      <c r="B8" s="1"/>
      <c r="C8" s="7"/>
      <c r="D8" s="12" t="s">
        <v>10</v>
      </c>
      <c r="E8" s="10">
        <v>0.03</v>
      </c>
      <c r="F8" s="1"/>
      <c r="G8" s="16" t="s">
        <v>11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7"/>
      <c r="D9" s="12" t="s">
        <v>12</v>
      </c>
      <c r="E9" s="10">
        <v>0.04</v>
      </c>
      <c r="F9" s="7"/>
      <c r="G9" s="4" t="s">
        <v>13</v>
      </c>
      <c r="H9" s="17"/>
      <c r="I9" s="17">
        <v>5</v>
      </c>
      <c r="J9" s="1"/>
      <c r="K9" s="1"/>
      <c r="L9" s="1"/>
      <c r="M9" s="14"/>
      <c r="N9" s="15"/>
      <c r="O9" s="15"/>
      <c r="P9" s="1"/>
      <c r="Q9" s="1"/>
    </row>
    <row r="10" spans="1:17" ht="15.75" customHeight="1" thickTop="1" thickBot="1">
      <c r="A10" s="1"/>
      <c r="B10" s="1"/>
      <c r="C10" s="7"/>
      <c r="D10" s="12" t="s">
        <v>14</v>
      </c>
      <c r="E10" s="10">
        <v>0.05</v>
      </c>
      <c r="F10" s="7"/>
      <c r="G10" s="4" t="s">
        <v>15</v>
      </c>
      <c r="H10" s="17"/>
      <c r="I10" s="17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7"/>
      <c r="D11" s="12" t="s">
        <v>16</v>
      </c>
      <c r="E11" s="10">
        <v>3.0000000000000001E-3</v>
      </c>
      <c r="F11" s="7"/>
      <c r="G11" s="4" t="s">
        <v>17</v>
      </c>
      <c r="H11" s="17"/>
      <c r="I11" s="17">
        <v>3</v>
      </c>
      <c r="J11" s="1"/>
      <c r="K11" s="1"/>
      <c r="L11" s="1"/>
      <c r="M11" s="14"/>
      <c r="N11" s="15"/>
      <c r="O11" s="15"/>
      <c r="P11" s="1"/>
      <c r="Q11" s="1"/>
    </row>
    <row r="12" spans="1:17" ht="15.75" customHeight="1" thickTop="1" thickBot="1">
      <c r="A12" s="1"/>
      <c r="B12" s="1"/>
      <c r="C12" s="7"/>
      <c r="D12" s="12" t="s">
        <v>18</v>
      </c>
      <c r="E12" s="6">
        <f>1-(E7+E8+E9+E10+E11)</f>
        <v>7.6999999999999846E-2</v>
      </c>
      <c r="F12" s="7"/>
      <c r="G12" s="4" t="s">
        <v>19</v>
      </c>
      <c r="H12" s="17"/>
      <c r="I12" s="17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8">
        <v>22.4</v>
      </c>
      <c r="E13" s="1"/>
      <c r="F13" s="7"/>
      <c r="G13" s="4" t="s">
        <v>20</v>
      </c>
      <c r="H13" s="17"/>
      <c r="I13" s="17">
        <v>1</v>
      </c>
      <c r="J13" s="1"/>
      <c r="K13" s="1"/>
      <c r="L13" s="1"/>
      <c r="M13" s="14"/>
      <c r="N13" s="15"/>
      <c r="O13" s="15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4"/>
      <c r="B15" s="4"/>
      <c r="C15" s="4"/>
      <c r="D15" s="4"/>
      <c r="E15" s="5" t="s">
        <v>21</v>
      </c>
      <c r="F15" s="4"/>
      <c r="G15" s="4"/>
      <c r="H15" s="4"/>
      <c r="I15" s="4"/>
      <c r="J15" s="4"/>
      <c r="K15" s="1"/>
      <c r="L15" s="1"/>
      <c r="M15" s="14"/>
      <c r="N15" s="15"/>
      <c r="O15" s="15"/>
      <c r="P15" s="1"/>
      <c r="Q15" s="1"/>
    </row>
    <row r="16" spans="1:17" ht="15.75" customHeight="1" thickTop="1" thickBot="1">
      <c r="A16" s="19"/>
      <c r="B16" s="17"/>
      <c r="C16" s="20" t="s">
        <v>22</v>
      </c>
      <c r="D16" s="21"/>
      <c r="E16" s="22"/>
      <c r="F16" s="20" t="s">
        <v>23</v>
      </c>
      <c r="G16" s="21"/>
      <c r="H16" s="22"/>
      <c r="I16" s="8" t="s">
        <v>24</v>
      </c>
      <c r="J16" s="17"/>
      <c r="K16" s="1"/>
      <c r="L16" s="1"/>
      <c r="M16" s="1"/>
      <c r="N16" s="1"/>
      <c r="O16" s="1">
        <f>O23/2</f>
        <v>-14.699999999999818</v>
      </c>
      <c r="P16" s="1"/>
      <c r="Q16" s="1"/>
    </row>
    <row r="17" spans="1:19" ht="15.75" customHeight="1" thickTop="1" thickBot="1">
      <c r="A17" s="23" t="s">
        <v>25</v>
      </c>
      <c r="B17" s="24" t="s">
        <v>26</v>
      </c>
      <c r="C17" s="24" t="s">
        <v>27</v>
      </c>
      <c r="D17" s="24" t="s">
        <v>28</v>
      </c>
      <c r="E17" s="24" t="s">
        <v>29</v>
      </c>
      <c r="F17" s="24" t="s">
        <v>30</v>
      </c>
      <c r="G17" s="24" t="s">
        <v>31</v>
      </c>
      <c r="H17" s="24" t="s">
        <v>32</v>
      </c>
      <c r="I17" s="24" t="s">
        <v>33</v>
      </c>
      <c r="J17" s="24" t="s">
        <v>34</v>
      </c>
      <c r="K17" s="1"/>
      <c r="L17" s="1"/>
      <c r="M17" s="1" t="s">
        <v>34</v>
      </c>
      <c r="N17" s="1" t="s">
        <v>33</v>
      </c>
      <c r="O17" s="1" t="s">
        <v>31</v>
      </c>
      <c r="P17" s="1"/>
      <c r="Q17" s="1"/>
    </row>
    <row r="18" spans="1:19" ht="15.75" customHeight="1" thickTop="1" thickBot="1">
      <c r="A18" s="25" t="s">
        <v>8</v>
      </c>
      <c r="B18" s="17">
        <v>16</v>
      </c>
      <c r="C18" s="26">
        <f>D18/D13*B18</f>
        <v>1200</v>
      </c>
      <c r="D18" s="26">
        <f>F29*E7</f>
        <v>1680</v>
      </c>
      <c r="E18" s="27">
        <f>D18/D27</f>
        <v>5.5081967213114758E-2</v>
      </c>
      <c r="F18" s="26">
        <f t="shared" ref="F18:G26" si="0">C18+I18</f>
        <v>10.499999999999773</v>
      </c>
      <c r="G18" s="27">
        <f>-O16</f>
        <v>14.699999999999818</v>
      </c>
      <c r="H18" s="27">
        <f>G18/G27</f>
        <v>4.7749597214281409E-4</v>
      </c>
      <c r="I18" s="26">
        <f>J18/D13*B18</f>
        <v>-1189.5000000000002</v>
      </c>
      <c r="J18" s="26">
        <f>G18-D18</f>
        <v>-1665.3000000000002</v>
      </c>
      <c r="K18" s="1"/>
      <c r="L18" s="1" t="s">
        <v>35</v>
      </c>
      <c r="M18" s="28">
        <f t="shared" ref="M18:M22" si="1">-D18</f>
        <v>-1680</v>
      </c>
      <c r="N18" s="1">
        <f>M18/22.4*B18</f>
        <v>-1200</v>
      </c>
      <c r="O18" s="29">
        <f>M18+D18</f>
        <v>0</v>
      </c>
      <c r="Q18" s="29"/>
      <c r="R18" s="29"/>
    </row>
    <row r="19" spans="1:19" ht="15.75" customHeight="1" thickTop="1" thickBot="1">
      <c r="A19" s="25" t="s">
        <v>10</v>
      </c>
      <c r="B19" s="17">
        <v>30</v>
      </c>
      <c r="C19" s="26">
        <f>D19/D13*B19</f>
        <v>84.375</v>
      </c>
      <c r="D19" s="26">
        <f>F29*E8</f>
        <v>63</v>
      </c>
      <c r="E19" s="27">
        <f>D19/D27</f>
        <v>2.0655737704918034E-3</v>
      </c>
      <c r="F19" s="26">
        <f t="shared" si="0"/>
        <v>0</v>
      </c>
      <c r="G19" s="26">
        <f>D19+(J19)</f>
        <v>0</v>
      </c>
      <c r="H19" s="27">
        <f>G19/G27</f>
        <v>0</v>
      </c>
      <c r="I19" s="26">
        <f>J19/D13*B19</f>
        <v>-84.375</v>
      </c>
      <c r="J19" s="26">
        <f t="shared" ref="J19:J22" si="2">-D19</f>
        <v>-63</v>
      </c>
      <c r="K19" s="1"/>
      <c r="L19" s="1" t="s">
        <v>36</v>
      </c>
      <c r="M19" s="28">
        <f t="shared" si="1"/>
        <v>-63</v>
      </c>
      <c r="N19" s="1">
        <f>M19/D13*B19</f>
        <v>-84.375</v>
      </c>
      <c r="O19" s="29">
        <f>J19+D19</f>
        <v>0</v>
      </c>
      <c r="Q19" s="29"/>
      <c r="R19" s="29"/>
    </row>
    <row r="20" spans="1:19" ht="15.75" customHeight="1" thickTop="1" thickBot="1">
      <c r="A20" s="25" t="s">
        <v>12</v>
      </c>
      <c r="B20" s="17">
        <v>44</v>
      </c>
      <c r="C20" s="26">
        <f>D20/D13*B20</f>
        <v>165.00000000000003</v>
      </c>
      <c r="D20" s="26">
        <f>F29*E9</f>
        <v>84</v>
      </c>
      <c r="E20" s="27">
        <f>D20/D27</f>
        <v>2.7540983606557379E-3</v>
      </c>
      <c r="F20" s="26">
        <f t="shared" si="0"/>
        <v>0</v>
      </c>
      <c r="G20" s="26">
        <f t="shared" si="0"/>
        <v>0</v>
      </c>
      <c r="H20" s="27">
        <f>G20/G27</f>
        <v>0</v>
      </c>
      <c r="I20" s="26">
        <f>J20/D13*B20</f>
        <v>-165.00000000000003</v>
      </c>
      <c r="J20" s="26">
        <f t="shared" si="2"/>
        <v>-84</v>
      </c>
      <c r="K20" s="1"/>
      <c r="L20" s="1" t="s">
        <v>37</v>
      </c>
      <c r="M20" s="28">
        <f t="shared" si="1"/>
        <v>-84</v>
      </c>
      <c r="N20" s="1">
        <f>M20/D13*B20</f>
        <v>-165.00000000000003</v>
      </c>
      <c r="O20" s="28">
        <f t="shared" ref="O20:O26" si="3">M20+D20</f>
        <v>0</v>
      </c>
      <c r="Q20" s="29"/>
      <c r="R20" s="29"/>
      <c r="S20" s="29"/>
    </row>
    <row r="21" spans="1:19" ht="15.75" customHeight="1" thickTop="1" thickBot="1">
      <c r="A21" s="25" t="s">
        <v>14</v>
      </c>
      <c r="B21" s="17">
        <v>58</v>
      </c>
      <c r="C21" s="26">
        <f>D21/D13*B21</f>
        <v>271.875</v>
      </c>
      <c r="D21" s="26">
        <f>F29*E10</f>
        <v>105</v>
      </c>
      <c r="E21" s="27">
        <f>D21/D27</f>
        <v>3.4426229508196723E-3</v>
      </c>
      <c r="F21" s="26">
        <f t="shared" si="0"/>
        <v>0</v>
      </c>
      <c r="G21" s="26">
        <f t="shared" si="0"/>
        <v>0</v>
      </c>
      <c r="H21" s="27">
        <f>G21/G27</f>
        <v>0</v>
      </c>
      <c r="I21" s="26">
        <f>J21/D13*B21</f>
        <v>-271.875</v>
      </c>
      <c r="J21" s="26">
        <f t="shared" si="2"/>
        <v>-105</v>
      </c>
      <c r="K21" s="1"/>
      <c r="L21" s="4" t="s">
        <v>38</v>
      </c>
      <c r="M21" s="28">
        <f t="shared" si="1"/>
        <v>-105</v>
      </c>
      <c r="N21" s="1">
        <f>M21/D13*B21</f>
        <v>-271.875</v>
      </c>
      <c r="O21" s="28">
        <f t="shared" si="3"/>
        <v>0</v>
      </c>
      <c r="Q21" s="29"/>
      <c r="R21" s="29"/>
    </row>
    <row r="22" spans="1:19" ht="15.75" customHeight="1" thickTop="1" thickBot="1">
      <c r="A22" s="25" t="s">
        <v>16</v>
      </c>
      <c r="B22" s="17">
        <v>72</v>
      </c>
      <c r="C22" s="26">
        <f>D22/D13*B22</f>
        <v>20.25</v>
      </c>
      <c r="D22" s="26">
        <f>F29*E11</f>
        <v>6.3</v>
      </c>
      <c r="E22" s="27">
        <f>D22/D27</f>
        <v>2.0655737704918032E-4</v>
      </c>
      <c r="F22" s="26">
        <f t="shared" si="0"/>
        <v>0</v>
      </c>
      <c r="G22" s="30">
        <f t="shared" si="0"/>
        <v>0</v>
      </c>
      <c r="H22" s="27">
        <f>G22/G27</f>
        <v>0</v>
      </c>
      <c r="I22" s="26">
        <f>J22/D13*B22</f>
        <v>-20.25</v>
      </c>
      <c r="J22" s="26">
        <f t="shared" si="2"/>
        <v>-6.3</v>
      </c>
      <c r="K22" s="7"/>
      <c r="L22" s="31" t="s">
        <v>39</v>
      </c>
      <c r="M22" s="28">
        <f t="shared" si="1"/>
        <v>-6.3</v>
      </c>
      <c r="N22" s="1">
        <f>M22/D13*B22</f>
        <v>-20.25</v>
      </c>
      <c r="O22" s="28">
        <f t="shared" si="3"/>
        <v>0</v>
      </c>
      <c r="R22" s="29"/>
      <c r="S22" s="1"/>
    </row>
    <row r="23" spans="1:19" ht="15.75" customHeight="1" thickTop="1" thickBot="1">
      <c r="A23" s="25" t="s">
        <v>40</v>
      </c>
      <c r="B23" s="17">
        <v>32</v>
      </c>
      <c r="C23" s="26">
        <f>D23/D13*B23</f>
        <v>6720</v>
      </c>
      <c r="D23" s="26">
        <f>F29*E7*I7*2</f>
        <v>4704</v>
      </c>
      <c r="E23" s="27">
        <f>D23/D27</f>
        <v>0.15422950819672132</v>
      </c>
      <c r="F23" s="32">
        <f t="shared" si="0"/>
        <v>0</v>
      </c>
      <c r="G23" s="33">
        <f t="shared" si="0"/>
        <v>0</v>
      </c>
      <c r="H23" s="27">
        <f>G23/G27</f>
        <v>0</v>
      </c>
      <c r="I23" s="26">
        <f>J23/D13*B23</f>
        <v>-6720</v>
      </c>
      <c r="J23" s="26">
        <f>J22*8+J21*6.5+J20*5+J19*3.5+J18*2</f>
        <v>-4704</v>
      </c>
      <c r="K23" s="7"/>
      <c r="L23" s="34" t="s">
        <v>41</v>
      </c>
      <c r="M23" s="1">
        <f>(M22*8+M21*6.5+M20*5+M19*3.5+M18*2)</f>
        <v>-4733.3999999999996</v>
      </c>
      <c r="N23" s="1">
        <f>M23/D13*B23</f>
        <v>-6762</v>
      </c>
      <c r="O23" s="35">
        <f t="shared" si="3"/>
        <v>-29.399999999999636</v>
      </c>
      <c r="Q23" s="29"/>
      <c r="R23" s="29"/>
      <c r="S23" s="1"/>
    </row>
    <row r="24" spans="1:19" ht="15.75" customHeight="1" thickTop="1" thickBot="1">
      <c r="A24" s="25" t="s">
        <v>42</v>
      </c>
      <c r="B24" s="17">
        <v>44</v>
      </c>
      <c r="C24" s="26">
        <f>D24/D13*B24</f>
        <v>0</v>
      </c>
      <c r="D24" s="26">
        <v>0</v>
      </c>
      <c r="E24" s="27">
        <f>D24/D27</f>
        <v>0</v>
      </c>
      <c r="F24" s="26">
        <f t="shared" si="0"/>
        <v>4900.5000000000009</v>
      </c>
      <c r="G24" s="26">
        <f t="shared" si="0"/>
        <v>2494.8000000000002</v>
      </c>
      <c r="H24" s="27">
        <f>G24/G27</f>
        <v>8.1037887843667167E-2</v>
      </c>
      <c r="I24" s="26">
        <f>J24/D13*B24</f>
        <v>4900.5000000000009</v>
      </c>
      <c r="J24" s="26">
        <f>-J22*5+(-J21*4)+(-J20*3)+(-J19*2)+(-J18*1)</f>
        <v>2494.8000000000002</v>
      </c>
      <c r="K24" s="7"/>
      <c r="L24" s="36" t="s">
        <v>43</v>
      </c>
      <c r="M24" s="28">
        <f>-(M22*8+M21*4+M20*3+M19*2+M18)</f>
        <v>2528.4</v>
      </c>
      <c r="N24" s="1">
        <f>M24/D13*B24</f>
        <v>4966.5000000000009</v>
      </c>
      <c r="O24" s="28">
        <f t="shared" si="3"/>
        <v>2528.4</v>
      </c>
      <c r="Q24" s="29"/>
      <c r="R24" s="29"/>
      <c r="S24" s="1"/>
    </row>
    <row r="25" spans="1:19" ht="15.75" customHeight="1" thickTop="1" thickBot="1">
      <c r="A25" s="25" t="s">
        <v>44</v>
      </c>
      <c r="B25" s="17">
        <v>18</v>
      </c>
      <c r="C25" s="26">
        <f>D25/D13*B25</f>
        <v>4821.4285714285725</v>
      </c>
      <c r="D25" s="26">
        <v>6000</v>
      </c>
      <c r="E25" s="27">
        <f>D25/D27</f>
        <v>0.19672131147540983</v>
      </c>
      <c r="F25" s="26">
        <f t="shared" si="0"/>
        <v>8371.9285714285725</v>
      </c>
      <c r="G25" s="26">
        <f t="shared" si="0"/>
        <v>10418.400000000001</v>
      </c>
      <c r="H25" s="27">
        <f>G25/G27</f>
        <v>0.33841796164440519</v>
      </c>
      <c r="I25" s="26">
        <f>J25/D13*B25</f>
        <v>3550.5000000000005</v>
      </c>
      <c r="J25" s="26">
        <f>-J22*6+(-J21*5)+(-J20*4)+(-J19*3)+(-J18*2)</f>
        <v>4418.4000000000005</v>
      </c>
      <c r="K25" s="7"/>
      <c r="L25" s="36" t="s">
        <v>45</v>
      </c>
      <c r="M25" s="1">
        <f>-(M22*6+M21*5+M20*4+M19*3+M18*2)</f>
        <v>4447.8</v>
      </c>
      <c r="N25" s="1">
        <f>M25/D13*B25</f>
        <v>3574.1250000000005</v>
      </c>
      <c r="O25" s="28">
        <f t="shared" si="3"/>
        <v>10447.799999999999</v>
      </c>
      <c r="Q25" s="29"/>
      <c r="R25" s="29"/>
      <c r="S25" s="1"/>
    </row>
    <row r="26" spans="1:19" ht="15.75" customHeight="1" thickTop="1" thickBot="1">
      <c r="A26" s="25" t="s">
        <v>46</v>
      </c>
      <c r="B26" s="17">
        <v>28</v>
      </c>
      <c r="C26" s="30">
        <f>D26/D13*B26</f>
        <v>22322.125000000004</v>
      </c>
      <c r="D26" s="37">
        <f>D23*79/21+F29*(1-E7-E8-E9-E10-E11)</f>
        <v>17857.7</v>
      </c>
      <c r="E26" s="38">
        <f>D26/D27</f>
        <v>0.58549836065573768</v>
      </c>
      <c r="F26" s="30">
        <f t="shared" si="0"/>
        <v>22322.125000000004</v>
      </c>
      <c r="G26" s="26">
        <f t="shared" si="0"/>
        <v>17857.7</v>
      </c>
      <c r="H26" s="38">
        <f>G26/G27</f>
        <v>0.58006665453978479</v>
      </c>
      <c r="I26" s="30">
        <f>J26/D13*B26</f>
        <v>0</v>
      </c>
      <c r="J26" s="26">
        <v>0</v>
      </c>
      <c r="K26" s="1"/>
      <c r="L26" s="36" t="s">
        <v>47</v>
      </c>
      <c r="M26" s="1">
        <v>0</v>
      </c>
      <c r="N26" s="1">
        <f>M26/D13*B26</f>
        <v>0</v>
      </c>
      <c r="O26" s="29">
        <f t="shared" si="3"/>
        <v>17857.7</v>
      </c>
      <c r="P26" s="29"/>
      <c r="Q26" s="29"/>
    </row>
    <row r="27" spans="1:19" ht="15.75" customHeight="1" thickTop="1" thickBot="1">
      <c r="A27" s="39" t="s">
        <v>48</v>
      </c>
      <c r="B27" s="9"/>
      <c r="C27" s="33">
        <f t="shared" ref="C27:J27" si="4">SUM(C18:C26)</f>
        <v>35605.05357142858</v>
      </c>
      <c r="D27" s="32">
        <f t="shared" si="4"/>
        <v>30500</v>
      </c>
      <c r="E27" s="40">
        <f t="shared" si="4"/>
        <v>1</v>
      </c>
      <c r="F27" s="33">
        <f t="shared" si="4"/>
        <v>35605.05357142858</v>
      </c>
      <c r="G27" s="32">
        <f t="shared" si="4"/>
        <v>30785.600000000002</v>
      </c>
      <c r="H27" s="40">
        <f t="shared" si="4"/>
        <v>1</v>
      </c>
      <c r="I27" s="33">
        <f t="shared" si="4"/>
        <v>1.3642420526593924E-12</v>
      </c>
      <c r="J27" s="26">
        <f t="shared" si="4"/>
        <v>285.60000000000036</v>
      </c>
      <c r="K27" s="1"/>
      <c r="L27" s="1"/>
      <c r="M27" s="41"/>
      <c r="N27" s="1">
        <f t="shared" ref="N27:O27" si="5">SUM(N18:N26)</f>
        <v>37.125000000001364</v>
      </c>
      <c r="O27" s="29">
        <f t="shared" si="5"/>
        <v>30804.5</v>
      </c>
      <c r="P27" s="29"/>
      <c r="Q27" s="29"/>
    </row>
    <row r="28" spans="1:19" ht="15.75" customHeight="1" thickTop="1" thickBo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42"/>
      <c r="B29" s="1"/>
      <c r="C29" s="43" t="s">
        <v>49</v>
      </c>
      <c r="D29" s="1"/>
      <c r="E29" s="7"/>
      <c r="F29" s="17">
        <f>E6*I6</f>
        <v>2100</v>
      </c>
      <c r="G29" s="1"/>
      <c r="H29" s="1" t="s">
        <v>50</v>
      </c>
      <c r="I29" s="1">
        <v>450</v>
      </c>
      <c r="J29" s="1" t="s">
        <v>51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44"/>
      <c r="B30" s="45" t="s">
        <v>52</v>
      </c>
      <c r="C30" s="46" t="s">
        <v>53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47" t="s">
        <v>25</v>
      </c>
      <c r="B31" s="48" t="s">
        <v>54</v>
      </c>
      <c r="C31" s="48" t="s">
        <v>55</v>
      </c>
      <c r="D31" s="1"/>
      <c r="E31" s="1"/>
      <c r="F31" s="1"/>
      <c r="G31" s="1"/>
      <c r="H31" s="1"/>
      <c r="I31" s="1"/>
      <c r="J31" s="1"/>
      <c r="K31" s="1"/>
      <c r="L31" s="1" t="s">
        <v>56</v>
      </c>
      <c r="M31" s="1"/>
      <c r="N31" s="1"/>
      <c r="O31" s="1"/>
      <c r="P31" s="1"/>
      <c r="Q31" s="1"/>
    </row>
    <row r="32" spans="1:19" ht="15.75" customHeight="1" thickTop="1" thickBot="1">
      <c r="A32" s="25" t="s">
        <v>8</v>
      </c>
      <c r="B32" s="49">
        <v>35.700000000000003</v>
      </c>
      <c r="C32" s="49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5" t="s">
        <v>10</v>
      </c>
      <c r="B33" s="49">
        <v>52.49</v>
      </c>
      <c r="C33" s="49">
        <v>-84</v>
      </c>
      <c r="D33" s="1"/>
      <c r="E33" s="1"/>
      <c r="F33" s="3" t="s">
        <v>57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5" t="s">
        <v>12</v>
      </c>
      <c r="B34" s="49">
        <v>73.599999999999994</v>
      </c>
      <c r="C34" s="49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5" t="s">
        <v>14</v>
      </c>
      <c r="B35" s="49">
        <v>98.49</v>
      </c>
      <c r="C35" s="49">
        <f>-125.77</f>
        <v>-125.77</v>
      </c>
      <c r="D35" s="1"/>
      <c r="E35" s="7"/>
      <c r="F35" s="50" t="s">
        <v>58</v>
      </c>
      <c r="G35" s="50" t="s">
        <v>59</v>
      </c>
      <c r="H35" s="51" t="s">
        <v>60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5" t="s">
        <v>16</v>
      </c>
      <c r="B36" s="49">
        <v>120.04</v>
      </c>
      <c r="C36" s="49">
        <f>-146.36</f>
        <v>-146.36000000000001</v>
      </c>
      <c r="D36" s="1"/>
      <c r="E36" s="7" t="s">
        <v>61</v>
      </c>
      <c r="F36" s="49">
        <f>I29*B42*D27/22.4*1000/3600</f>
        <v>5247671.40625</v>
      </c>
      <c r="G36" s="52">
        <f>(J22*C45/1+J21*C46/1+J20*C47/1+J19*C48/1+J18*C49/1)/22.4*(1000/3600)*1000</f>
        <v>23534917.187500007</v>
      </c>
      <c r="H36" s="53">
        <f>F36+G36-F38</f>
        <v>27932588.593750007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5" t="s">
        <v>40</v>
      </c>
      <c r="B37" s="49">
        <v>29.38</v>
      </c>
      <c r="C37" s="49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5" t="s">
        <v>42</v>
      </c>
      <c r="B38" s="49">
        <v>37.14</v>
      </c>
      <c r="C38" s="49">
        <f>-393.51</f>
        <v>-393.51</v>
      </c>
      <c r="D38" s="1"/>
      <c r="E38" s="1"/>
      <c r="F38" s="1">
        <f>D25/22.4*B39*(I29-110)*1000/3600</f>
        <v>850000.00000000012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5" t="s">
        <v>44</v>
      </c>
      <c r="B39" s="49">
        <v>33.6</v>
      </c>
      <c r="C39" s="49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5" t="s">
        <v>46</v>
      </c>
      <c r="B40" s="49">
        <v>29.12</v>
      </c>
      <c r="C40" s="49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4"/>
      <c r="B41" s="54"/>
      <c r="C41" s="2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55" t="s">
        <v>62</v>
      </c>
      <c r="B42" s="53">
        <f>B32*E18+B33*E19+B34*E20+B35*E21+B36*E22+B37*E23+B38*E24+B39*E25+B40*E26</f>
        <v>30.832220196721313</v>
      </c>
      <c r="C42" s="5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55" t="s">
        <v>63</v>
      </c>
      <c r="B43" s="53">
        <f>B32*H18+B33*H19+B34*H20+B35*H21+B36*H22+B37*H23+B38*H24+B39*H25+B40*H26</f>
        <v>31.289178252169847</v>
      </c>
      <c r="C43" s="5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8"/>
      <c r="C44" s="5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7"/>
      <c r="B45" s="59" t="s">
        <v>64</v>
      </c>
      <c r="C45" s="53">
        <f>((5*C38+6*C39)-(C36+8*C37))</f>
        <v>-3272.1699999999996</v>
      </c>
      <c r="D45" s="1" t="s">
        <v>65</v>
      </c>
      <c r="E45" s="1"/>
      <c r="F45" s="1"/>
      <c r="G45" s="1"/>
      <c r="H45" s="1"/>
      <c r="I45" s="1"/>
      <c r="J45" s="1"/>
      <c r="K45" s="4"/>
      <c r="L45" s="60" t="s">
        <v>7</v>
      </c>
      <c r="M45" s="60" t="s">
        <v>66</v>
      </c>
      <c r="N45" s="1"/>
      <c r="O45" s="1"/>
      <c r="P45" s="1"/>
      <c r="Q45" s="1"/>
    </row>
    <row r="46" spans="1:17" ht="15.75" customHeight="1" thickTop="1" thickBot="1">
      <c r="A46" s="7"/>
      <c r="B46" s="59" t="s">
        <v>67</v>
      </c>
      <c r="C46" s="53">
        <f>((4*C38+5*C39)-(1*C35))</f>
        <v>-2657.42</v>
      </c>
      <c r="D46" s="1" t="s">
        <v>65</v>
      </c>
      <c r="E46" s="1"/>
      <c r="F46" s="1"/>
      <c r="G46" s="1"/>
      <c r="H46" s="1"/>
      <c r="I46" s="1"/>
      <c r="J46" s="7"/>
      <c r="K46" s="61" t="s">
        <v>68</v>
      </c>
      <c r="L46" s="10">
        <v>0.8</v>
      </c>
      <c r="M46" s="49">
        <v>35.700000000000003</v>
      </c>
      <c r="N46" s="1"/>
      <c r="O46" s="1"/>
      <c r="P46" s="1"/>
      <c r="Q46" s="1"/>
    </row>
    <row r="47" spans="1:17" ht="15.75" customHeight="1" thickTop="1" thickBot="1">
      <c r="A47" s="7"/>
      <c r="B47" s="59" t="s">
        <v>69</v>
      </c>
      <c r="C47" s="53">
        <f>((3*C38+4*C39)-(1*C34))</f>
        <v>-2044</v>
      </c>
      <c r="D47" s="1" t="s">
        <v>65</v>
      </c>
      <c r="E47" s="1"/>
      <c r="F47" s="1"/>
      <c r="G47" s="1"/>
      <c r="H47" s="1"/>
      <c r="I47" s="1"/>
      <c r="J47" s="7"/>
      <c r="K47" s="61" t="s">
        <v>70</v>
      </c>
      <c r="L47" s="10">
        <v>0.03</v>
      </c>
      <c r="M47" s="49">
        <v>52.49</v>
      </c>
      <c r="N47" s="1"/>
      <c r="O47" s="1"/>
      <c r="P47" s="1"/>
      <c r="Q47" s="1"/>
    </row>
    <row r="48" spans="1:17" ht="15.75" customHeight="1" thickTop="1" thickBot="1">
      <c r="A48" s="7"/>
      <c r="B48" s="59" t="s">
        <v>71</v>
      </c>
      <c r="C48" s="53">
        <f>((2*C38+3*C39)-(C33))</f>
        <v>-1428.51</v>
      </c>
      <c r="D48" s="1" t="s">
        <v>65</v>
      </c>
      <c r="E48" s="1"/>
      <c r="F48" s="1"/>
      <c r="G48" s="1"/>
      <c r="H48" s="1"/>
      <c r="I48" s="1"/>
      <c r="J48" s="7"/>
      <c r="K48" s="61" t="s">
        <v>72</v>
      </c>
      <c r="L48" s="10">
        <v>0.04</v>
      </c>
      <c r="M48" s="49">
        <v>73.599999999999994</v>
      </c>
      <c r="N48" s="1"/>
      <c r="O48" s="1"/>
      <c r="P48" s="1"/>
      <c r="Q48" s="1"/>
    </row>
    <row r="49" spans="1:17" ht="15.75" customHeight="1" thickTop="1" thickBot="1">
      <c r="A49" s="7"/>
      <c r="B49" s="59" t="s">
        <v>73</v>
      </c>
      <c r="C49" s="53">
        <f>((1*C38+2*C39)-(1*C32))</f>
        <v>-802.57</v>
      </c>
      <c r="D49" s="1" t="s">
        <v>65</v>
      </c>
      <c r="E49" s="1"/>
      <c r="F49" s="1"/>
      <c r="G49" s="1"/>
      <c r="H49" s="1"/>
      <c r="I49" s="1"/>
      <c r="J49" s="7"/>
      <c r="K49" s="61" t="s">
        <v>74</v>
      </c>
      <c r="L49" s="10">
        <v>0.05</v>
      </c>
      <c r="M49" s="49">
        <v>98.49</v>
      </c>
      <c r="N49" s="5" t="s">
        <v>75</v>
      </c>
      <c r="O49" s="1"/>
      <c r="P49" s="1"/>
      <c r="Q49" s="1"/>
    </row>
    <row r="50" spans="1:17" ht="15.75" customHeight="1" thickTop="1" thickBot="1">
      <c r="A50" s="1"/>
      <c r="B50" s="29"/>
      <c r="C50" s="29"/>
      <c r="D50" s="1"/>
      <c r="E50" s="1"/>
      <c r="F50" s="1"/>
      <c r="G50" s="1"/>
      <c r="H50" s="1"/>
      <c r="I50" s="1"/>
      <c r="J50" s="7"/>
      <c r="K50" s="61" t="s">
        <v>76</v>
      </c>
      <c r="L50" s="10">
        <v>3.0000000000000001E-3</v>
      </c>
      <c r="M50" s="49">
        <v>120.04</v>
      </c>
      <c r="N50" s="62">
        <f>L46*M46+L47*M47+L48*M48+L49*M49+L50*M50+L51*M51</f>
        <v>40.605560000000004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4"/>
      <c r="H51" s="1"/>
      <c r="I51" s="1"/>
      <c r="J51" s="7"/>
      <c r="K51" s="61" t="s">
        <v>18</v>
      </c>
      <c r="L51" s="6">
        <f>1-(L46+L47+L48+L49+L50)</f>
        <v>7.6999999999999846E-2</v>
      </c>
      <c r="M51" s="49">
        <v>29.12</v>
      </c>
      <c r="N51" s="1"/>
      <c r="O51" s="1"/>
      <c r="P51" s="1"/>
      <c r="Q51" s="1"/>
    </row>
    <row r="52" spans="1:17" ht="15.75" customHeight="1" thickTop="1" thickBot="1">
      <c r="A52" s="3" t="s">
        <v>77</v>
      </c>
      <c r="B52" s="1"/>
      <c r="C52" s="1"/>
      <c r="D52" s="1"/>
      <c r="E52" s="43" t="s">
        <v>78</v>
      </c>
      <c r="F52" s="7"/>
      <c r="G52" s="17">
        <f>E6-F29</f>
        <v>4900</v>
      </c>
      <c r="H52" s="1" t="s">
        <v>5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63" t="s">
        <v>79</v>
      </c>
      <c r="E53" s="15"/>
      <c r="F53" s="15"/>
      <c r="G53" s="15"/>
      <c r="H53" s="15"/>
      <c r="I53" s="15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4"/>
      <c r="B54" s="4"/>
      <c r="C54" s="4"/>
      <c r="D54" s="4"/>
      <c r="E54" s="4"/>
      <c r="F54" s="4"/>
      <c r="G54" s="4"/>
      <c r="H54" s="4"/>
      <c r="I54" s="64">
        <v>22.4</v>
      </c>
      <c r="J54" s="4"/>
      <c r="K54" s="65" t="s">
        <v>80</v>
      </c>
      <c r="L54" s="65" t="s">
        <v>81</v>
      </c>
      <c r="M54" s="65" t="s">
        <v>82</v>
      </c>
      <c r="N54" s="66"/>
      <c r="O54" s="66"/>
      <c r="P54" s="1"/>
      <c r="Q54" s="1"/>
    </row>
    <row r="55" spans="1:17" ht="15.75" customHeight="1" thickTop="1" thickBot="1">
      <c r="A55" s="67" t="s">
        <v>25</v>
      </c>
      <c r="B55" s="50" t="s">
        <v>26</v>
      </c>
      <c r="C55" s="50" t="s">
        <v>27</v>
      </c>
      <c r="D55" s="50" t="s">
        <v>28</v>
      </c>
      <c r="E55" s="50" t="s">
        <v>29</v>
      </c>
      <c r="F55" s="50" t="s">
        <v>30</v>
      </c>
      <c r="G55" s="50" t="s">
        <v>31</v>
      </c>
      <c r="H55" s="50" t="s">
        <v>32</v>
      </c>
      <c r="I55" s="50" t="s">
        <v>33</v>
      </c>
      <c r="J55" s="50" t="s">
        <v>34</v>
      </c>
      <c r="K55" s="50" t="s">
        <v>83</v>
      </c>
      <c r="L55" s="50" t="s">
        <v>84</v>
      </c>
      <c r="M55" s="50" t="s">
        <v>85</v>
      </c>
      <c r="N55" s="68"/>
      <c r="O55" s="1"/>
      <c r="P55" s="1"/>
      <c r="Q55" s="1"/>
    </row>
    <row r="56" spans="1:17" ht="15.75" customHeight="1" thickTop="1" thickBot="1">
      <c r="A56" s="25" t="s">
        <v>8</v>
      </c>
      <c r="B56" s="69">
        <v>16</v>
      </c>
      <c r="C56" s="26">
        <f>D56/I54*B56</f>
        <v>2810.5</v>
      </c>
      <c r="D56" s="49">
        <f>G52*L46+G18</f>
        <v>3934.7</v>
      </c>
      <c r="E56" s="27">
        <f>D56/D67</f>
        <v>0.11026016096128408</v>
      </c>
      <c r="F56" s="26">
        <f t="shared" ref="F56:G65" si="6">C56+I56</f>
        <v>0</v>
      </c>
      <c r="G56" s="26">
        <f t="shared" si="6"/>
        <v>0</v>
      </c>
      <c r="H56" s="27">
        <f>G56/G67</f>
        <v>0</v>
      </c>
      <c r="I56" s="26">
        <f>J56/I54*B56</f>
        <v>-2810.5</v>
      </c>
      <c r="J56" s="49">
        <f t="shared" ref="J56:J61" si="7">SUM(K56:M56)</f>
        <v>-3934.7</v>
      </c>
      <c r="K56" s="49">
        <f>-D56</f>
        <v>-3934.7</v>
      </c>
      <c r="L56" s="49">
        <f>-D56-K56</f>
        <v>0</v>
      </c>
      <c r="M56" s="49">
        <v>0</v>
      </c>
      <c r="N56" s="70"/>
      <c r="O56" s="71"/>
      <c r="P56" s="1"/>
      <c r="Q56" s="29"/>
    </row>
    <row r="57" spans="1:17" ht="15.75" customHeight="1" thickTop="1" thickBot="1">
      <c r="A57" s="25" t="s">
        <v>10</v>
      </c>
      <c r="B57" s="69">
        <v>30</v>
      </c>
      <c r="C57" s="26">
        <f>D57/I54*B57</f>
        <v>196.875</v>
      </c>
      <c r="D57" s="49">
        <f>G52*L47</f>
        <v>147</v>
      </c>
      <c r="E57" s="27">
        <f>D57/D67</f>
        <v>4.1193086286905635E-3</v>
      </c>
      <c r="F57" s="26">
        <f t="shared" si="6"/>
        <v>0</v>
      </c>
      <c r="G57" s="26">
        <f t="shared" si="6"/>
        <v>0</v>
      </c>
      <c r="H57" s="27">
        <f>G57/G67</f>
        <v>0</v>
      </c>
      <c r="I57" s="26">
        <f>J57/I54*B57</f>
        <v>-196.875</v>
      </c>
      <c r="J57" s="49">
        <f t="shared" si="7"/>
        <v>-147</v>
      </c>
      <c r="K57" s="49">
        <f>-D57</f>
        <v>-147</v>
      </c>
      <c r="L57" s="49">
        <v>0</v>
      </c>
      <c r="M57" s="72">
        <v>0</v>
      </c>
      <c r="N57" s="73"/>
      <c r="O57" s="1"/>
      <c r="P57" s="1"/>
      <c r="Q57" s="29"/>
    </row>
    <row r="58" spans="1:17" ht="15.75" customHeight="1" thickTop="1" thickBot="1">
      <c r="A58" s="25" t="s">
        <v>12</v>
      </c>
      <c r="B58" s="69">
        <v>44</v>
      </c>
      <c r="C58" s="26">
        <f>D58/I54*B58</f>
        <v>385</v>
      </c>
      <c r="D58" s="49">
        <f>G52*L48</f>
        <v>196</v>
      </c>
      <c r="E58" s="27">
        <f>D58/D67</f>
        <v>5.492411504920751E-3</v>
      </c>
      <c r="F58" s="26">
        <f t="shared" si="6"/>
        <v>0</v>
      </c>
      <c r="G58" s="26">
        <f t="shared" si="6"/>
        <v>0</v>
      </c>
      <c r="H58" s="27">
        <f>G58/G67</f>
        <v>0</v>
      </c>
      <c r="I58" s="26">
        <f>J58/I54*B58</f>
        <v>-385</v>
      </c>
      <c r="J58" s="49">
        <f>SUM(K58:M58)</f>
        <v>-196</v>
      </c>
      <c r="K58" s="49">
        <f>-D58</f>
        <v>-196</v>
      </c>
      <c r="L58" s="49">
        <v>0</v>
      </c>
      <c r="M58" s="49">
        <v>0</v>
      </c>
      <c r="N58" s="1"/>
      <c r="O58" s="1"/>
      <c r="P58" s="1"/>
      <c r="Q58" s="29"/>
    </row>
    <row r="59" spans="1:17" ht="15.75" customHeight="1" thickTop="1" thickBot="1">
      <c r="A59" s="25" t="s">
        <v>14</v>
      </c>
      <c r="B59" s="69">
        <v>58</v>
      </c>
      <c r="C59" s="26">
        <f>D59/I54*B59</f>
        <v>634.375</v>
      </c>
      <c r="D59" s="49">
        <f>G52*L49</f>
        <v>245</v>
      </c>
      <c r="E59" s="27">
        <f>D59/D67</f>
        <v>6.8655143811509394E-3</v>
      </c>
      <c r="F59" s="26">
        <f t="shared" si="6"/>
        <v>0</v>
      </c>
      <c r="G59" s="26">
        <f t="shared" si="6"/>
        <v>0</v>
      </c>
      <c r="H59" s="27">
        <f>G59/G67</f>
        <v>0</v>
      </c>
      <c r="I59" s="26">
        <f>J59/I54*B59</f>
        <v>-634.375</v>
      </c>
      <c r="J59" s="49">
        <f t="shared" si="7"/>
        <v>-245</v>
      </c>
      <c r="K59" s="49">
        <f>-D59</f>
        <v>-245</v>
      </c>
      <c r="L59" s="49">
        <v>0</v>
      </c>
      <c r="M59" s="49">
        <v>0</v>
      </c>
      <c r="N59" s="1"/>
      <c r="O59" s="1"/>
      <c r="P59" s="1"/>
      <c r="Q59" s="29"/>
    </row>
    <row r="60" spans="1:17" ht="15.75" customHeight="1" thickTop="1" thickBot="1">
      <c r="A60" s="25" t="s">
        <v>16</v>
      </c>
      <c r="B60" s="69">
        <v>72</v>
      </c>
      <c r="C60" s="26">
        <f>D60/I54*B60</f>
        <v>47.250000000000007</v>
      </c>
      <c r="D60" s="49">
        <f>G52*L50</f>
        <v>14.700000000000001</v>
      </c>
      <c r="E60" s="27">
        <f>D60/D67</f>
        <v>4.1193086286905639E-4</v>
      </c>
      <c r="F60" s="26">
        <f t="shared" si="6"/>
        <v>0</v>
      </c>
      <c r="G60" s="26">
        <f>D60+L60</f>
        <v>14.700000000000001</v>
      </c>
      <c r="H60" s="27">
        <f>G60/G67</f>
        <v>3.0986052060783258E-4</v>
      </c>
      <c r="I60" s="26">
        <f>J60/I54*B60</f>
        <v>-47.250000000000007</v>
      </c>
      <c r="J60" s="49">
        <f t="shared" si="7"/>
        <v>-14.700000000000001</v>
      </c>
      <c r="K60" s="49">
        <f>-D60</f>
        <v>-14.700000000000001</v>
      </c>
      <c r="L60" s="49">
        <v>0</v>
      </c>
      <c r="M60" s="49">
        <v>0</v>
      </c>
      <c r="N60" s="1"/>
      <c r="O60" s="1"/>
      <c r="P60" s="1"/>
      <c r="Q60" s="29"/>
    </row>
    <row r="61" spans="1:17" ht="15.75" customHeight="1" thickTop="1" thickBot="1">
      <c r="A61" s="25" t="s">
        <v>86</v>
      </c>
      <c r="B61" s="69">
        <v>32</v>
      </c>
      <c r="C61" s="26">
        <f>D61</f>
        <v>0</v>
      </c>
      <c r="D61" s="49">
        <v>0</v>
      </c>
      <c r="E61" s="27">
        <f>D61</f>
        <v>0</v>
      </c>
      <c r="F61" s="26">
        <f t="shared" si="6"/>
        <v>0</v>
      </c>
      <c r="G61" s="26">
        <f>J61</f>
        <v>0</v>
      </c>
      <c r="H61" s="27">
        <f>G61/G67</f>
        <v>0</v>
      </c>
      <c r="I61" s="26">
        <f>0</f>
        <v>0</v>
      </c>
      <c r="J61" s="49">
        <f t="shared" si="7"/>
        <v>0</v>
      </c>
      <c r="K61" s="49">
        <v>0</v>
      </c>
      <c r="L61" s="49">
        <v>0</v>
      </c>
      <c r="M61" s="49">
        <v>0</v>
      </c>
      <c r="N61" s="1"/>
      <c r="O61" s="1"/>
      <c r="P61" s="1"/>
      <c r="Q61" s="29"/>
    </row>
    <row r="62" spans="1:17" ht="15.75" customHeight="1" thickTop="1" thickBot="1">
      <c r="A62" s="25" t="s">
        <v>42</v>
      </c>
      <c r="B62" s="69">
        <v>44</v>
      </c>
      <c r="C62" s="26">
        <f>D62/I54*B62</f>
        <v>4900.5000000000009</v>
      </c>
      <c r="D62" s="49">
        <f t="shared" ref="D62:D63" si="8">G24</f>
        <v>2494.8000000000002</v>
      </c>
      <c r="E62" s="27">
        <f>D62/D67</f>
        <v>6.9910552155491287E-2</v>
      </c>
      <c r="F62" s="26">
        <f t="shared" si="6"/>
        <v>4900.5000000000009</v>
      </c>
      <c r="G62" s="26">
        <f t="shared" ref="G62:G63" si="9">J62+D62</f>
        <v>2494.8000000000002</v>
      </c>
      <c r="H62" s="27">
        <f>G62/G67</f>
        <v>5.2587756926015014E-2</v>
      </c>
      <c r="I62" s="26">
        <f>J62/I54*B62</f>
        <v>0</v>
      </c>
      <c r="J62" s="49">
        <f>SUM(K62:M62)</f>
        <v>0</v>
      </c>
      <c r="K62" s="49">
        <v>0</v>
      </c>
      <c r="L62" s="49">
        <f>L56</f>
        <v>0</v>
      </c>
      <c r="M62" s="49">
        <v>0</v>
      </c>
      <c r="N62" s="1"/>
      <c r="O62" s="1"/>
      <c r="P62" s="1"/>
      <c r="Q62" s="29"/>
    </row>
    <row r="63" spans="1:17" ht="15.75" customHeight="1" thickTop="1" thickBot="1">
      <c r="A63" s="25" t="s">
        <v>44</v>
      </c>
      <c r="B63" s="69">
        <v>18</v>
      </c>
      <c r="C63" s="26">
        <f>D63/I54*B63</f>
        <v>8371.9285714285725</v>
      </c>
      <c r="D63" s="49">
        <f t="shared" si="8"/>
        <v>10418.400000000001</v>
      </c>
      <c r="E63" s="27">
        <f>D63/D67</f>
        <v>0.29194969399421616</v>
      </c>
      <c r="F63" s="26">
        <f t="shared" si="6"/>
        <v>3654.8035714285725</v>
      </c>
      <c r="G63" s="26">
        <f t="shared" si="9"/>
        <v>4548.2000000000016</v>
      </c>
      <c r="H63" s="27">
        <f>G63/G67</f>
        <v>9.5871266655003021E-2</v>
      </c>
      <c r="I63" s="26">
        <f>J63/I54*B63</f>
        <v>-4717.125</v>
      </c>
      <c r="J63" s="49">
        <f t="shared" ref="J63:J66" si="10">SUM(K63:M63)</f>
        <v>-5870.2</v>
      </c>
      <c r="K63" s="49">
        <f>K60*5+K59*4+K58*3+K57*2+K56</f>
        <v>-5870.2</v>
      </c>
      <c r="L63" s="49">
        <v>0</v>
      </c>
      <c r="M63" s="49">
        <v>0</v>
      </c>
      <c r="N63" s="1"/>
      <c r="O63" s="1"/>
      <c r="P63" s="1"/>
      <c r="Q63" s="29"/>
    </row>
    <row r="64" spans="1:17" ht="15.75" customHeight="1" thickTop="1" thickBot="1">
      <c r="A64" s="25" t="s">
        <v>87</v>
      </c>
      <c r="B64" s="69">
        <v>28</v>
      </c>
      <c r="C64" s="26">
        <v>0</v>
      </c>
      <c r="D64" s="49">
        <v>0</v>
      </c>
      <c r="E64" s="27">
        <f t="shared" ref="E64:E65" si="11">D64</f>
        <v>0</v>
      </c>
      <c r="F64" s="26">
        <f t="shared" si="6"/>
        <v>7337.75</v>
      </c>
      <c r="G64" s="26">
        <f t="shared" ref="G64:G65" si="12">J64</f>
        <v>5870.2</v>
      </c>
      <c r="H64" s="27">
        <f>G64/G67</f>
        <v>0.12373763456272779</v>
      </c>
      <c r="I64" s="26">
        <f>J64/I54*B64</f>
        <v>7337.75</v>
      </c>
      <c r="J64" s="49">
        <f t="shared" si="10"/>
        <v>5870.2</v>
      </c>
      <c r="K64" s="49">
        <f>-K60*5-K59*4-K58*3-K57*2-K56</f>
        <v>5870.2</v>
      </c>
      <c r="L64" s="49">
        <f>-L56*2</f>
        <v>0</v>
      </c>
      <c r="M64" s="49">
        <v>0</v>
      </c>
      <c r="N64" s="1"/>
      <c r="O64" s="1"/>
      <c r="P64" s="1"/>
      <c r="Q64" s="29"/>
    </row>
    <row r="65" spans="1:17" ht="15.75" customHeight="1" thickTop="1" thickBot="1">
      <c r="A65" s="25" t="s">
        <v>88</v>
      </c>
      <c r="B65" s="69">
        <v>2</v>
      </c>
      <c r="C65" s="26">
        <v>0</v>
      </c>
      <c r="D65" s="49">
        <v>0</v>
      </c>
      <c r="E65" s="27">
        <f t="shared" si="11"/>
        <v>0</v>
      </c>
      <c r="F65" s="26">
        <f t="shared" si="6"/>
        <v>1453.375</v>
      </c>
      <c r="G65" s="26">
        <f t="shared" si="12"/>
        <v>16277.8</v>
      </c>
      <c r="H65" s="27">
        <f>G65/G67</f>
        <v>0.34311888315307321</v>
      </c>
      <c r="I65" s="26">
        <f>J65/I54*B65</f>
        <v>1453.375</v>
      </c>
      <c r="J65" s="49">
        <f t="shared" si="10"/>
        <v>16277.8</v>
      </c>
      <c r="K65" s="49">
        <f>-K60*11-K59*9-K58*7-K57*5-K56*3</f>
        <v>16277.8</v>
      </c>
      <c r="L65" s="49">
        <f>-L56*2</f>
        <v>0</v>
      </c>
      <c r="M65" s="49">
        <v>0</v>
      </c>
      <c r="N65" s="1"/>
      <c r="O65" s="1"/>
      <c r="P65" s="1"/>
      <c r="Q65" s="29"/>
    </row>
    <row r="66" spans="1:17" ht="15.75" customHeight="1" thickTop="1" thickBot="1">
      <c r="A66" s="25" t="s">
        <v>46</v>
      </c>
      <c r="B66" s="69">
        <v>28</v>
      </c>
      <c r="C66" s="26">
        <f>D66/I54*B66</f>
        <v>22793.75</v>
      </c>
      <c r="D66" s="49">
        <f>G52*L51+G26</f>
        <v>18235</v>
      </c>
      <c r="E66" s="27">
        <f>D66/D67</f>
        <v>0.51099042751137702</v>
      </c>
      <c r="F66" s="26">
        <f>I66+C66</f>
        <v>22793.75</v>
      </c>
      <c r="G66" s="26">
        <f>D66+J66</f>
        <v>18235</v>
      </c>
      <c r="H66" s="27">
        <f>G66/G67</f>
        <v>0.38437459818257319</v>
      </c>
      <c r="I66" s="26">
        <v>0</v>
      </c>
      <c r="J66" s="49">
        <f t="shared" si="10"/>
        <v>0</v>
      </c>
      <c r="K66" s="49">
        <v>0</v>
      </c>
      <c r="L66" s="49">
        <v>0</v>
      </c>
      <c r="M66" s="49">
        <v>0</v>
      </c>
      <c r="N66" s="1"/>
      <c r="O66" s="1"/>
      <c r="P66" s="1"/>
      <c r="Q66" s="29"/>
    </row>
    <row r="67" spans="1:17" ht="15.75" customHeight="1" thickTop="1" thickBot="1">
      <c r="A67" s="39" t="s">
        <v>48</v>
      </c>
      <c r="B67" s="17"/>
      <c r="C67" s="74">
        <f t="shared" ref="C67:H67" si="13">SUM(C56:C66)</f>
        <v>40140.178571428572</v>
      </c>
      <c r="D67" s="49">
        <f t="shared" si="13"/>
        <v>35685.600000000006</v>
      </c>
      <c r="E67" s="27">
        <f t="shared" si="13"/>
        <v>0.99999999999999978</v>
      </c>
      <c r="F67" s="74">
        <f t="shared" si="13"/>
        <v>40140.178571428572</v>
      </c>
      <c r="G67" s="26">
        <f t="shared" si="13"/>
        <v>47440.7</v>
      </c>
      <c r="H67" s="27">
        <f t="shared" si="13"/>
        <v>1</v>
      </c>
      <c r="I67" s="26">
        <f>SUM(I56:I66)</f>
        <v>0</v>
      </c>
      <c r="J67" s="26">
        <f>SUM(J56:J66)</f>
        <v>11740.400000000001</v>
      </c>
      <c r="K67" s="26">
        <f>SUM(K56:K66)</f>
        <v>11740.400000000001</v>
      </c>
      <c r="L67" s="26">
        <f>SUM(L56:L66)</f>
        <v>0</v>
      </c>
      <c r="M67" s="26">
        <f>SUM(M56:M66)</f>
        <v>0</v>
      </c>
      <c r="N67" s="1"/>
      <c r="O67" s="1"/>
      <c r="P67" s="1"/>
      <c r="Q67" s="29"/>
    </row>
    <row r="68" spans="1:17" ht="15.75" customHeight="1" thickTop="1" thickBot="1">
      <c r="A68" s="1"/>
      <c r="B68" s="1"/>
      <c r="C68" s="29"/>
      <c r="D68" s="29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4"/>
      <c r="C69" s="4"/>
      <c r="D69" s="4"/>
      <c r="E69" s="1"/>
      <c r="F69" s="1"/>
      <c r="G69" s="75" t="s">
        <v>89</v>
      </c>
      <c r="H69" s="7"/>
      <c r="I69" s="49">
        <f>G65/G64</f>
        <v>2.7729549248747913</v>
      </c>
      <c r="J69" s="1"/>
      <c r="K69" s="29">
        <f>D59-D62/4</f>
        <v>-378.70000000000005</v>
      </c>
      <c r="L69" s="1"/>
      <c r="M69" s="1">
        <f>D59*4</f>
        <v>980</v>
      </c>
      <c r="N69" s="1" t="s">
        <v>90</v>
      </c>
      <c r="O69" s="1"/>
      <c r="P69" s="1"/>
      <c r="Q69" s="1"/>
    </row>
    <row r="70" spans="1:17" ht="15.75" customHeight="1" thickTop="1" thickBot="1">
      <c r="A70" s="7"/>
      <c r="B70" s="76" t="s">
        <v>91</v>
      </c>
      <c r="C70" s="17"/>
      <c r="D70" s="17">
        <v>9</v>
      </c>
      <c r="E70" s="1" t="s">
        <v>92</v>
      </c>
      <c r="F70" s="77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78" t="s">
        <v>80</v>
      </c>
      <c r="B71" s="76" t="s">
        <v>93</v>
      </c>
      <c r="C71" s="4"/>
      <c r="D71" s="17">
        <v>7</v>
      </c>
      <c r="E71" s="1" t="s">
        <v>92</v>
      </c>
      <c r="F71" s="77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7"/>
      <c r="B72" s="76" t="s">
        <v>94</v>
      </c>
      <c r="C72" s="4"/>
      <c r="D72" s="17">
        <v>5</v>
      </c>
      <c r="E72" s="1" t="s">
        <v>92</v>
      </c>
      <c r="F72" s="77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7"/>
      <c r="B73" s="76" t="s">
        <v>95</v>
      </c>
      <c r="C73" s="4"/>
      <c r="D73" s="17">
        <v>3</v>
      </c>
      <c r="E73" s="1" t="s">
        <v>92</v>
      </c>
      <c r="F73" s="77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7"/>
      <c r="B74" s="76" t="s">
        <v>96</v>
      </c>
      <c r="C74" s="4"/>
      <c r="D74" s="17">
        <v>1</v>
      </c>
      <c r="E74" s="1" t="s">
        <v>92</v>
      </c>
      <c r="F74" s="77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7"/>
      <c r="B75" s="17"/>
      <c r="C75" s="17"/>
      <c r="D75" s="17"/>
      <c r="E75" s="1"/>
      <c r="F75" s="7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7"/>
      <c r="B76" s="76" t="s">
        <v>97</v>
      </c>
      <c r="C76" s="4"/>
      <c r="D76" s="17">
        <v>10</v>
      </c>
      <c r="E76" s="1" t="s">
        <v>92</v>
      </c>
      <c r="F76" s="77">
        <v>10</v>
      </c>
      <c r="G76" s="1"/>
      <c r="H76" s="29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78" t="s">
        <v>81</v>
      </c>
      <c r="B77" s="4" t="s">
        <v>98</v>
      </c>
      <c r="C77" s="4"/>
      <c r="D77" s="17">
        <v>8</v>
      </c>
      <c r="E77" s="1" t="s">
        <v>99</v>
      </c>
      <c r="F77" s="77">
        <v>8</v>
      </c>
      <c r="G77" s="1"/>
      <c r="H77" s="1"/>
      <c r="I77" s="1"/>
      <c r="J77" s="1"/>
      <c r="K77" s="29"/>
      <c r="L77" s="1"/>
      <c r="M77" s="29"/>
      <c r="N77" s="1"/>
      <c r="O77" s="1"/>
      <c r="P77" s="1"/>
      <c r="Q77" s="1"/>
    </row>
    <row r="78" spans="1:17" ht="15.75" customHeight="1" thickTop="1" thickBot="1">
      <c r="A78" s="7"/>
      <c r="B78" s="4" t="s">
        <v>100</v>
      </c>
      <c r="C78" s="4"/>
      <c r="D78" s="17">
        <v>6</v>
      </c>
      <c r="E78" s="1" t="s">
        <v>99</v>
      </c>
      <c r="F78" s="77">
        <v>6</v>
      </c>
      <c r="G78" s="1"/>
      <c r="H78" s="1"/>
      <c r="I78" s="1"/>
      <c r="J78" s="1"/>
      <c r="K78" s="1"/>
      <c r="L78" s="29"/>
      <c r="M78" s="29"/>
      <c r="N78" s="1"/>
      <c r="O78" s="1"/>
      <c r="P78" s="1"/>
      <c r="Q78" s="1"/>
    </row>
    <row r="79" spans="1:17" ht="15.75" customHeight="1" thickTop="1" thickBot="1">
      <c r="A79" s="7"/>
      <c r="B79" s="4" t="s">
        <v>101</v>
      </c>
      <c r="C79" s="4"/>
      <c r="D79" s="17">
        <v>4</v>
      </c>
      <c r="E79" s="1" t="s">
        <v>99</v>
      </c>
      <c r="F79" s="77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7"/>
      <c r="B80" s="4" t="s">
        <v>102</v>
      </c>
      <c r="C80" s="4"/>
      <c r="D80" s="17">
        <v>2</v>
      </c>
      <c r="E80" s="1" t="s">
        <v>99</v>
      </c>
      <c r="F80" s="77">
        <v>2</v>
      </c>
      <c r="G80" s="1"/>
      <c r="H80" s="1"/>
      <c r="I80" s="1"/>
      <c r="J80" s="1"/>
      <c r="K80" s="29"/>
      <c r="L80" s="1"/>
      <c r="M80" s="29"/>
      <c r="N80" s="1"/>
      <c r="O80" s="1"/>
      <c r="P80" s="1"/>
      <c r="Q80" s="1"/>
    </row>
    <row r="81" spans="1:17" ht="15.75" customHeight="1" thickTop="1" thickBot="1">
      <c r="A81" s="7"/>
      <c r="B81" s="17"/>
      <c r="C81" s="17"/>
      <c r="D81" s="1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7"/>
      <c r="B82" s="4" t="s">
        <v>103</v>
      </c>
      <c r="C82" s="4"/>
      <c r="D82" s="17">
        <v>8</v>
      </c>
      <c r="E82" s="1" t="s">
        <v>99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78" t="s">
        <v>82</v>
      </c>
      <c r="B83" s="4" t="s">
        <v>104</v>
      </c>
      <c r="C83" s="4"/>
      <c r="D83" s="17">
        <v>6</v>
      </c>
      <c r="E83" s="1" t="s">
        <v>99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7"/>
      <c r="B84" s="4" t="s">
        <v>105</v>
      </c>
      <c r="C84" s="4"/>
      <c r="D84" s="17">
        <v>2</v>
      </c>
      <c r="E84" s="1" t="s">
        <v>99</v>
      </c>
      <c r="F84" s="1"/>
      <c r="G84" s="1"/>
      <c r="H84" s="1"/>
      <c r="I84" s="1"/>
      <c r="J84" s="1"/>
      <c r="K84" s="1"/>
      <c r="L84" s="1"/>
      <c r="M84" s="1"/>
      <c r="N84" s="29"/>
      <c r="O84" s="29"/>
      <c r="P84" s="29"/>
      <c r="Q84" s="29"/>
    </row>
    <row r="85" spans="1:17" ht="15.75" customHeight="1" thickTop="1" thickBot="1">
      <c r="A85" s="7"/>
      <c r="B85" s="4" t="s">
        <v>106</v>
      </c>
      <c r="C85" s="4"/>
      <c r="D85" s="17">
        <v>3</v>
      </c>
      <c r="E85" s="1" t="s">
        <v>99</v>
      </c>
      <c r="F85" s="1"/>
      <c r="G85" s="1"/>
      <c r="H85" s="1"/>
      <c r="I85" s="1"/>
      <c r="J85" s="1"/>
      <c r="K85" s="1"/>
      <c r="L85" s="1"/>
      <c r="M85" s="1"/>
      <c r="N85" s="29"/>
      <c r="O85" s="29"/>
      <c r="P85" s="29"/>
      <c r="Q85" s="29"/>
    </row>
    <row r="86" spans="1:17" ht="15.75" customHeight="1" thickTop="1" thickBot="1">
      <c r="A86" s="7"/>
      <c r="B86" s="76" t="s">
        <v>107</v>
      </c>
      <c r="C86" s="4"/>
      <c r="D86" s="17">
        <v>1</v>
      </c>
      <c r="E86" s="1" t="s">
        <v>99</v>
      </c>
      <c r="F86" s="1"/>
      <c r="G86" s="1"/>
      <c r="H86" s="1"/>
      <c r="I86" s="1"/>
      <c r="J86" s="1"/>
      <c r="K86" s="1"/>
      <c r="L86" s="1"/>
      <c r="M86" s="1"/>
      <c r="N86" s="29"/>
      <c r="O86" s="29"/>
      <c r="P86" s="29"/>
      <c r="Q86" s="29"/>
    </row>
    <row r="87" spans="1:17" ht="15.75" customHeight="1" thickTop="1">
      <c r="A87" s="1"/>
      <c r="B87" s="42"/>
      <c r="C87" s="42"/>
      <c r="D87" s="42"/>
      <c r="E87" s="1"/>
      <c r="F87" s="1"/>
      <c r="G87" s="1"/>
      <c r="H87" s="1"/>
      <c r="I87" s="1"/>
      <c r="J87" s="1"/>
      <c r="K87" s="1"/>
      <c r="L87" s="1"/>
      <c r="M87" s="1"/>
      <c r="N87" s="29"/>
      <c r="O87" s="29"/>
      <c r="P87" s="29"/>
      <c r="Q87" s="29"/>
    </row>
    <row r="88" spans="1:17" ht="15.75" customHeight="1">
      <c r="A88" s="79"/>
      <c r="B88" s="79"/>
      <c r="C88" s="57"/>
      <c r="D88" s="56"/>
      <c r="E88" s="1"/>
      <c r="F88" s="80" t="s">
        <v>108</v>
      </c>
      <c r="G88" s="15"/>
      <c r="H88" s="15"/>
      <c r="I88" s="15"/>
      <c r="J88" s="42"/>
      <c r="K88" s="42"/>
      <c r="L88" s="42"/>
      <c r="M88" s="42"/>
      <c r="N88" s="42"/>
      <c r="O88" s="29"/>
      <c r="P88" s="29"/>
      <c r="Q88" s="29"/>
    </row>
    <row r="89" spans="1:17" ht="15.75" customHeight="1" thickBot="1">
      <c r="A89" s="4"/>
      <c r="B89" s="45" t="s">
        <v>109</v>
      </c>
      <c r="C89" s="46" t="s">
        <v>53</v>
      </c>
      <c r="D89" s="56"/>
      <c r="E89" s="4"/>
      <c r="F89" s="4"/>
      <c r="G89" s="1"/>
      <c r="H89" s="81"/>
      <c r="I89" s="82"/>
      <c r="J89" s="82"/>
      <c r="K89" s="82"/>
      <c r="L89" s="82"/>
      <c r="M89" s="82"/>
      <c r="N89" s="83"/>
      <c r="O89" s="29"/>
      <c r="P89" s="29"/>
      <c r="Q89" s="29"/>
    </row>
    <row r="90" spans="1:17" ht="15.75" customHeight="1" thickTop="1" thickBot="1">
      <c r="A90" s="84" t="s">
        <v>25</v>
      </c>
      <c r="B90" s="85" t="s">
        <v>54</v>
      </c>
      <c r="C90" s="85" t="s">
        <v>55</v>
      </c>
      <c r="D90" s="86">
        <v>11</v>
      </c>
      <c r="E90" s="43" t="s">
        <v>91</v>
      </c>
      <c r="F90" s="7"/>
      <c r="G90" s="7"/>
      <c r="H90" s="87" t="s">
        <v>110</v>
      </c>
      <c r="I90" s="87" t="s">
        <v>111</v>
      </c>
      <c r="J90" s="87" t="s">
        <v>112</v>
      </c>
      <c r="K90" s="87" t="s">
        <v>113</v>
      </c>
      <c r="L90" s="87" t="s">
        <v>114</v>
      </c>
      <c r="M90" s="87" t="s">
        <v>115</v>
      </c>
      <c r="N90" s="42"/>
      <c r="O90" s="1"/>
      <c r="P90" s="1"/>
      <c r="Q90" s="1"/>
    </row>
    <row r="91" spans="1:17" ht="15.75" customHeight="1" thickTop="1" thickBot="1">
      <c r="A91" s="25" t="s">
        <v>8</v>
      </c>
      <c r="B91" s="49">
        <v>35.700000000000003</v>
      </c>
      <c r="C91" s="49">
        <v>-74.599999999999994</v>
      </c>
      <c r="D91" s="86">
        <v>12</v>
      </c>
      <c r="E91" s="43" t="s">
        <v>93</v>
      </c>
      <c r="F91" s="7"/>
      <c r="G91" s="7"/>
      <c r="H91" s="26">
        <f>H36</f>
        <v>27932588.593750007</v>
      </c>
      <c r="I91" s="88">
        <f>E6*(1-I6)/D13*N50*20*1000/3600</f>
        <v>49347.034722222219</v>
      </c>
      <c r="J91" s="88">
        <f>(K60/D13*C108+K59/D13*C107+K58/D13*C106+K57/D13*C105+K56/D13*C104)*1000/3600*1000</f>
        <v>-14012321.701388892</v>
      </c>
      <c r="K91" s="88">
        <f>(L56/D13*C109)*1000/3600*1000</f>
        <v>0</v>
      </c>
      <c r="L91" s="26">
        <v>0</v>
      </c>
      <c r="M91" s="26">
        <f>H91+I91+J91+K91</f>
        <v>13969613.92708334</v>
      </c>
      <c r="N91" s="89"/>
      <c r="O91" s="1"/>
      <c r="P91" s="1"/>
      <c r="Q91" s="1"/>
    </row>
    <row r="92" spans="1:17" ht="15.75" customHeight="1" thickTop="1" thickBot="1">
      <c r="A92" s="25" t="s">
        <v>10</v>
      </c>
      <c r="B92" s="49">
        <v>52.49</v>
      </c>
      <c r="C92" s="49">
        <v>-84</v>
      </c>
      <c r="D92" s="86">
        <v>13</v>
      </c>
      <c r="E92" s="43" t="s">
        <v>94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5" t="s">
        <v>12</v>
      </c>
      <c r="B93" s="49">
        <v>73.599999999999994</v>
      </c>
      <c r="C93" s="49">
        <f>-103.85</f>
        <v>-103.85</v>
      </c>
      <c r="D93" s="86">
        <v>14</v>
      </c>
      <c r="E93" s="43" t="s">
        <v>95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5" t="s">
        <v>14</v>
      </c>
      <c r="B94" s="49">
        <v>98.49</v>
      </c>
      <c r="C94" s="49">
        <f>-125.77</f>
        <v>-125.77</v>
      </c>
      <c r="D94" s="86">
        <v>15</v>
      </c>
      <c r="E94" s="43" t="s">
        <v>96</v>
      </c>
      <c r="F94" s="7"/>
      <c r="G94" s="7"/>
      <c r="H94" s="90" t="s">
        <v>116</v>
      </c>
      <c r="I94" s="91">
        <f>M91/(G67/D13*1000/3600*B103)</f>
        <v>794.01363199398816</v>
      </c>
      <c r="J94" s="1" t="s">
        <v>117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5" t="s">
        <v>16</v>
      </c>
      <c r="B95" s="49">
        <v>120.04</v>
      </c>
      <c r="C95" s="49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5" t="s">
        <v>86</v>
      </c>
      <c r="B96" s="49">
        <v>29.38</v>
      </c>
      <c r="C96" s="49">
        <f>0</f>
        <v>0</v>
      </c>
      <c r="D96" s="86">
        <v>21</v>
      </c>
      <c r="E96" s="43" t="s">
        <v>97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5" t="s">
        <v>42</v>
      </c>
      <c r="B97" s="49">
        <v>37.14</v>
      </c>
      <c r="C97" s="49">
        <f>-393.51</f>
        <v>-393.51</v>
      </c>
      <c r="D97" s="86">
        <v>22</v>
      </c>
      <c r="E97" s="1" t="s">
        <v>98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5" t="s">
        <v>44</v>
      </c>
      <c r="B98" s="49">
        <v>33.6</v>
      </c>
      <c r="C98" s="49">
        <f>-241.83</f>
        <v>-241.83</v>
      </c>
      <c r="D98" s="86">
        <v>23</v>
      </c>
      <c r="E98" s="1" t="s">
        <v>100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5" t="s">
        <v>87</v>
      </c>
      <c r="B99" s="49">
        <v>29.14</v>
      </c>
      <c r="C99" s="49">
        <v>-110.53</v>
      </c>
      <c r="D99" s="86">
        <v>24</v>
      </c>
      <c r="E99" s="1" t="s">
        <v>101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5" t="s">
        <v>88</v>
      </c>
      <c r="B100" s="49">
        <v>28.84</v>
      </c>
      <c r="C100" s="49">
        <v>0</v>
      </c>
      <c r="D100" s="86">
        <v>25</v>
      </c>
      <c r="E100" s="1" t="s">
        <v>102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92" t="s">
        <v>46</v>
      </c>
      <c r="B101" s="49">
        <v>29.12</v>
      </c>
      <c r="C101" s="49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93" t="s">
        <v>118</v>
      </c>
      <c r="B102" s="94" t="s">
        <v>119</v>
      </c>
      <c r="C102" s="83"/>
      <c r="D102" s="86">
        <v>31</v>
      </c>
      <c r="E102" s="1" t="s">
        <v>103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93" t="s">
        <v>120</v>
      </c>
      <c r="B103" s="95">
        <f>B91*H56+B92*H57+B93*H58+B94*H59+B95*H60+B96*H61+B97*H62+B98*H63+B99*H64+B100*H65+B101*H66</f>
        <v>29.905831069103115</v>
      </c>
      <c r="C103" s="96"/>
      <c r="D103" s="86">
        <v>32</v>
      </c>
      <c r="E103" s="1" t="s">
        <v>104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9" t="s">
        <v>121</v>
      </c>
      <c r="C104" s="52">
        <f>C99+C100*3-C91-C98</f>
        <v>205.9</v>
      </c>
      <c r="D104" s="86">
        <v>33</v>
      </c>
      <c r="E104" s="1" t="s">
        <v>105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9" t="s">
        <v>122</v>
      </c>
      <c r="C105" s="53">
        <f>C99*2+C100*5-C92-2*C98</f>
        <v>346.6</v>
      </c>
      <c r="D105" s="86">
        <v>34</v>
      </c>
      <c r="E105" s="1" t="s">
        <v>106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9" t="s">
        <v>123</v>
      </c>
      <c r="C106" s="53">
        <f>3*C99+7*C100-C93-3*C98</f>
        <v>497.75</v>
      </c>
      <c r="D106" s="86">
        <v>35</v>
      </c>
      <c r="E106" s="76" t="s">
        <v>107</v>
      </c>
      <c r="F106" s="1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9" t="s">
        <v>124</v>
      </c>
      <c r="C107" s="53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9" t="s">
        <v>125</v>
      </c>
      <c r="C108" s="53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9" t="s">
        <v>126</v>
      </c>
      <c r="C109" s="97">
        <f>2*C99-C91-C97</f>
        <v>247.04999999999998</v>
      </c>
      <c r="D109" s="1" t="s">
        <v>65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9" t="s">
        <v>127</v>
      </c>
      <c r="C110" s="5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7"/>
      <c r="B111" s="59" t="s">
        <v>128</v>
      </c>
      <c r="C111" s="5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7"/>
      <c r="B112" s="59" t="s">
        <v>129</v>
      </c>
      <c r="C112" s="5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7"/>
      <c r="B113" s="59" t="s">
        <v>130</v>
      </c>
      <c r="C113" s="5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7"/>
      <c r="B114" s="59" t="s">
        <v>131</v>
      </c>
      <c r="C114" s="5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7"/>
      <c r="B115" s="59" t="s">
        <v>132</v>
      </c>
      <c r="C115" s="5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7"/>
      <c r="B116" s="59" t="s">
        <v>133</v>
      </c>
      <c r="C116" s="5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7"/>
      <c r="B117" s="59" t="s">
        <v>134</v>
      </c>
      <c r="C117" s="5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7"/>
      <c r="B118" s="59" t="s">
        <v>135</v>
      </c>
      <c r="C118" s="5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0.3+1.4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2024-05-23T18:51:53Z</dcterms:created>
  <dcterms:modified xsi:type="dcterms:W3CDTF">2024-05-23T18:52:25Z</dcterms:modified>
</cp:coreProperties>
</file>