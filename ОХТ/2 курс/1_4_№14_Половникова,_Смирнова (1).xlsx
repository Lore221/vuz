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8_{62E9778A-CFB2-42BD-879C-DA0589083AD0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0,3; 1,4" sheetId="5" r:id="rId1"/>
    <sheet name="доп усл" sheetId="8" r:id="rId2"/>
    <sheet name="0,15-1,1" sheetId="2" r:id="rId3"/>
    <sheet name="0,15-1,3" sheetId="3" r:id="rId4"/>
    <sheet name="0,15; 1,4" sheetId="1" r:id="rId5"/>
    <sheet name="0,2; 1,4" sheetId="4" r:id="rId6"/>
    <sheet name="0,35; 1,4" sheetId="7" r:id="rId7"/>
    <sheet name="0,4; 1,4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0eyvcTsRiIHkhqdDsk2RwIp6X8fNXvsbd9WqOjGofU="/>
    </ext>
  </extLst>
</workbook>
</file>

<file path=xl/calcChain.xml><?xml version="1.0" encoding="utf-8"?>
<calcChain xmlns="http://schemas.openxmlformats.org/spreadsheetml/2006/main">
  <c r="G66" i="5" l="1"/>
  <c r="H66" i="8"/>
  <c r="G66" i="8"/>
  <c r="C63" i="8"/>
  <c r="I91" i="8"/>
  <c r="D66" i="5"/>
  <c r="D66" i="8"/>
  <c r="I31" i="8"/>
  <c r="E36" i="8" s="1"/>
  <c r="C98" i="8"/>
  <c r="C105" i="8" s="1"/>
  <c r="C97" i="8"/>
  <c r="C109" i="8" s="1"/>
  <c r="C96" i="8"/>
  <c r="C95" i="8"/>
  <c r="C94" i="8"/>
  <c r="C107" i="8" s="1"/>
  <c r="C93" i="8"/>
  <c r="C106" i="8" s="1"/>
  <c r="M67" i="8"/>
  <c r="J66" i="8"/>
  <c r="E65" i="8"/>
  <c r="E64" i="8"/>
  <c r="J61" i="8"/>
  <c r="G61" i="8" s="1"/>
  <c r="I61" i="8"/>
  <c r="F61" i="8"/>
  <c r="E61" i="8"/>
  <c r="C61" i="8"/>
  <c r="L51" i="8"/>
  <c r="N50" i="8"/>
  <c r="C40" i="8"/>
  <c r="C39" i="8"/>
  <c r="C38" i="8"/>
  <c r="C49" i="8" s="1"/>
  <c r="C37" i="8"/>
  <c r="C36" i="8"/>
  <c r="C35" i="8"/>
  <c r="C34" i="8"/>
  <c r="F29" i="8"/>
  <c r="D21" i="8" s="1"/>
  <c r="N26" i="8"/>
  <c r="I26" i="8"/>
  <c r="C25" i="8"/>
  <c r="C24" i="8"/>
  <c r="E12" i="8"/>
  <c r="G60" i="5"/>
  <c r="C58" i="5"/>
  <c r="I91" i="5"/>
  <c r="K91" i="5"/>
  <c r="J91" i="5"/>
  <c r="B102" i="7"/>
  <c r="G18" i="6"/>
  <c r="M20" i="6"/>
  <c r="K59" i="6"/>
  <c r="K91" i="6"/>
  <c r="I91" i="6"/>
  <c r="C108" i="6"/>
  <c r="C107" i="6"/>
  <c r="C106" i="6"/>
  <c r="C105" i="6"/>
  <c r="C104" i="6"/>
  <c r="B102" i="4"/>
  <c r="B102" i="1"/>
  <c r="B102" i="3"/>
  <c r="B102" i="2"/>
  <c r="B103" i="4"/>
  <c r="I94" i="4" s="1"/>
  <c r="B103" i="1"/>
  <c r="C109" i="5"/>
  <c r="C105" i="5"/>
  <c r="C104" i="5"/>
  <c r="C98" i="5"/>
  <c r="C97" i="5"/>
  <c r="C96" i="5"/>
  <c r="C95" i="5"/>
  <c r="C108" i="5" s="1"/>
  <c r="C94" i="5"/>
  <c r="C107" i="5" s="1"/>
  <c r="C93" i="5"/>
  <c r="C106" i="5" s="1"/>
  <c r="L65" i="5"/>
  <c r="L64" i="5"/>
  <c r="L62" i="5"/>
  <c r="L56" i="5"/>
  <c r="K65" i="5"/>
  <c r="K64" i="5"/>
  <c r="K63" i="5"/>
  <c r="K57" i="5"/>
  <c r="K58" i="5"/>
  <c r="K59" i="5"/>
  <c r="K60" i="5"/>
  <c r="K91" i="4"/>
  <c r="J91" i="4"/>
  <c r="I91" i="4"/>
  <c r="H91" i="4"/>
  <c r="C109" i="4"/>
  <c r="C108" i="4"/>
  <c r="C107" i="4"/>
  <c r="C106" i="4"/>
  <c r="C105" i="4"/>
  <c r="J91" i="1"/>
  <c r="C108" i="1"/>
  <c r="J91" i="3"/>
  <c r="J91" i="2"/>
  <c r="C110" i="3"/>
  <c r="K91" i="3" s="1"/>
  <c r="C109" i="3"/>
  <c r="C108" i="3"/>
  <c r="C107" i="3"/>
  <c r="C106" i="3"/>
  <c r="C105" i="3"/>
  <c r="C108" i="2"/>
  <c r="C98" i="4"/>
  <c r="C97" i="4"/>
  <c r="C96" i="4"/>
  <c r="C95" i="4"/>
  <c r="C94" i="4"/>
  <c r="C93" i="4"/>
  <c r="I67" i="4"/>
  <c r="J67" i="4"/>
  <c r="K67" i="4"/>
  <c r="L67" i="4"/>
  <c r="M67" i="4"/>
  <c r="L65" i="4"/>
  <c r="J65" i="4" s="1"/>
  <c r="G65" i="4" s="1"/>
  <c r="L64" i="4"/>
  <c r="J64" i="4" s="1"/>
  <c r="G64" i="4" s="1"/>
  <c r="G58" i="4"/>
  <c r="G62" i="4"/>
  <c r="J61" i="4"/>
  <c r="G61" i="4" s="1"/>
  <c r="J57" i="4"/>
  <c r="G57" i="4" s="1"/>
  <c r="J58" i="4"/>
  <c r="J59" i="4"/>
  <c r="G59" i="4" s="1"/>
  <c r="J60" i="4"/>
  <c r="G60" i="4" s="1"/>
  <c r="J62" i="4"/>
  <c r="J63" i="4"/>
  <c r="G63" i="4" s="1"/>
  <c r="J66" i="4"/>
  <c r="G66" i="4" s="1"/>
  <c r="J56" i="4"/>
  <c r="L62" i="4"/>
  <c r="K65" i="4"/>
  <c r="K64" i="4"/>
  <c r="K63" i="4"/>
  <c r="K57" i="4"/>
  <c r="K58" i="4"/>
  <c r="K59" i="4"/>
  <c r="K60" i="4"/>
  <c r="I91" i="3"/>
  <c r="H91" i="3"/>
  <c r="C98" i="3"/>
  <c r="C97" i="3"/>
  <c r="C96" i="3"/>
  <c r="C95" i="3"/>
  <c r="C94" i="3"/>
  <c r="C93" i="3"/>
  <c r="K67" i="3"/>
  <c r="L67" i="3"/>
  <c r="M67" i="3"/>
  <c r="L65" i="3"/>
  <c r="L64" i="3"/>
  <c r="L65" i="1"/>
  <c r="L64" i="1"/>
  <c r="K64" i="1"/>
  <c r="J64" i="3"/>
  <c r="K65" i="3"/>
  <c r="K64" i="3"/>
  <c r="L62" i="3"/>
  <c r="J62" i="3" s="1"/>
  <c r="J57" i="3"/>
  <c r="J58" i="3"/>
  <c r="J59" i="3"/>
  <c r="J60" i="3"/>
  <c r="J61" i="3"/>
  <c r="J63" i="3"/>
  <c r="J66" i="3"/>
  <c r="L57" i="3"/>
  <c r="K63" i="3"/>
  <c r="K57" i="3"/>
  <c r="K58" i="3"/>
  <c r="K59" i="3"/>
  <c r="K60" i="3"/>
  <c r="K91" i="2"/>
  <c r="I91" i="2"/>
  <c r="H91" i="2"/>
  <c r="C111" i="2"/>
  <c r="C110" i="2"/>
  <c r="C109" i="2"/>
  <c r="C107" i="2"/>
  <c r="C106" i="2"/>
  <c r="C98" i="2"/>
  <c r="C97" i="2"/>
  <c r="C96" i="2"/>
  <c r="C95" i="2"/>
  <c r="C94" i="2"/>
  <c r="C93" i="2"/>
  <c r="L67" i="2"/>
  <c r="K67" i="2"/>
  <c r="M67" i="2"/>
  <c r="K58" i="2"/>
  <c r="L51" i="2"/>
  <c r="N50" i="2" s="1"/>
  <c r="G52" i="2"/>
  <c r="J66" i="2"/>
  <c r="E65" i="2"/>
  <c r="E64" i="2"/>
  <c r="J61" i="2"/>
  <c r="G61" i="2" s="1"/>
  <c r="I61" i="2"/>
  <c r="E61" i="2"/>
  <c r="C61" i="2"/>
  <c r="D59" i="2"/>
  <c r="K59" i="2" s="1"/>
  <c r="J59" i="2" s="1"/>
  <c r="I59" i="2" s="1"/>
  <c r="D58" i="2"/>
  <c r="L58" i="2" s="1"/>
  <c r="D57" i="2"/>
  <c r="L57" i="2" s="1"/>
  <c r="J57" i="2" s="1"/>
  <c r="I57" i="2" s="1"/>
  <c r="K91" i="1"/>
  <c r="M91" i="1"/>
  <c r="I91" i="1"/>
  <c r="J18" i="1"/>
  <c r="C110" i="1"/>
  <c r="C105" i="1"/>
  <c r="C109" i="1"/>
  <c r="K65" i="1"/>
  <c r="L62" i="1"/>
  <c r="L57" i="1"/>
  <c r="K57" i="1"/>
  <c r="M23" i="1"/>
  <c r="K58" i="1"/>
  <c r="K59" i="1"/>
  <c r="K60" i="1"/>
  <c r="I91" i="7"/>
  <c r="C109" i="7"/>
  <c r="C108" i="7"/>
  <c r="C107" i="7"/>
  <c r="C106" i="7"/>
  <c r="C105" i="7"/>
  <c r="C104" i="7"/>
  <c r="L67" i="6"/>
  <c r="J66" i="7"/>
  <c r="E65" i="7"/>
  <c r="E64" i="7"/>
  <c r="J61" i="7"/>
  <c r="G61" i="7" s="1"/>
  <c r="I61" i="7"/>
  <c r="F61" i="7"/>
  <c r="E61" i="7"/>
  <c r="C61" i="7"/>
  <c r="L51" i="7"/>
  <c r="N50" i="7" s="1"/>
  <c r="C40" i="7"/>
  <c r="C39" i="7"/>
  <c r="C38" i="7"/>
  <c r="C49" i="7" s="1"/>
  <c r="C37" i="7"/>
  <c r="C36" i="7"/>
  <c r="C35" i="7"/>
  <c r="C34" i="7"/>
  <c r="F29" i="7"/>
  <c r="D21" i="7" s="1"/>
  <c r="N26" i="7"/>
  <c r="I26" i="7"/>
  <c r="C25" i="7"/>
  <c r="C24" i="7"/>
  <c r="E12" i="7"/>
  <c r="M67" i="5"/>
  <c r="J66" i="5"/>
  <c r="J57" i="5"/>
  <c r="J58" i="5"/>
  <c r="J59" i="5"/>
  <c r="J60" i="5"/>
  <c r="J61" i="5"/>
  <c r="G61" i="5" s="1"/>
  <c r="J62" i="5"/>
  <c r="J66" i="6"/>
  <c r="E65" i="6"/>
  <c r="E64" i="6"/>
  <c r="J61" i="6"/>
  <c r="G61" i="6" s="1"/>
  <c r="I61" i="6"/>
  <c r="F61" i="6"/>
  <c r="E61" i="6"/>
  <c r="C61" i="6"/>
  <c r="L51" i="6"/>
  <c r="N50" i="6" s="1"/>
  <c r="C49" i="6"/>
  <c r="C48" i="6"/>
  <c r="C40" i="6"/>
  <c r="C39" i="6"/>
  <c r="C38" i="6"/>
  <c r="C37" i="6"/>
  <c r="C36" i="6"/>
  <c r="C35" i="6"/>
  <c r="C34" i="6"/>
  <c r="F29" i="6"/>
  <c r="D23" i="6" s="1"/>
  <c r="C23" i="6" s="1"/>
  <c r="N26" i="6"/>
  <c r="I26" i="6"/>
  <c r="C25" i="6"/>
  <c r="C24" i="6"/>
  <c r="E12" i="6"/>
  <c r="E65" i="5"/>
  <c r="E64" i="5"/>
  <c r="I61" i="5"/>
  <c r="E61" i="5"/>
  <c r="C61" i="5"/>
  <c r="F61" i="5" s="1"/>
  <c r="G52" i="5"/>
  <c r="L51" i="5"/>
  <c r="N50" i="5"/>
  <c r="C46" i="5"/>
  <c r="C40" i="5"/>
  <c r="C39" i="5"/>
  <c r="C38" i="5"/>
  <c r="C37" i="5"/>
  <c r="C36" i="5"/>
  <c r="C35" i="5"/>
  <c r="C34" i="5"/>
  <c r="F29" i="5"/>
  <c r="N26" i="5"/>
  <c r="I26" i="5"/>
  <c r="C25" i="5"/>
  <c r="C24" i="5"/>
  <c r="D22" i="5"/>
  <c r="C22" i="5"/>
  <c r="D20" i="5"/>
  <c r="J20" i="5" s="1"/>
  <c r="I20" i="5" s="1"/>
  <c r="M19" i="5"/>
  <c r="N19" i="5" s="1"/>
  <c r="D19" i="5"/>
  <c r="C19" i="5"/>
  <c r="D18" i="5"/>
  <c r="E12" i="5"/>
  <c r="E65" i="4"/>
  <c r="E64" i="4"/>
  <c r="I61" i="4"/>
  <c r="F61" i="4"/>
  <c r="E61" i="4"/>
  <c r="C61" i="4"/>
  <c r="L51" i="4"/>
  <c r="N50" i="4"/>
  <c r="C40" i="4"/>
  <c r="C39" i="4"/>
  <c r="C38" i="4"/>
  <c r="C37" i="4"/>
  <c r="C36" i="4"/>
  <c r="C35" i="4"/>
  <c r="C34" i="4"/>
  <c r="F29" i="4"/>
  <c r="N26" i="4"/>
  <c r="I26" i="4"/>
  <c r="C25" i="4"/>
  <c r="C24" i="4"/>
  <c r="M21" i="4"/>
  <c r="O21" i="4" s="1"/>
  <c r="J21" i="4"/>
  <c r="I21" i="4" s="1"/>
  <c r="F21" i="4" s="1"/>
  <c r="D21" i="4"/>
  <c r="C21" i="4"/>
  <c r="M20" i="4"/>
  <c r="O20" i="4" s="1"/>
  <c r="G20" i="4"/>
  <c r="D20" i="4"/>
  <c r="J20" i="4" s="1"/>
  <c r="I20" i="4" s="1"/>
  <c r="C20" i="4"/>
  <c r="F20" i="4" s="1"/>
  <c r="J19" i="4"/>
  <c r="I19" i="4"/>
  <c r="D19" i="4"/>
  <c r="C19" i="4"/>
  <c r="E12" i="4"/>
  <c r="E65" i="3"/>
  <c r="E64" i="3"/>
  <c r="G61" i="3"/>
  <c r="I61" i="3"/>
  <c r="F61" i="3" s="1"/>
  <c r="E61" i="3"/>
  <c r="C61" i="3"/>
  <c r="L51" i="3"/>
  <c r="N50" i="3"/>
  <c r="C40" i="3"/>
  <c r="C39" i="3"/>
  <c r="C38" i="3"/>
  <c r="C45" i="3" s="1"/>
  <c r="C37" i="3"/>
  <c r="C36" i="3"/>
  <c r="C35" i="3"/>
  <c r="C34" i="3"/>
  <c r="F29" i="3"/>
  <c r="N26" i="3"/>
  <c r="I26" i="3"/>
  <c r="C25" i="3"/>
  <c r="C24" i="3"/>
  <c r="D18" i="3"/>
  <c r="E12" i="3"/>
  <c r="C40" i="2"/>
  <c r="C39" i="2"/>
  <c r="C47" i="2" s="1"/>
  <c r="C38" i="2"/>
  <c r="C37" i="2"/>
  <c r="C36" i="2"/>
  <c r="C35" i="2"/>
  <c r="C34" i="2"/>
  <c r="F29" i="2"/>
  <c r="D21" i="2" s="1"/>
  <c r="C21" i="2" s="1"/>
  <c r="N26" i="2"/>
  <c r="I26" i="2"/>
  <c r="C25" i="2"/>
  <c r="C24" i="2"/>
  <c r="E12" i="2"/>
  <c r="C107" i="1"/>
  <c r="C98" i="1"/>
  <c r="C97" i="1"/>
  <c r="C96" i="1"/>
  <c r="C95" i="1"/>
  <c r="C94" i="1"/>
  <c r="C93" i="1"/>
  <c r="C106" i="1" s="1"/>
  <c r="K77" i="1"/>
  <c r="N75" i="1"/>
  <c r="J66" i="1"/>
  <c r="D66" i="1"/>
  <c r="E65" i="1"/>
  <c r="E64" i="1"/>
  <c r="J61" i="1"/>
  <c r="G61" i="1" s="1"/>
  <c r="I61" i="1"/>
  <c r="E61" i="1"/>
  <c r="C61" i="1"/>
  <c r="D59" i="1"/>
  <c r="G72" i="1" s="1"/>
  <c r="G52" i="1"/>
  <c r="L51" i="1"/>
  <c r="N50" i="1"/>
  <c r="C46" i="1"/>
  <c r="C40" i="1"/>
  <c r="C39" i="1"/>
  <c r="C49" i="1" s="1"/>
  <c r="C38" i="1"/>
  <c r="C48" i="1" s="1"/>
  <c r="C37" i="1"/>
  <c r="C36" i="1"/>
  <c r="C45" i="1" s="1"/>
  <c r="C35" i="1"/>
  <c r="C34" i="1"/>
  <c r="F29" i="1"/>
  <c r="N26" i="1"/>
  <c r="I26" i="1"/>
  <c r="D26" i="1"/>
  <c r="G26" i="1" s="1"/>
  <c r="C26" i="1"/>
  <c r="F26" i="1" s="1"/>
  <c r="C25" i="1"/>
  <c r="C24" i="1"/>
  <c r="D23" i="1"/>
  <c r="C23" i="1"/>
  <c r="M22" i="1"/>
  <c r="O22" i="1" s="1"/>
  <c r="G22" i="1"/>
  <c r="D22" i="1"/>
  <c r="J22" i="1" s="1"/>
  <c r="C22" i="1"/>
  <c r="O21" i="1"/>
  <c r="M21" i="1"/>
  <c r="N21" i="1" s="1"/>
  <c r="J21" i="1"/>
  <c r="G21" i="1" s="1"/>
  <c r="I21" i="1"/>
  <c r="F21" i="1" s="1"/>
  <c r="D21" i="1"/>
  <c r="C21" i="1"/>
  <c r="M20" i="1"/>
  <c r="O20" i="1" s="1"/>
  <c r="D20" i="1"/>
  <c r="C20" i="1"/>
  <c r="D19" i="1"/>
  <c r="M18" i="1"/>
  <c r="D18" i="1"/>
  <c r="C18" i="1"/>
  <c r="E12" i="1"/>
  <c r="C108" i="8" l="1"/>
  <c r="D18" i="8"/>
  <c r="D23" i="8"/>
  <c r="D22" i="8"/>
  <c r="C22" i="8" s="1"/>
  <c r="C21" i="8"/>
  <c r="J21" i="8"/>
  <c r="I21" i="8" s="1"/>
  <c r="M21" i="8"/>
  <c r="G21" i="8"/>
  <c r="C48" i="8"/>
  <c r="D20" i="8"/>
  <c r="C46" i="8"/>
  <c r="G52" i="8"/>
  <c r="C18" i="8"/>
  <c r="M18" i="8"/>
  <c r="D19" i="8"/>
  <c r="C47" i="8"/>
  <c r="C104" i="8"/>
  <c r="C45" i="8"/>
  <c r="D18" i="7"/>
  <c r="D18" i="6"/>
  <c r="D21" i="6"/>
  <c r="C21" i="6" s="1"/>
  <c r="D20" i="6"/>
  <c r="L67" i="5"/>
  <c r="M91" i="4"/>
  <c r="M91" i="3"/>
  <c r="C104" i="4"/>
  <c r="J67" i="3"/>
  <c r="J65" i="3"/>
  <c r="M91" i="2"/>
  <c r="L65" i="2"/>
  <c r="L64" i="2"/>
  <c r="L62" i="2"/>
  <c r="J62" i="2" s="1"/>
  <c r="I62" i="2" s="1"/>
  <c r="D18" i="2"/>
  <c r="F61" i="2"/>
  <c r="C49" i="2"/>
  <c r="C58" i="2"/>
  <c r="D66" i="2"/>
  <c r="C66" i="2" s="1"/>
  <c r="F66" i="2" s="1"/>
  <c r="D60" i="2"/>
  <c r="C57" i="2"/>
  <c r="F57" i="2" s="1"/>
  <c r="C59" i="2"/>
  <c r="F59" i="2" s="1"/>
  <c r="G57" i="2"/>
  <c r="G59" i="2"/>
  <c r="J21" i="7"/>
  <c r="I21" i="7" s="1"/>
  <c r="C21" i="7"/>
  <c r="F21" i="7" s="1"/>
  <c r="G21" i="7"/>
  <c r="M21" i="7"/>
  <c r="D19" i="7"/>
  <c r="D22" i="7"/>
  <c r="G52" i="7"/>
  <c r="C48" i="7"/>
  <c r="C45" i="7"/>
  <c r="D20" i="7"/>
  <c r="C46" i="7"/>
  <c r="C18" i="7"/>
  <c r="M18" i="7"/>
  <c r="D23" i="7"/>
  <c r="C47" i="7"/>
  <c r="C18" i="6"/>
  <c r="M18" i="6"/>
  <c r="M18" i="2"/>
  <c r="M18" i="3"/>
  <c r="C18" i="3"/>
  <c r="N21" i="4"/>
  <c r="N22" i="1"/>
  <c r="M21" i="2"/>
  <c r="I22" i="1"/>
  <c r="F22" i="1" s="1"/>
  <c r="E23" i="1"/>
  <c r="O26" i="1"/>
  <c r="F61" i="1"/>
  <c r="C45" i="2"/>
  <c r="O19" i="4"/>
  <c r="G19" i="4"/>
  <c r="M18" i="5"/>
  <c r="C18" i="5"/>
  <c r="J20" i="6"/>
  <c r="I20" i="6" s="1"/>
  <c r="K74" i="1"/>
  <c r="M69" i="1"/>
  <c r="J59" i="1"/>
  <c r="I59" i="1" s="1"/>
  <c r="C59" i="1"/>
  <c r="J76" i="1"/>
  <c r="N20" i="1"/>
  <c r="M22" i="5"/>
  <c r="J22" i="5"/>
  <c r="E26" i="1"/>
  <c r="C46" i="4"/>
  <c r="C49" i="4"/>
  <c r="C48" i="4"/>
  <c r="G20" i="5"/>
  <c r="C20" i="5"/>
  <c r="F20" i="5" s="1"/>
  <c r="M20" i="5"/>
  <c r="D22" i="2"/>
  <c r="D19" i="2"/>
  <c r="D23" i="2"/>
  <c r="C66" i="5"/>
  <c r="F66" i="5" s="1"/>
  <c r="D26" i="6"/>
  <c r="E18" i="1"/>
  <c r="D58" i="1"/>
  <c r="D57" i="1"/>
  <c r="C46" i="2"/>
  <c r="D23" i="3"/>
  <c r="D21" i="3"/>
  <c r="D22" i="3"/>
  <c r="G52" i="3"/>
  <c r="D19" i="3"/>
  <c r="D20" i="3"/>
  <c r="C45" i="4"/>
  <c r="O18" i="1"/>
  <c r="N18" i="1"/>
  <c r="K75" i="1"/>
  <c r="C47" i="3"/>
  <c r="C49" i="3"/>
  <c r="C48" i="3"/>
  <c r="C46" i="3"/>
  <c r="N20" i="4"/>
  <c r="M19" i="1"/>
  <c r="N19" i="1" s="1"/>
  <c r="C19" i="1"/>
  <c r="J19" i="1"/>
  <c r="G19" i="1"/>
  <c r="J20" i="1"/>
  <c r="D27" i="1"/>
  <c r="E20" i="1" s="1"/>
  <c r="D60" i="1"/>
  <c r="C66" i="1"/>
  <c r="F66" i="1" s="1"/>
  <c r="C18" i="2"/>
  <c r="D20" i="2"/>
  <c r="J21" i="2"/>
  <c r="I21" i="2" s="1"/>
  <c r="F21" i="2" s="1"/>
  <c r="C47" i="4"/>
  <c r="C49" i="5"/>
  <c r="C48" i="5"/>
  <c r="C47" i="5"/>
  <c r="C45" i="5"/>
  <c r="C47" i="1"/>
  <c r="C48" i="2"/>
  <c r="F19" i="4"/>
  <c r="J19" i="5"/>
  <c r="G19" i="5"/>
  <c r="J21" i="6"/>
  <c r="I21" i="6" s="1"/>
  <c r="F21" i="6" s="1"/>
  <c r="D59" i="5"/>
  <c r="D58" i="5"/>
  <c r="D57" i="5"/>
  <c r="D60" i="5"/>
  <c r="C46" i="6"/>
  <c r="C45" i="6"/>
  <c r="C47" i="6"/>
  <c r="G21" i="4"/>
  <c r="G52" i="4"/>
  <c r="D22" i="4"/>
  <c r="D23" i="4"/>
  <c r="D18" i="4"/>
  <c r="D21" i="5"/>
  <c r="D23" i="5"/>
  <c r="M19" i="4"/>
  <c r="N19" i="4" s="1"/>
  <c r="G52" i="6"/>
  <c r="D22" i="6"/>
  <c r="D19" i="6"/>
  <c r="J22" i="8" l="1"/>
  <c r="M22" i="8"/>
  <c r="F21" i="8"/>
  <c r="O18" i="8"/>
  <c r="N18" i="8"/>
  <c r="M20" i="8"/>
  <c r="C20" i="8"/>
  <c r="J20" i="8"/>
  <c r="I20" i="8" s="1"/>
  <c r="D59" i="8"/>
  <c r="D57" i="8"/>
  <c r="D58" i="8"/>
  <c r="D60" i="8"/>
  <c r="O22" i="8"/>
  <c r="N22" i="8"/>
  <c r="M25" i="8"/>
  <c r="I22" i="8"/>
  <c r="F22" i="8" s="1"/>
  <c r="N21" i="8"/>
  <c r="O21" i="8"/>
  <c r="D26" i="8"/>
  <c r="C23" i="8"/>
  <c r="J19" i="8"/>
  <c r="M19" i="8"/>
  <c r="N19" i="8" s="1"/>
  <c r="C19" i="8"/>
  <c r="M21" i="6"/>
  <c r="N21" i="6" s="1"/>
  <c r="C20" i="6"/>
  <c r="F20" i="6" s="1"/>
  <c r="N20" i="6"/>
  <c r="G20" i="6"/>
  <c r="C60" i="2"/>
  <c r="K60" i="2"/>
  <c r="G60" i="2"/>
  <c r="M20" i="7"/>
  <c r="C20" i="7"/>
  <c r="J20" i="7"/>
  <c r="I20" i="7" s="1"/>
  <c r="D60" i="7"/>
  <c r="K60" i="7" s="1"/>
  <c r="D66" i="7"/>
  <c r="D59" i="7"/>
  <c r="K59" i="7" s="1"/>
  <c r="D57" i="7"/>
  <c r="K57" i="7" s="1"/>
  <c r="D58" i="7"/>
  <c r="K58" i="7" s="1"/>
  <c r="O18" i="7"/>
  <c r="N18" i="7"/>
  <c r="D26" i="7"/>
  <c r="D27" i="7" s="1"/>
  <c r="C23" i="7"/>
  <c r="J22" i="7"/>
  <c r="G22" i="7" s="1"/>
  <c r="M22" i="7"/>
  <c r="C22" i="7"/>
  <c r="M19" i="7"/>
  <c r="N19" i="7" s="1"/>
  <c r="C19" i="7"/>
  <c r="J19" i="7"/>
  <c r="G19" i="7" s="1"/>
  <c r="O21" i="7"/>
  <c r="N21" i="7"/>
  <c r="O20" i="5"/>
  <c r="N20" i="5"/>
  <c r="G59" i="1"/>
  <c r="O18" i="5"/>
  <c r="N18" i="5"/>
  <c r="D60" i="6"/>
  <c r="K60" i="6" s="1"/>
  <c r="D59" i="6"/>
  <c r="D66" i="6"/>
  <c r="D58" i="6"/>
  <c r="K58" i="6" s="1"/>
  <c r="D57" i="6"/>
  <c r="K57" i="6" s="1"/>
  <c r="J20" i="2"/>
  <c r="I20" i="2" s="1"/>
  <c r="M20" i="2"/>
  <c r="C20" i="2"/>
  <c r="G20" i="3"/>
  <c r="C20" i="3"/>
  <c r="F20" i="3" s="1"/>
  <c r="M20" i="3"/>
  <c r="J20" i="3"/>
  <c r="I20" i="3" s="1"/>
  <c r="J78" i="1"/>
  <c r="C57" i="1"/>
  <c r="C23" i="2"/>
  <c r="D26" i="2"/>
  <c r="M24" i="1"/>
  <c r="C22" i="4"/>
  <c r="M22" i="4"/>
  <c r="J22" i="4"/>
  <c r="I19" i="5"/>
  <c r="F19" i="5" s="1"/>
  <c r="O19" i="5"/>
  <c r="J19" i="3"/>
  <c r="G19" i="3" s="1"/>
  <c r="C19" i="3"/>
  <c r="M19" i="3"/>
  <c r="N19" i="3" s="1"/>
  <c r="J58" i="1"/>
  <c r="I58" i="1" s="1"/>
  <c r="C58" i="1"/>
  <c r="J77" i="1"/>
  <c r="M19" i="2"/>
  <c r="N19" i="2" s="1"/>
  <c r="C19" i="2"/>
  <c r="J19" i="2"/>
  <c r="G19" i="2"/>
  <c r="M25" i="1"/>
  <c r="E19" i="1"/>
  <c r="C60" i="5"/>
  <c r="I22" i="5"/>
  <c r="F22" i="5" s="1"/>
  <c r="N18" i="3"/>
  <c r="O18" i="3"/>
  <c r="O18" i="6"/>
  <c r="N18" i="6"/>
  <c r="M19" i="6"/>
  <c r="N19" i="6" s="1"/>
  <c r="C19" i="6"/>
  <c r="J19" i="6"/>
  <c r="G19" i="6" s="1"/>
  <c r="I20" i="1"/>
  <c r="F20" i="1" s="1"/>
  <c r="M22" i="6"/>
  <c r="C22" i="6"/>
  <c r="J22" i="6"/>
  <c r="G22" i="6" s="1"/>
  <c r="D27" i="4"/>
  <c r="E22" i="4" s="1"/>
  <c r="C18" i="4"/>
  <c r="M18" i="4"/>
  <c r="D26" i="4"/>
  <c r="C23" i="4"/>
  <c r="D60" i="4"/>
  <c r="D58" i="4"/>
  <c r="D57" i="4"/>
  <c r="D59" i="4"/>
  <c r="D66" i="4"/>
  <c r="I19" i="1"/>
  <c r="F19" i="1" s="1"/>
  <c r="O19" i="1"/>
  <c r="D57" i="3"/>
  <c r="D59" i="3"/>
  <c r="D58" i="3"/>
  <c r="D60" i="3"/>
  <c r="D66" i="3"/>
  <c r="J22" i="2"/>
  <c r="M22" i="2"/>
  <c r="C22" i="2"/>
  <c r="O20" i="6"/>
  <c r="I57" i="5"/>
  <c r="C57" i="5"/>
  <c r="C27" i="1"/>
  <c r="M22" i="3"/>
  <c r="C22" i="3"/>
  <c r="J22" i="3"/>
  <c r="G22" i="3" s="1"/>
  <c r="O26" i="6"/>
  <c r="C26" i="6"/>
  <c r="F26" i="6" s="1"/>
  <c r="G26" i="6"/>
  <c r="O22" i="5"/>
  <c r="N22" i="5"/>
  <c r="O21" i="2"/>
  <c r="N21" i="2"/>
  <c r="D27" i="6"/>
  <c r="G20" i="1"/>
  <c r="G21" i="2"/>
  <c r="D27" i="2"/>
  <c r="O23" i="1"/>
  <c r="O16" i="1" s="1"/>
  <c r="G18" i="1" s="1"/>
  <c r="N23" i="1"/>
  <c r="O21" i="6"/>
  <c r="D26" i="5"/>
  <c r="C23" i="5"/>
  <c r="I58" i="5"/>
  <c r="G60" i="1"/>
  <c r="C60" i="1"/>
  <c r="K73" i="1"/>
  <c r="J21" i="3"/>
  <c r="I21" i="3" s="1"/>
  <c r="M21" i="3"/>
  <c r="C21" i="3"/>
  <c r="J21" i="5"/>
  <c r="I21" i="5" s="1"/>
  <c r="C21" i="5"/>
  <c r="F21" i="5" s="1"/>
  <c r="M21" i="5"/>
  <c r="M23" i="5" s="1"/>
  <c r="M69" i="5"/>
  <c r="C59" i="5"/>
  <c r="G21" i="6"/>
  <c r="E24" i="1"/>
  <c r="E21" i="1"/>
  <c r="E27" i="1" s="1"/>
  <c r="E22" i="1"/>
  <c r="E25" i="1"/>
  <c r="C23" i="3"/>
  <c r="D26" i="3"/>
  <c r="D27" i="3" s="1"/>
  <c r="G22" i="5"/>
  <c r="F59" i="1"/>
  <c r="O18" i="2"/>
  <c r="N18" i="2"/>
  <c r="G22" i="8" l="1"/>
  <c r="O19" i="8"/>
  <c r="I19" i="8"/>
  <c r="F19" i="8" s="1"/>
  <c r="O20" i="8"/>
  <c r="N20" i="8"/>
  <c r="G19" i="8"/>
  <c r="K60" i="8"/>
  <c r="G60" i="8" s="1"/>
  <c r="C60" i="8"/>
  <c r="M69" i="8"/>
  <c r="K59" i="8"/>
  <c r="J59" i="8" s="1"/>
  <c r="I59" i="8" s="1"/>
  <c r="C59" i="8"/>
  <c r="F59" i="8" s="1"/>
  <c r="N25" i="8"/>
  <c r="O25" i="8"/>
  <c r="M24" i="8"/>
  <c r="K58" i="8"/>
  <c r="J58" i="8" s="1"/>
  <c r="I58" i="8" s="1"/>
  <c r="C58" i="8"/>
  <c r="F20" i="8"/>
  <c r="O26" i="8"/>
  <c r="G26" i="8"/>
  <c r="C26" i="8"/>
  <c r="F26" i="8" s="1"/>
  <c r="C66" i="8"/>
  <c r="F66" i="8" s="1"/>
  <c r="M23" i="8"/>
  <c r="K57" i="8"/>
  <c r="C57" i="8"/>
  <c r="D27" i="8"/>
  <c r="G20" i="8"/>
  <c r="K65" i="7"/>
  <c r="K64" i="7"/>
  <c r="J91" i="7"/>
  <c r="C27" i="6"/>
  <c r="E20" i="7"/>
  <c r="E19" i="7"/>
  <c r="J60" i="2"/>
  <c r="I60" i="2" s="1"/>
  <c r="K65" i="2"/>
  <c r="J65" i="2" s="1"/>
  <c r="K64" i="2"/>
  <c r="J64" i="2" s="1"/>
  <c r="F60" i="2"/>
  <c r="F58" i="1"/>
  <c r="G58" i="1"/>
  <c r="C66" i="7"/>
  <c r="F66" i="7" s="1"/>
  <c r="E22" i="7"/>
  <c r="O19" i="7"/>
  <c r="I19" i="7"/>
  <c r="F19" i="7"/>
  <c r="I22" i="7"/>
  <c r="F22" i="7" s="1"/>
  <c r="J58" i="7"/>
  <c r="I58" i="7" s="1"/>
  <c r="C58" i="7"/>
  <c r="O20" i="7"/>
  <c r="N20" i="7"/>
  <c r="M25" i="7"/>
  <c r="M24" i="7"/>
  <c r="M23" i="7"/>
  <c r="O22" i="7"/>
  <c r="N22" i="7"/>
  <c r="F20" i="7"/>
  <c r="G26" i="7"/>
  <c r="E26" i="7"/>
  <c r="O26" i="7"/>
  <c r="C26" i="7"/>
  <c r="F26" i="7" s="1"/>
  <c r="M69" i="7"/>
  <c r="J59" i="7"/>
  <c r="I59" i="7" s="1"/>
  <c r="C59" i="7"/>
  <c r="E24" i="7"/>
  <c r="E25" i="7"/>
  <c r="E18" i="7"/>
  <c r="E21" i="7"/>
  <c r="C60" i="7"/>
  <c r="G60" i="7"/>
  <c r="E23" i="7"/>
  <c r="J57" i="7"/>
  <c r="I57" i="7" s="1"/>
  <c r="C57" i="7"/>
  <c r="G20" i="7"/>
  <c r="G57" i="5"/>
  <c r="F57" i="5"/>
  <c r="F58" i="5"/>
  <c r="G58" i="5"/>
  <c r="N23" i="5"/>
  <c r="O23" i="5"/>
  <c r="O16" i="5" s="1"/>
  <c r="G18" i="5" s="1"/>
  <c r="E24" i="3"/>
  <c r="E25" i="3"/>
  <c r="E18" i="3"/>
  <c r="E19" i="3"/>
  <c r="E22" i="3"/>
  <c r="E23" i="3"/>
  <c r="E21" i="3"/>
  <c r="E20" i="3"/>
  <c r="C27" i="3"/>
  <c r="I22" i="2"/>
  <c r="F22" i="2" s="1"/>
  <c r="M77" i="1"/>
  <c r="K78" i="1"/>
  <c r="C57" i="6"/>
  <c r="I22" i="4"/>
  <c r="N21" i="5"/>
  <c r="O21" i="5"/>
  <c r="C60" i="4"/>
  <c r="N22" i="4"/>
  <c r="M25" i="4"/>
  <c r="O22" i="4"/>
  <c r="M24" i="4"/>
  <c r="M23" i="4"/>
  <c r="M25" i="2"/>
  <c r="N22" i="2"/>
  <c r="M23" i="2"/>
  <c r="M24" i="2"/>
  <c r="O22" i="2"/>
  <c r="O25" i="1"/>
  <c r="N25" i="1"/>
  <c r="E25" i="6"/>
  <c r="E24" i="6"/>
  <c r="E21" i="6"/>
  <c r="E20" i="6"/>
  <c r="E18" i="6"/>
  <c r="E23" i="6"/>
  <c r="M24" i="3"/>
  <c r="M23" i="3"/>
  <c r="O22" i="3"/>
  <c r="N22" i="3"/>
  <c r="M25" i="3"/>
  <c r="E22" i="6"/>
  <c r="G21" i="5"/>
  <c r="K76" i="1"/>
  <c r="J74" i="1"/>
  <c r="M74" i="1" s="1"/>
  <c r="C66" i="4"/>
  <c r="F66" i="4" s="1"/>
  <c r="O26" i="4"/>
  <c r="C26" i="4"/>
  <c r="F26" i="4" s="1"/>
  <c r="E26" i="4"/>
  <c r="G26" i="4"/>
  <c r="I22" i="6"/>
  <c r="F22" i="6" s="1"/>
  <c r="G20" i="2"/>
  <c r="J58" i="6"/>
  <c r="I58" i="6" s="1"/>
  <c r="C58" i="6"/>
  <c r="O21" i="3"/>
  <c r="N21" i="3"/>
  <c r="E24" i="2"/>
  <c r="E25" i="2"/>
  <c r="E21" i="2"/>
  <c r="E18" i="2"/>
  <c r="M69" i="3"/>
  <c r="C59" i="3"/>
  <c r="E25" i="4"/>
  <c r="E24" i="4"/>
  <c r="E21" i="4"/>
  <c r="E20" i="4"/>
  <c r="E19" i="4"/>
  <c r="B42" i="1"/>
  <c r="F36" i="1" s="1"/>
  <c r="C57" i="3"/>
  <c r="E18" i="4"/>
  <c r="I19" i="3"/>
  <c r="F19" i="3" s="1"/>
  <c r="O19" i="3"/>
  <c r="M24" i="5"/>
  <c r="O19" i="6"/>
  <c r="I19" i="6"/>
  <c r="F19" i="6" s="1"/>
  <c r="F22" i="4"/>
  <c r="D56" i="1"/>
  <c r="C66" i="3"/>
  <c r="F66" i="3" s="1"/>
  <c r="C59" i="4"/>
  <c r="M69" i="4"/>
  <c r="E23" i="4"/>
  <c r="I60" i="5"/>
  <c r="F60" i="5" s="1"/>
  <c r="O19" i="2"/>
  <c r="I19" i="2"/>
  <c r="O24" i="1"/>
  <c r="O27" i="1" s="1"/>
  <c r="N24" i="1"/>
  <c r="N27" i="1" s="1"/>
  <c r="E20" i="2"/>
  <c r="C66" i="6"/>
  <c r="F66" i="6" s="1"/>
  <c r="I22" i="3"/>
  <c r="G26" i="2"/>
  <c r="O26" i="2"/>
  <c r="E26" i="2"/>
  <c r="C26" i="2"/>
  <c r="F26" i="2" s="1"/>
  <c r="F20" i="2"/>
  <c r="M69" i="6"/>
  <c r="C59" i="6"/>
  <c r="J59" i="6"/>
  <c r="I59" i="6" s="1"/>
  <c r="E22" i="2"/>
  <c r="I58" i="4"/>
  <c r="C58" i="4"/>
  <c r="E23" i="2"/>
  <c r="O20" i="3"/>
  <c r="N20" i="3"/>
  <c r="E26" i="3"/>
  <c r="G26" i="3"/>
  <c r="C26" i="3"/>
  <c r="F26" i="3" s="1"/>
  <c r="O26" i="3"/>
  <c r="F22" i="3"/>
  <c r="F21" i="3"/>
  <c r="C60" i="3"/>
  <c r="G60" i="3"/>
  <c r="C57" i="4"/>
  <c r="I57" i="4"/>
  <c r="O18" i="4"/>
  <c r="N18" i="4"/>
  <c r="N22" i="6"/>
  <c r="M25" i="6"/>
  <c r="M23" i="6"/>
  <c r="O22" i="6"/>
  <c r="M24" i="6"/>
  <c r="E19" i="6"/>
  <c r="E19" i="2"/>
  <c r="G21" i="3"/>
  <c r="J60" i="1"/>
  <c r="I60" i="1" s="1"/>
  <c r="F60" i="1" s="1"/>
  <c r="G26" i="5"/>
  <c r="E26" i="5"/>
  <c r="O26" i="5"/>
  <c r="C26" i="5"/>
  <c r="F26" i="5" s="1"/>
  <c r="D27" i="5"/>
  <c r="M25" i="5"/>
  <c r="E26" i="6"/>
  <c r="G22" i="2"/>
  <c r="I58" i="3"/>
  <c r="C58" i="3"/>
  <c r="F19" i="2"/>
  <c r="G22" i="4"/>
  <c r="O20" i="2"/>
  <c r="N20" i="2"/>
  <c r="C60" i="6"/>
  <c r="G60" i="6"/>
  <c r="E24" i="8" l="1"/>
  <c r="E25" i="8"/>
  <c r="E22" i="8"/>
  <c r="E18" i="8"/>
  <c r="E21" i="8"/>
  <c r="E19" i="8"/>
  <c r="E20" i="8"/>
  <c r="E23" i="8"/>
  <c r="J57" i="8"/>
  <c r="E26" i="8"/>
  <c r="N23" i="8"/>
  <c r="O23" i="8"/>
  <c r="F58" i="8"/>
  <c r="N24" i="8"/>
  <c r="O24" i="8"/>
  <c r="G59" i="8"/>
  <c r="G58" i="8"/>
  <c r="J60" i="8"/>
  <c r="I60" i="8" s="1"/>
  <c r="F60" i="8" s="1"/>
  <c r="C27" i="8"/>
  <c r="F58" i="4"/>
  <c r="F58" i="3"/>
  <c r="G64" i="2"/>
  <c r="I64" i="2"/>
  <c r="F64" i="2" s="1"/>
  <c r="G65" i="2"/>
  <c r="I65" i="2"/>
  <c r="F65" i="2" s="1"/>
  <c r="F58" i="7"/>
  <c r="F59" i="7"/>
  <c r="G59" i="7"/>
  <c r="F57" i="7"/>
  <c r="C27" i="7"/>
  <c r="J60" i="7"/>
  <c r="I60" i="7" s="1"/>
  <c r="F60" i="7" s="1"/>
  <c r="N23" i="7"/>
  <c r="O23" i="7"/>
  <c r="G57" i="7"/>
  <c r="O24" i="7"/>
  <c r="N24" i="7"/>
  <c r="O25" i="7"/>
  <c r="N25" i="7"/>
  <c r="E27" i="7"/>
  <c r="B42" i="7"/>
  <c r="F36" i="7" s="1"/>
  <c r="G58" i="7"/>
  <c r="G59" i="6"/>
  <c r="F58" i="6"/>
  <c r="H36" i="1"/>
  <c r="H91" i="1" s="1"/>
  <c r="N24" i="4"/>
  <c r="N27" i="4" s="1"/>
  <c r="O24" i="4"/>
  <c r="C27" i="2"/>
  <c r="F59" i="6"/>
  <c r="N23" i="6"/>
  <c r="O23" i="6"/>
  <c r="N23" i="3"/>
  <c r="N27" i="3" s="1"/>
  <c r="O23" i="3"/>
  <c r="O16" i="3" s="1"/>
  <c r="G18" i="3" s="1"/>
  <c r="O23" i="2"/>
  <c r="O16" i="2" s="1"/>
  <c r="G18" i="2" s="1"/>
  <c r="D56" i="2" s="1"/>
  <c r="N23" i="2"/>
  <c r="O25" i="4"/>
  <c r="N25" i="4"/>
  <c r="B42" i="4"/>
  <c r="F36" i="4" s="1"/>
  <c r="E27" i="4"/>
  <c r="O25" i="3"/>
  <c r="N25" i="3"/>
  <c r="O23" i="4"/>
  <c r="O16" i="4" s="1"/>
  <c r="G18" i="4" s="1"/>
  <c r="N23" i="4"/>
  <c r="O24" i="6"/>
  <c r="N24" i="6"/>
  <c r="F57" i="4"/>
  <c r="O24" i="2"/>
  <c r="N24" i="2"/>
  <c r="C27" i="4"/>
  <c r="E25" i="5"/>
  <c r="E19" i="5"/>
  <c r="E24" i="5"/>
  <c r="E22" i="5"/>
  <c r="E18" i="5"/>
  <c r="E20" i="5"/>
  <c r="E23" i="5"/>
  <c r="E21" i="5"/>
  <c r="O25" i="6"/>
  <c r="N25" i="6"/>
  <c r="N24" i="5"/>
  <c r="O24" i="5"/>
  <c r="O27" i="5" s="1"/>
  <c r="O24" i="3"/>
  <c r="N24" i="3"/>
  <c r="O27" i="4"/>
  <c r="I60" i="4"/>
  <c r="F60" i="4" s="1"/>
  <c r="O25" i="5"/>
  <c r="N25" i="5"/>
  <c r="B42" i="2"/>
  <c r="F36" i="2" s="1"/>
  <c r="E27" i="2"/>
  <c r="O25" i="2"/>
  <c r="N25" i="2"/>
  <c r="J18" i="5"/>
  <c r="D56" i="5"/>
  <c r="C56" i="1"/>
  <c r="I18" i="1"/>
  <c r="J25" i="1"/>
  <c r="J23" i="1"/>
  <c r="J27" i="1" s="1"/>
  <c r="J24" i="1"/>
  <c r="G36" i="1"/>
  <c r="J60" i="6"/>
  <c r="I60" i="6" s="1"/>
  <c r="F60" i="6" s="1"/>
  <c r="G58" i="3"/>
  <c r="C27" i="5"/>
  <c r="G58" i="6"/>
  <c r="B42" i="6"/>
  <c r="F36" i="6" s="1"/>
  <c r="E27" i="6"/>
  <c r="B42" i="3"/>
  <c r="F36" i="3" s="1"/>
  <c r="E27" i="3"/>
  <c r="O16" i="8" l="1"/>
  <c r="G18" i="8" s="1"/>
  <c r="D56" i="8" s="1"/>
  <c r="O27" i="8"/>
  <c r="I57" i="8"/>
  <c r="F57" i="8" s="1"/>
  <c r="G57" i="8"/>
  <c r="N27" i="8"/>
  <c r="B42" i="8"/>
  <c r="F36" i="8" s="1"/>
  <c r="E27" i="8"/>
  <c r="I60" i="3"/>
  <c r="N27" i="2"/>
  <c r="C56" i="2"/>
  <c r="I69" i="2"/>
  <c r="N27" i="7"/>
  <c r="O16" i="7"/>
  <c r="G18" i="7" s="1"/>
  <c r="O27" i="7"/>
  <c r="I24" i="1"/>
  <c r="F24" i="1" s="1"/>
  <c r="G24" i="1"/>
  <c r="B42" i="5"/>
  <c r="F36" i="5" s="1"/>
  <c r="H36" i="5" s="1"/>
  <c r="H91" i="5" s="1"/>
  <c r="M91" i="5" s="1"/>
  <c r="E27" i="5"/>
  <c r="I18" i="5"/>
  <c r="J23" i="5"/>
  <c r="J25" i="5"/>
  <c r="J24" i="5"/>
  <c r="G36" i="5"/>
  <c r="N27" i="6"/>
  <c r="O27" i="2"/>
  <c r="O27" i="3"/>
  <c r="J18" i="3"/>
  <c r="D56" i="3"/>
  <c r="O16" i="6"/>
  <c r="O27" i="6"/>
  <c r="J18" i="2"/>
  <c r="I23" i="1"/>
  <c r="F23" i="1" s="1"/>
  <c r="G23" i="1"/>
  <c r="N27" i="5"/>
  <c r="I25" i="1"/>
  <c r="F25" i="1" s="1"/>
  <c r="G25" i="1"/>
  <c r="F18" i="1"/>
  <c r="C56" i="5"/>
  <c r="J18" i="4"/>
  <c r="D56" i="4"/>
  <c r="J18" i="8" l="1"/>
  <c r="G36" i="8" s="1"/>
  <c r="H36" i="8" s="1"/>
  <c r="F60" i="3"/>
  <c r="J18" i="7"/>
  <c r="G36" i="7" s="1"/>
  <c r="H36" i="7" s="1"/>
  <c r="D56" i="7"/>
  <c r="L56" i="7" s="1"/>
  <c r="G25" i="5"/>
  <c r="I25" i="5"/>
  <c r="F25" i="5" s="1"/>
  <c r="G27" i="1"/>
  <c r="I18" i="4"/>
  <c r="J23" i="4"/>
  <c r="G36" i="4"/>
  <c r="H36" i="4" s="1"/>
  <c r="J24" i="4"/>
  <c r="J25" i="4"/>
  <c r="I18" i="3"/>
  <c r="J25" i="3"/>
  <c r="J23" i="3"/>
  <c r="G36" i="3"/>
  <c r="H36" i="3" s="1"/>
  <c r="J24" i="3"/>
  <c r="F18" i="5"/>
  <c r="C56" i="3"/>
  <c r="I23" i="5"/>
  <c r="F23" i="5" s="1"/>
  <c r="G23" i="5"/>
  <c r="J27" i="5"/>
  <c r="I18" i="2"/>
  <c r="J25" i="2"/>
  <c r="G36" i="2"/>
  <c r="H36" i="2" s="1"/>
  <c r="J23" i="2"/>
  <c r="J24" i="2"/>
  <c r="F27" i="1"/>
  <c r="D62" i="1"/>
  <c r="C56" i="4"/>
  <c r="I27" i="1"/>
  <c r="D63" i="1"/>
  <c r="H25" i="1"/>
  <c r="G24" i="5"/>
  <c r="I24" i="5"/>
  <c r="F24" i="5" s="1"/>
  <c r="C56" i="8" l="1"/>
  <c r="I18" i="8"/>
  <c r="H91" i="8"/>
  <c r="J25" i="8"/>
  <c r="J23" i="8"/>
  <c r="J24" i="8"/>
  <c r="L64" i="7"/>
  <c r="L65" i="7"/>
  <c r="L62" i="7"/>
  <c r="J62" i="7" s="1"/>
  <c r="I62" i="7" s="1"/>
  <c r="K91" i="7"/>
  <c r="C56" i="7"/>
  <c r="I18" i="7"/>
  <c r="J24" i="7"/>
  <c r="J23" i="7"/>
  <c r="J25" i="7"/>
  <c r="H91" i="7"/>
  <c r="I24" i="3"/>
  <c r="F24" i="3" s="1"/>
  <c r="G24" i="3"/>
  <c r="I23" i="2"/>
  <c r="F23" i="2" s="1"/>
  <c r="G23" i="2"/>
  <c r="G25" i="3"/>
  <c r="I25" i="3"/>
  <c r="F25" i="3" s="1"/>
  <c r="I27" i="4"/>
  <c r="F18" i="4"/>
  <c r="F27" i="4" s="1"/>
  <c r="I23" i="3"/>
  <c r="F23" i="3" s="1"/>
  <c r="G23" i="3"/>
  <c r="I25" i="2"/>
  <c r="F25" i="2" s="1"/>
  <c r="G25" i="2"/>
  <c r="D63" i="2" s="1"/>
  <c r="J27" i="3"/>
  <c r="H21" i="1"/>
  <c r="H26" i="1"/>
  <c r="H22" i="1"/>
  <c r="H19" i="1"/>
  <c r="H20" i="1"/>
  <c r="H18" i="1"/>
  <c r="G27" i="5"/>
  <c r="I27" i="3"/>
  <c r="F18" i="3"/>
  <c r="F27" i="3" s="1"/>
  <c r="H23" i="1"/>
  <c r="I23" i="4"/>
  <c r="F23" i="4" s="1"/>
  <c r="G23" i="4"/>
  <c r="F18" i="2"/>
  <c r="F27" i="5"/>
  <c r="I25" i="4"/>
  <c r="F25" i="4" s="1"/>
  <c r="G25" i="4"/>
  <c r="D62" i="5"/>
  <c r="H24" i="5"/>
  <c r="G24" i="2"/>
  <c r="D62" i="2" s="1"/>
  <c r="I24" i="2"/>
  <c r="F24" i="2" s="1"/>
  <c r="C63" i="1"/>
  <c r="P63" i="1"/>
  <c r="P59" i="1"/>
  <c r="P60" i="1" s="1"/>
  <c r="P61" i="1" s="1"/>
  <c r="J27" i="4"/>
  <c r="J27" i="2"/>
  <c r="C62" i="1"/>
  <c r="K69" i="1"/>
  <c r="D67" i="1"/>
  <c r="E62" i="1" s="1"/>
  <c r="H24" i="1"/>
  <c r="I27" i="5"/>
  <c r="G24" i="4"/>
  <c r="I24" i="4"/>
  <c r="F24" i="4" s="1"/>
  <c r="H25" i="5"/>
  <c r="D63" i="5"/>
  <c r="G24" i="8" l="1"/>
  <c r="I24" i="8"/>
  <c r="F24" i="8" s="1"/>
  <c r="F18" i="8"/>
  <c r="I23" i="8"/>
  <c r="F23" i="8" s="1"/>
  <c r="G23" i="8"/>
  <c r="J27" i="8"/>
  <c r="I25" i="8"/>
  <c r="F25" i="8" s="1"/>
  <c r="G25" i="8"/>
  <c r="M91" i="7"/>
  <c r="C62" i="2"/>
  <c r="G62" i="2"/>
  <c r="D67" i="2"/>
  <c r="E62" i="2" s="1"/>
  <c r="C63" i="2"/>
  <c r="E63" i="2"/>
  <c r="I24" i="7"/>
  <c r="F24" i="7" s="1"/>
  <c r="G24" i="7"/>
  <c r="F18" i="7"/>
  <c r="G25" i="7"/>
  <c r="I25" i="7"/>
  <c r="F25" i="7" s="1"/>
  <c r="J27" i="7"/>
  <c r="I23" i="7"/>
  <c r="F23" i="7" s="1"/>
  <c r="G23" i="7"/>
  <c r="D63" i="3"/>
  <c r="C63" i="5"/>
  <c r="C62" i="5"/>
  <c r="K69" i="5"/>
  <c r="D67" i="5"/>
  <c r="H19" i="5"/>
  <c r="H20" i="5"/>
  <c r="H22" i="5"/>
  <c r="H18" i="5"/>
  <c r="H26" i="5"/>
  <c r="H21" i="5"/>
  <c r="H23" i="4"/>
  <c r="G27" i="4"/>
  <c r="H23" i="5"/>
  <c r="G27" i="2"/>
  <c r="H24" i="2" s="1"/>
  <c r="D63" i="4"/>
  <c r="H25" i="4"/>
  <c r="E66" i="1"/>
  <c r="E59" i="1"/>
  <c r="E57" i="1"/>
  <c r="E60" i="1"/>
  <c r="E58" i="1"/>
  <c r="E56" i="1"/>
  <c r="C67" i="1"/>
  <c r="D62" i="4"/>
  <c r="H24" i="4"/>
  <c r="B43" i="1"/>
  <c r="H27" i="1"/>
  <c r="E63" i="1"/>
  <c r="F27" i="2"/>
  <c r="H23" i="3"/>
  <c r="G27" i="3"/>
  <c r="H24" i="3" s="1"/>
  <c r="D62" i="3"/>
  <c r="I27" i="2"/>
  <c r="D63" i="8" l="1"/>
  <c r="J72" i="8" s="1"/>
  <c r="K56" i="8" s="1"/>
  <c r="D62" i="8"/>
  <c r="F27" i="8"/>
  <c r="G27" i="8"/>
  <c r="I27" i="8"/>
  <c r="H25" i="2"/>
  <c r="H23" i="2"/>
  <c r="E60" i="2"/>
  <c r="E57" i="2"/>
  <c r="E66" i="2"/>
  <c r="E59" i="2"/>
  <c r="E58" i="2"/>
  <c r="E56" i="2"/>
  <c r="E67" i="2" s="1"/>
  <c r="F62" i="2"/>
  <c r="C67" i="2"/>
  <c r="G27" i="7"/>
  <c r="H24" i="7" s="1"/>
  <c r="D63" i="7"/>
  <c r="F27" i="7"/>
  <c r="I27" i="7"/>
  <c r="D62" i="7"/>
  <c r="E66" i="5"/>
  <c r="E58" i="5"/>
  <c r="E57" i="5"/>
  <c r="E59" i="5"/>
  <c r="E60" i="5"/>
  <c r="E56" i="5"/>
  <c r="I62" i="5"/>
  <c r="F62" i="5" s="1"/>
  <c r="G62" i="5"/>
  <c r="C62" i="3"/>
  <c r="E62" i="3"/>
  <c r="K69" i="3"/>
  <c r="D67" i="3"/>
  <c r="H20" i="4"/>
  <c r="H19" i="4"/>
  <c r="H21" i="4"/>
  <c r="H22" i="4"/>
  <c r="H26" i="4"/>
  <c r="H18" i="4"/>
  <c r="E63" i="5"/>
  <c r="H19" i="3"/>
  <c r="H20" i="3"/>
  <c r="H22" i="3"/>
  <c r="H21" i="3"/>
  <c r="H26" i="3"/>
  <c r="H18" i="3"/>
  <c r="E62" i="4"/>
  <c r="C62" i="4"/>
  <c r="K69" i="4"/>
  <c r="D67" i="4"/>
  <c r="B43" i="5"/>
  <c r="H27" i="5"/>
  <c r="J64" i="1"/>
  <c r="E62" i="5"/>
  <c r="E63" i="3"/>
  <c r="C63" i="3"/>
  <c r="E63" i="4"/>
  <c r="C63" i="4"/>
  <c r="E67" i="1"/>
  <c r="H21" i="2"/>
  <c r="H19" i="2"/>
  <c r="H22" i="2"/>
  <c r="H20" i="2"/>
  <c r="H26" i="2"/>
  <c r="H18" i="2"/>
  <c r="J65" i="1"/>
  <c r="C67" i="5"/>
  <c r="H25" i="3"/>
  <c r="B102" i="5" l="1"/>
  <c r="K64" i="8"/>
  <c r="H22" i="8"/>
  <c r="H21" i="8"/>
  <c r="H20" i="8"/>
  <c r="H19" i="8"/>
  <c r="H26" i="8"/>
  <c r="H18" i="8"/>
  <c r="H23" i="8"/>
  <c r="C62" i="8"/>
  <c r="K69" i="8"/>
  <c r="D67" i="8"/>
  <c r="E63" i="8" s="1"/>
  <c r="H24" i="8"/>
  <c r="H25" i="8"/>
  <c r="H25" i="7"/>
  <c r="C63" i="7"/>
  <c r="H21" i="7"/>
  <c r="H19" i="7"/>
  <c r="H22" i="7"/>
  <c r="H26" i="7"/>
  <c r="H20" i="7"/>
  <c r="H18" i="7"/>
  <c r="O69" i="7"/>
  <c r="C62" i="7"/>
  <c r="O66" i="7"/>
  <c r="G62" i="7"/>
  <c r="K69" i="7"/>
  <c r="D67" i="7"/>
  <c r="H23" i="7"/>
  <c r="G64" i="1"/>
  <c r="I64" i="1"/>
  <c r="C67" i="3"/>
  <c r="I62" i="3"/>
  <c r="F62" i="3" s="1"/>
  <c r="G62" i="3"/>
  <c r="J62" i="1"/>
  <c r="O66" i="1"/>
  <c r="I62" i="4"/>
  <c r="F62" i="4" s="1"/>
  <c r="B43" i="3"/>
  <c r="H27" i="3"/>
  <c r="B43" i="4"/>
  <c r="H27" i="4"/>
  <c r="G65" i="1"/>
  <c r="I65" i="1"/>
  <c r="F65" i="1" s="1"/>
  <c r="B43" i="2"/>
  <c r="H27" i="2"/>
  <c r="C67" i="4"/>
  <c r="E58" i="4"/>
  <c r="E66" i="4"/>
  <c r="E57" i="4"/>
  <c r="E60" i="4"/>
  <c r="E59" i="4"/>
  <c r="E56" i="4"/>
  <c r="E60" i="3"/>
  <c r="E58" i="3"/>
  <c r="E66" i="3"/>
  <c r="E57" i="3"/>
  <c r="E59" i="3"/>
  <c r="E56" i="3"/>
  <c r="E67" i="5"/>
  <c r="I59" i="5"/>
  <c r="G59" i="5"/>
  <c r="K65" i="8" l="1"/>
  <c r="L56" i="8"/>
  <c r="J56" i="8" s="1"/>
  <c r="I56" i="8" s="1"/>
  <c r="J91" i="8"/>
  <c r="K63" i="8"/>
  <c r="J63" i="8" s="1"/>
  <c r="I63" i="8" s="1"/>
  <c r="F63" i="8" s="1"/>
  <c r="E59" i="8"/>
  <c r="E66" i="8"/>
  <c r="E58" i="8"/>
  <c r="E57" i="8"/>
  <c r="E60" i="8"/>
  <c r="E56" i="8"/>
  <c r="E62" i="8"/>
  <c r="H27" i="8"/>
  <c r="B43" i="8"/>
  <c r="C67" i="8"/>
  <c r="F64" i="1"/>
  <c r="B43" i="7"/>
  <c r="H27" i="7"/>
  <c r="E59" i="7"/>
  <c r="E60" i="7"/>
  <c r="E66" i="7"/>
  <c r="E57" i="7"/>
  <c r="E58" i="7"/>
  <c r="E56" i="7"/>
  <c r="E62" i="7"/>
  <c r="F62" i="7"/>
  <c r="C67" i="7"/>
  <c r="E63" i="7"/>
  <c r="F59" i="5"/>
  <c r="I65" i="3"/>
  <c r="F65" i="3" s="1"/>
  <c r="G65" i="3"/>
  <c r="I63" i="4"/>
  <c r="F63" i="4" s="1"/>
  <c r="I59" i="4"/>
  <c r="F59" i="4" s="1"/>
  <c r="G62" i="1"/>
  <c r="I62" i="1"/>
  <c r="F62" i="1" s="1"/>
  <c r="I59" i="3"/>
  <c r="G59" i="3"/>
  <c r="E67" i="4"/>
  <c r="I64" i="4"/>
  <c r="F64" i="4" s="1"/>
  <c r="I65" i="4"/>
  <c r="F65" i="4" s="1"/>
  <c r="E67" i="3"/>
  <c r="I69" i="1"/>
  <c r="K91" i="8" l="1"/>
  <c r="M91" i="8" s="1"/>
  <c r="G56" i="8"/>
  <c r="L64" i="8"/>
  <c r="J64" i="8" s="1"/>
  <c r="I64" i="8" s="1"/>
  <c r="F64" i="8" s="1"/>
  <c r="L65" i="8"/>
  <c r="J65" i="8" s="1"/>
  <c r="G65" i="8" s="1"/>
  <c r="G63" i="8"/>
  <c r="K67" i="8"/>
  <c r="L62" i="8"/>
  <c r="J62" i="8" s="1"/>
  <c r="G62" i="8" s="1"/>
  <c r="F56" i="8"/>
  <c r="B102" i="8"/>
  <c r="E67" i="8"/>
  <c r="F59" i="3"/>
  <c r="E67" i="7"/>
  <c r="I69" i="4"/>
  <c r="G64" i="3"/>
  <c r="I69" i="3" s="1"/>
  <c r="I64" i="3"/>
  <c r="F64" i="3" s="1"/>
  <c r="I63" i="3"/>
  <c r="F63" i="3" s="1"/>
  <c r="G63" i="3"/>
  <c r="I62" i="8" l="1"/>
  <c r="F62" i="8" s="1"/>
  <c r="G64" i="8"/>
  <c r="J67" i="8"/>
  <c r="I65" i="8"/>
  <c r="F65" i="8" s="1"/>
  <c r="L67" i="8"/>
  <c r="G67" i="8"/>
  <c r="H64" i="8" s="1"/>
  <c r="J62" i="6"/>
  <c r="F67" i="8" l="1"/>
  <c r="I69" i="8"/>
  <c r="I67" i="8"/>
  <c r="H65" i="8"/>
  <c r="H63" i="8"/>
  <c r="H60" i="8"/>
  <c r="H56" i="8"/>
  <c r="H59" i="8"/>
  <c r="H61" i="8"/>
  <c r="H57" i="8"/>
  <c r="H62" i="8"/>
  <c r="H58" i="8"/>
  <c r="I62" i="6"/>
  <c r="J57" i="6"/>
  <c r="I57" i="6" s="1"/>
  <c r="F57" i="6" s="1"/>
  <c r="H67" i="8" l="1"/>
  <c r="B103" i="8"/>
  <c r="I94" i="8" s="1"/>
  <c r="G57" i="6"/>
  <c r="D56" i="6" l="1"/>
  <c r="K56" i="6" s="1"/>
  <c r="J18" i="6"/>
  <c r="J24" i="6" s="1"/>
  <c r="I24" i="6" s="1"/>
  <c r="F24" i="6" s="1"/>
  <c r="K65" i="6" l="1"/>
  <c r="J65" i="6" s="1"/>
  <c r="K64" i="6"/>
  <c r="J64" i="6" s="1"/>
  <c r="J91" i="6"/>
  <c r="K63" i="6"/>
  <c r="J63" i="6" s="1"/>
  <c r="I63" i="6" s="1"/>
  <c r="J23" i="6"/>
  <c r="I18" i="6"/>
  <c r="F18" i="6" s="1"/>
  <c r="J56" i="6"/>
  <c r="I56" i="6" s="1"/>
  <c r="G36" i="6"/>
  <c r="H36" i="6" s="1"/>
  <c r="H91" i="6" s="1"/>
  <c r="J25" i="6"/>
  <c r="G25" i="6" s="1"/>
  <c r="D63" i="6" s="1"/>
  <c r="C56" i="6"/>
  <c r="G24" i="6"/>
  <c r="J27" i="6" l="1"/>
  <c r="G56" i="6"/>
  <c r="M91" i="6"/>
  <c r="G65" i="6"/>
  <c r="I65" i="6"/>
  <c r="F65" i="6" s="1"/>
  <c r="G64" i="6"/>
  <c r="I64" i="6"/>
  <c r="F64" i="6" s="1"/>
  <c r="G23" i="6"/>
  <c r="G27" i="6" s="1"/>
  <c r="H24" i="6" s="1"/>
  <c r="I23" i="6"/>
  <c r="F23" i="6" s="1"/>
  <c r="I25" i="6"/>
  <c r="F25" i="6" s="1"/>
  <c r="J67" i="6"/>
  <c r="K67" i="6"/>
  <c r="F56" i="6"/>
  <c r="C63" i="6"/>
  <c r="F63" i="6" s="1"/>
  <c r="D62" i="6"/>
  <c r="G63" i="6"/>
  <c r="F27" i="6" l="1"/>
  <c r="I27" i="6"/>
  <c r="I69" i="6"/>
  <c r="I67" i="6"/>
  <c r="C62" i="6"/>
  <c r="K69" i="6"/>
  <c r="G62" i="6"/>
  <c r="D67" i="6"/>
  <c r="E62" i="6" s="1"/>
  <c r="O66" i="6"/>
  <c r="O69" i="6"/>
  <c r="H18" i="6"/>
  <c r="H26" i="6"/>
  <c r="H20" i="6"/>
  <c r="H21" i="6"/>
  <c r="H19" i="6"/>
  <c r="H22" i="6"/>
  <c r="H23" i="6"/>
  <c r="H25" i="6"/>
  <c r="E58" i="6" l="1"/>
  <c r="E60" i="6"/>
  <c r="E57" i="6"/>
  <c r="E66" i="6"/>
  <c r="E59" i="6"/>
  <c r="E56" i="6"/>
  <c r="E63" i="6"/>
  <c r="G67" i="6"/>
  <c r="B43" i="6"/>
  <c r="H27" i="6"/>
  <c r="F62" i="6"/>
  <c r="F67" i="6" s="1"/>
  <c r="C67" i="6"/>
  <c r="B102" i="6" l="1"/>
  <c r="H62" i="6"/>
  <c r="E67" i="6"/>
  <c r="H59" i="6"/>
  <c r="H60" i="6"/>
  <c r="H58" i="6"/>
  <c r="H61" i="6"/>
  <c r="H57" i="6"/>
  <c r="H65" i="6"/>
  <c r="H64" i="6"/>
  <c r="H56" i="6"/>
  <c r="H63" i="6"/>
  <c r="B103" i="6" l="1"/>
  <c r="I94" i="6" s="1"/>
  <c r="H67" i="6"/>
  <c r="J65" i="5"/>
  <c r="J64" i="5"/>
  <c r="G64" i="5" s="1"/>
  <c r="I64" i="5" l="1"/>
  <c r="F64" i="5" s="1"/>
  <c r="G65" i="5"/>
  <c r="I65" i="5"/>
  <c r="F65" i="5" s="1"/>
  <c r="I69" i="5" l="1"/>
  <c r="J63" i="5"/>
  <c r="I63" i="5" l="1"/>
  <c r="F63" i="5" s="1"/>
  <c r="G63" i="5"/>
  <c r="J65" i="7" l="1"/>
  <c r="I65" i="7" s="1"/>
  <c r="F65" i="7" s="1"/>
  <c r="J64" i="7"/>
  <c r="G64" i="7" l="1"/>
  <c r="I64" i="7"/>
  <c r="F64" i="7" s="1"/>
  <c r="G65" i="7"/>
  <c r="I69" i="7" l="1"/>
  <c r="K63" i="7"/>
  <c r="K67" i="7" s="1"/>
  <c r="J56" i="7"/>
  <c r="J63" i="7" l="1"/>
  <c r="G63" i="7" s="1"/>
  <c r="J67" i="7"/>
  <c r="G56" i="7"/>
  <c r="G67" i="7" s="1"/>
  <c r="I56" i="7"/>
  <c r="I63" i="7"/>
  <c r="F63" i="7" s="1"/>
  <c r="H64" i="7" l="1"/>
  <c r="H62" i="7"/>
  <c r="H57" i="7"/>
  <c r="H61" i="7"/>
  <c r="H58" i="7"/>
  <c r="H60" i="7"/>
  <c r="H59" i="7"/>
  <c r="H56" i="7"/>
  <c r="H63" i="7"/>
  <c r="H65" i="7"/>
  <c r="I67" i="7"/>
  <c r="F56" i="7"/>
  <c r="F67" i="7" s="1"/>
  <c r="B103" i="7" l="1"/>
  <c r="I94" i="7" s="1"/>
  <c r="H67" i="7"/>
  <c r="K63" i="1"/>
  <c r="A29" i="1" s="1"/>
  <c r="J63" i="1" l="1"/>
  <c r="G63" i="1" l="1"/>
  <c r="I63" i="1"/>
  <c r="F63" i="1" s="1"/>
  <c r="O69" i="1"/>
  <c r="J57" i="1"/>
  <c r="G57" i="1" s="1"/>
  <c r="I57" i="1" l="1"/>
  <c r="F57" i="1" s="1"/>
  <c r="J56" i="1"/>
  <c r="I56" i="1" s="1"/>
  <c r="F56" i="1" l="1"/>
  <c r="F67" i="1" s="1"/>
  <c r="I67" i="1"/>
  <c r="J67" i="1"/>
  <c r="G56" i="1"/>
  <c r="G67" i="1" l="1"/>
  <c r="H58" i="1" l="1"/>
  <c r="H57" i="1"/>
  <c r="H65" i="1"/>
  <c r="H63" i="1"/>
  <c r="H61" i="1"/>
  <c r="H62" i="1"/>
  <c r="H60" i="1"/>
  <c r="H64" i="1"/>
  <c r="H59" i="1"/>
  <c r="H56" i="1"/>
  <c r="H67" i="1" l="1"/>
  <c r="I94" i="1"/>
  <c r="K63" i="2"/>
  <c r="J63" i="2" s="1"/>
  <c r="I63" i="2" l="1"/>
  <c r="F63" i="2" s="1"/>
  <c r="G63" i="2"/>
  <c r="A15" i="2"/>
  <c r="J58" i="2"/>
  <c r="I58" i="2" s="1"/>
  <c r="F58" i="2" l="1"/>
  <c r="G58" i="2"/>
  <c r="J56" i="2"/>
  <c r="G56" i="2" s="1"/>
  <c r="G67" i="2" l="1"/>
  <c r="I56" i="2"/>
  <c r="J67" i="2"/>
  <c r="H56" i="2" l="1"/>
  <c r="F56" i="2"/>
  <c r="F67" i="2" s="1"/>
  <c r="I67" i="2"/>
  <c r="H57" i="2"/>
  <c r="H65" i="2"/>
  <c r="H59" i="2"/>
  <c r="H61" i="2"/>
  <c r="H60" i="2"/>
  <c r="H63" i="2"/>
  <c r="H62" i="2"/>
  <c r="H64" i="2"/>
  <c r="H58" i="2"/>
  <c r="B103" i="2" l="1"/>
  <c r="I94" i="2" s="1"/>
  <c r="H67" i="2"/>
  <c r="G57" i="3"/>
  <c r="I57" i="3" l="1"/>
  <c r="F57" i="3" l="1"/>
  <c r="J56" i="3"/>
  <c r="I56" i="3" s="1"/>
  <c r="I67" i="3" l="1"/>
  <c r="F56" i="3"/>
  <c r="F67" i="3" s="1"/>
  <c r="G56" i="3"/>
  <c r="G67" i="3" l="1"/>
  <c r="H58" i="3" l="1"/>
  <c r="H63" i="3"/>
  <c r="H57" i="3"/>
  <c r="H60" i="3"/>
  <c r="H61" i="3"/>
  <c r="H62" i="3"/>
  <c r="H65" i="3"/>
  <c r="H59" i="3"/>
  <c r="H64" i="3"/>
  <c r="H56" i="3"/>
  <c r="B103" i="3" l="1"/>
  <c r="I94" i="3" s="1"/>
  <c r="H67" i="3"/>
  <c r="I56" i="4"/>
  <c r="F56" i="4" s="1"/>
  <c r="F67" i="4" s="1"/>
  <c r="G56" i="4" l="1"/>
  <c r="G67" i="4"/>
  <c r="H63" i="4" l="1"/>
  <c r="H57" i="4"/>
  <c r="H62" i="4"/>
  <c r="H60" i="4"/>
  <c r="H58" i="4"/>
  <c r="H65" i="4"/>
  <c r="H61" i="4"/>
  <c r="H59" i="4"/>
  <c r="H64" i="4"/>
  <c r="H56" i="4"/>
  <c r="H67" i="4" l="1"/>
  <c r="K67" i="5"/>
  <c r="J56" i="5"/>
  <c r="G56" i="5" s="1"/>
  <c r="G67" i="5" l="1"/>
  <c r="H66" i="5" s="1"/>
  <c r="J67" i="5"/>
  <c r="I56" i="5"/>
  <c r="H56" i="5" l="1"/>
  <c r="F56" i="5"/>
  <c r="F67" i="5" s="1"/>
  <c r="I67" i="5"/>
  <c r="H57" i="5"/>
  <c r="H65" i="5"/>
  <c r="H60" i="5"/>
  <c r="H63" i="5"/>
  <c r="H59" i="5"/>
  <c r="H61" i="5"/>
  <c r="H64" i="5"/>
  <c r="H58" i="5"/>
  <c r="H62" i="5"/>
  <c r="B103" i="5" l="1"/>
  <c r="I94" i="5" s="1"/>
  <c r="H67" i="5"/>
</calcChain>
</file>

<file path=xl/sharedStrings.xml><?xml version="1.0" encoding="utf-8"?>
<sst xmlns="http://schemas.openxmlformats.org/spreadsheetml/2006/main" count="1829" uniqueCount="455">
  <si>
    <t xml:space="preserve">Зона горения </t>
  </si>
  <si>
    <t>Половникова К.В., Смирнова Е.Е. ВАРИАНТ 14</t>
  </si>
  <si>
    <t xml:space="preserve">При доли газа на горение равной 0,15 и коэффициенте избытка 1,4 недостаток кислорода минимальный. </t>
  </si>
  <si>
    <t>Расчет зоны горения</t>
  </si>
  <si>
    <t>Исходные данные</t>
  </si>
  <si>
    <t>Расход природного газа</t>
  </si>
  <si>
    <t>м3/ч</t>
  </si>
  <si>
    <t>Доля газа на горение</t>
  </si>
  <si>
    <t>состав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</si>
  <si>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</si>
  <si>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Коэффициент избытка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</si>
  <si>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</si>
  <si>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последовательность протекания реакций в зоне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</si>
  <si>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</si>
  <si>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СН4 + 2О2 = СО2 + 2Н2О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</si>
  <si>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</si>
  <si>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С2Н6 + 3,5О2 = 2СО2 + 3Н2О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</si>
  <si>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</si>
  <si>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С3Н8 + 5О2 = 3СО2 + 4Н2О</t>
  </si>
  <si>
    <t>азот</t>
  </si>
  <si>
    <t>С4Н10 + 6,5О2 = 4СО2 + 5Н2О</t>
  </si>
  <si>
    <t>С5Н12 + 8Н2О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</si>
  <si>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</si>
  <si>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</si>
  <si>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</si>
  <si>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</si>
  <si>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</si>
  <si>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</si>
  <si>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</si>
  <si>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</si>
  <si>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</si>
  <si>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</si>
  <si>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</si>
  <si>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</si>
  <si>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</si>
  <si>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</si>
  <si>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</si>
  <si>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Ch4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</si>
  <si>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</si>
  <si>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c2h6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</si>
  <si>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</si>
  <si>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c3h8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</si>
  <si>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</si>
  <si>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c4h10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</si>
  <si>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</si>
  <si>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c5h12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</si>
  <si>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</si>
  <si>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</si>
  <si>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</si>
  <si>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</si>
  <si>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</si>
  <si>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</si>
  <si>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</si>
  <si>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</si>
  <si>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t>Сумма</t>
  </si>
  <si>
    <t>Расход природного газа в зону горения</t>
  </si>
  <si>
    <t>Твх=</t>
  </si>
  <si>
    <t>С</t>
  </si>
  <si>
    <t>Дж/(моль/К)</t>
  </si>
  <si>
    <t>кДж/моль</t>
  </si>
  <si>
    <t>Ср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</si>
  <si>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</si>
  <si>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</si>
  <si>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</si>
  <si>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Тепловой баланс зоны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</si>
  <si>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</si>
  <si>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</si>
  <si>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Q вх</t>
  </si>
  <si>
    <t>Q хр</t>
  </si>
  <si>
    <t>Q вых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</si>
  <si>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</si>
  <si>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Дж/с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</si>
  <si>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</si>
  <si>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</si>
  <si>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</si>
  <si>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</si>
  <si>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</si>
  <si>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</si>
  <si>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</si>
  <si>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</si>
  <si>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</si>
  <si>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</si>
  <si>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</si>
  <si>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</si>
  <si>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</si>
  <si>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</si>
  <si>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</si>
  <si>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</si>
  <si>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</si>
  <si>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</si>
  <si>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</si>
  <si>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</si>
  <si>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</si>
  <si>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</si>
  <si>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</si>
  <si>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</si>
  <si>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</si>
  <si>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</si>
  <si>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</si>
  <si>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</si>
  <si>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</si>
  <si>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</si>
  <si>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</si>
  <si>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</si>
  <si>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</si>
  <si>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</si>
  <si>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</si>
  <si>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</si>
  <si>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t>CO</t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</si>
  <si>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</si>
  <si>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</si>
  <si>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t>Соотношение Н2/СО</t>
  </si>
  <si>
    <t>со2</t>
  </si>
  <si>
    <t>CH4+H2O=CO+3H2</t>
  </si>
  <si>
    <t>нет</t>
  </si>
  <si>
    <t>C2H6+2H2O=2CO+5H2</t>
  </si>
  <si>
    <t>да</t>
  </si>
  <si>
    <t>C3H8+3H2O=3CO+7H2</t>
  </si>
  <si>
    <t>вода</t>
  </si>
  <si>
    <t>ПГ</t>
  </si>
  <si>
    <t>C4H10+4H2O=4CO+9H2</t>
  </si>
  <si>
    <t>ХВАТАЕТ</t>
  </si>
  <si>
    <t>C5H12+5H2O=5CO+11H2</t>
  </si>
  <si>
    <t>ост после пк с пент</t>
  </si>
  <si>
    <t>не хватает</t>
  </si>
  <si>
    <t>CH4+CO2=2CO+2H2</t>
  </si>
  <si>
    <t>пк бутана</t>
  </si>
  <si>
    <t>хватает</t>
  </si>
  <si>
    <t>C2H6+2CO2=4CO+3H2</t>
  </si>
  <si>
    <t>пк пропана</t>
  </si>
  <si>
    <t>C3H8+3CO2=6CO+4H2</t>
  </si>
  <si>
    <t>пк этана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</si>
  <si>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</si>
  <si>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</si>
  <si>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</si>
  <si>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</si>
  <si>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</si>
  <si>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</si>
  <si>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</si>
  <si>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</si>
  <si>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</si>
  <si>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</si>
  <si>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Q вых гор</t>
  </si>
  <si>
    <t>Q вх пг</t>
  </si>
  <si>
    <t>Q пк</t>
  </si>
  <si>
    <t>Q ук</t>
  </si>
  <si>
    <t>Q по</t>
  </si>
  <si>
    <t>Q вых кон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</si>
  <si>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</si>
  <si>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</si>
  <si>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</si>
  <si>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</si>
  <si>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Т вых</t>
  </si>
  <si>
    <t>°С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</si>
  <si>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</si>
  <si>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</si>
  <si>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</si>
  <si>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</si>
  <si>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</si>
  <si>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</si>
  <si>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</si>
  <si>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</si>
  <si>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</si>
  <si>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</si>
  <si>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</si>
  <si>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</si>
  <si>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</si>
  <si>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</si>
  <si>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</si>
  <si>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</si>
  <si>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</si>
  <si>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</si>
  <si>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</si>
  <si>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</si>
  <si>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</si>
  <si>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</si>
  <si>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</si>
  <si>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</si>
  <si>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</si>
  <si>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</si>
  <si>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</si>
  <si>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</si>
  <si>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</si>
  <si>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</si>
  <si>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</si>
  <si>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</si>
  <si>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</si>
  <si>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</si>
  <si>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</si>
  <si>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</si>
  <si>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</si>
  <si>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</si>
  <si>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</si>
  <si>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</si>
  <si>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</si>
  <si>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</si>
  <si>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большой недостаток кислорода, поэтому рассмотрим другие условия.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</si>
  <si>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</si>
  <si>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</si>
  <si>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</si>
  <si>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</si>
  <si>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</si>
  <si>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</si>
  <si>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</si>
  <si>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</si>
  <si>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</si>
  <si>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</si>
  <si>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</si>
  <si>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</si>
  <si>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</si>
  <si>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</si>
  <si>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</si>
  <si>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</si>
  <si>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</si>
  <si>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</si>
  <si>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</si>
  <si>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</si>
  <si>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</si>
  <si>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</si>
  <si>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</si>
  <si>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</si>
  <si>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</si>
  <si>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</si>
  <si>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</si>
  <si>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</si>
  <si>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</si>
  <si>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</si>
  <si>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</si>
  <si>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</si>
  <si>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</si>
  <si>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</si>
  <si>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</si>
  <si>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</si>
  <si>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</si>
  <si>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</si>
  <si>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</si>
  <si>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</si>
  <si>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</si>
  <si>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</si>
  <si>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</si>
  <si>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</si>
  <si>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</si>
  <si>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</si>
  <si>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</si>
  <si>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</si>
  <si>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</si>
  <si>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</si>
  <si>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</si>
  <si>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</si>
  <si>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</si>
  <si>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недостаток кислорода. С увеличением коэффициента избытка, недостаток кислорода уменьшается.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</si>
  <si>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</si>
  <si>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</si>
  <si>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</si>
  <si>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</si>
  <si>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</si>
  <si>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</si>
  <si>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</si>
  <si>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</si>
  <si>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</si>
  <si>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</si>
  <si>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</si>
  <si>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</si>
  <si>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</si>
  <si>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</si>
  <si>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</si>
  <si>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</si>
  <si>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</si>
  <si>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</si>
  <si>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</si>
  <si>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</si>
  <si>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</si>
  <si>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</si>
  <si>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</si>
  <si>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</si>
  <si>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</si>
  <si>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</si>
  <si>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</si>
  <si>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</si>
  <si>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</si>
  <si>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</si>
  <si>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</si>
  <si>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</si>
  <si>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</si>
  <si>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</si>
  <si>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</si>
  <si>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</si>
  <si>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</si>
  <si>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</si>
  <si>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</si>
  <si>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</si>
  <si>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</si>
  <si>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</si>
  <si>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</si>
  <si>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</si>
  <si>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</si>
  <si>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</si>
  <si>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</si>
  <si>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</si>
  <si>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</si>
  <si>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</si>
  <si>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</si>
  <si>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</si>
  <si>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</si>
  <si>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недостаток кислорода, поэтому рассмотрим другие условия.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</si>
  <si>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</si>
  <si>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</si>
  <si>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</si>
  <si>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</si>
  <si>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</si>
  <si>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</si>
  <si>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</si>
  <si>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</si>
  <si>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</si>
  <si>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</si>
  <si>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</si>
  <si>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</si>
  <si>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</si>
  <si>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</si>
  <si>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</si>
  <si>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</si>
  <si>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</si>
  <si>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</si>
  <si>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</si>
  <si>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</si>
  <si>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</si>
  <si>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</si>
  <si>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</si>
  <si>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</si>
  <si>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</si>
  <si>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</si>
  <si>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</si>
  <si>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</si>
  <si>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</si>
  <si>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</si>
  <si>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</si>
  <si>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</si>
  <si>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</si>
  <si>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</si>
  <si>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</si>
  <si>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</si>
  <si>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</si>
  <si>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</si>
  <si>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</si>
  <si>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</si>
  <si>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</si>
  <si>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</si>
  <si>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</si>
  <si>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</si>
  <si>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</si>
  <si>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</si>
  <si>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</si>
  <si>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</si>
  <si>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</si>
  <si>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</si>
  <si>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</si>
  <si>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</si>
  <si>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</si>
  <si>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</si>
  <si>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</si>
  <si>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</si>
  <si>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</si>
  <si>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</si>
  <si>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</si>
  <si>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</si>
  <si>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</si>
  <si>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</si>
  <si>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</si>
  <si>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</si>
  <si>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</si>
  <si>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</si>
  <si>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</si>
  <si>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</si>
  <si>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</si>
  <si>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</si>
  <si>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</si>
  <si>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</si>
  <si>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</si>
  <si>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</si>
  <si>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</si>
  <si>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</si>
  <si>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</si>
  <si>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</si>
  <si>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</si>
  <si>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</si>
  <si>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</si>
  <si>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</si>
  <si>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</si>
  <si>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</si>
  <si>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</si>
  <si>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</si>
  <si>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</si>
  <si>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1.1-1.4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</si>
  <si>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</si>
  <si>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0.15-0.4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</si>
  <si>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</si>
  <si>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</si>
  <si>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</si>
  <si>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</si>
  <si>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</si>
  <si>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</si>
  <si>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</si>
  <si>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</si>
  <si>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</si>
  <si>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</si>
  <si>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</si>
  <si>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</si>
  <si>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</si>
  <si>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</si>
  <si>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</si>
  <si>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</si>
  <si>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</si>
  <si>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</si>
  <si>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</si>
  <si>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</si>
  <si>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</si>
  <si>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</si>
  <si>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</si>
  <si>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</si>
  <si>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</si>
  <si>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</si>
  <si>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</si>
  <si>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</si>
  <si>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</si>
  <si>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</si>
  <si>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</si>
  <si>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</si>
  <si>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</si>
  <si>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</si>
  <si>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</si>
  <si>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</si>
  <si>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</si>
  <si>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</si>
  <si>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</si>
  <si>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</si>
  <si>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</si>
  <si>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</si>
  <si>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</si>
  <si>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</si>
  <si>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</si>
  <si>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</si>
  <si>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</si>
  <si>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</si>
  <si>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</si>
  <si>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</si>
  <si>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</si>
  <si>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</si>
  <si>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 xml:space="preserve"> </t>
  </si>
  <si>
    <t>С5Н12 + 8О2 = 5СО2 + 6Н2О</t>
  </si>
  <si>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Arial"/>
        <family val="2"/>
        <charset val="204"/>
      </rPr>
      <t>Т=</t>
    </r>
  </si>
  <si>
    <t>Q вод. пар</t>
  </si>
  <si>
    <t>ост воды:</t>
  </si>
  <si>
    <t>Твод пара=</t>
  </si>
  <si>
    <t>Возможно ли, добавив водяной пар с температурой 110С, уменьшить температуру на выходе (войти в диапазон 550-800С), при этом оставив соотношение водорода к углекислому газу не более, чем 2,5?</t>
  </si>
  <si>
    <t>Ответ: нет, при добавлении 1000м3 вод пара, соотношение водорода к угл газу становится 2,5. Твых=1520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</si>
</sst>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"/>
    <numFmt numFmtId="166" formatCode="0.000"/>
    <numFmt numFmtId="167" formatCode="#,##0.0"/>
  </numFmts>
  <fonts count="37">
    <font>
      <sz val="10"/>
      <color rgb="FF000000"/>
      <name val="Arial"/>
      <scheme val="minor"/>
    </font>
    <font>
      <sz val="10"/>
      <color theme="1"/>
      <name val="Arial"/>
    </font>
    <font>
      <sz val="14"/>
      <color rgb="FF333333"/>
      <name val="Arial"/>
    </font>
    <font>
      <b/>
      <sz val="12"/>
      <color rgb="FF800000"/>
      <name val="Arial"/>
    </font>
    <font>
      <sz val="12"/>
      <color theme="1"/>
      <name val="Arial"/>
    </font>
    <font>
      <sz val="10"/>
      <color rgb="FF333333"/>
      <name val="Arial"/>
    </font>
    <font>
      <sz val="10"/>
      <color rgb="FF000000"/>
      <name val="Arial"/>
    </font>
    <font>
      <sz val="12"/>
      <color rgb="FF800000"/>
      <name val="Arial"/>
    </font>
    <font>
      <sz val="10"/>
      <name val="Arial"/>
    </font>
    <font>
      <b/>
      <sz val="10"/>
      <color rgb="FF333333"/>
      <name val="Arial"/>
    </font>
    <font>
      <sz val="9"/>
      <color rgb="FF000000"/>
      <name val="&quot;Google Sans Mono&quot;"/>
    </font>
    <font>
      <sz val="10"/>
      <color rgb="FF800000"/>
      <name val="Arial"/>
    </font>
    <font>
      <b/>
      <sz val="12"/>
      <color theme="1"/>
      <name val="Arial"/>
    </font>
    <font>
      <b/>
      <sz val="12"/>
      <color rgb="FF333333"/>
      <name val="Arial"/>
    </font>
    <font>
      <sz val="12"/>
      <color rgb="FF333333"/>
      <name val="Arial"/>
    </font>
    <font>
      <b/>
      <sz val="10"/>
      <color theme="1"/>
      <name val="Arial"/>
    </font>
    <font>
      <b/>
      <sz val="14"/>
      <color rgb="FF800000"/>
      <name val="Arial"/>
    </font>
    <font>
      <sz val="10"/>
      <color rgb="FF980000"/>
      <name val="Arial"/>
    </font>
    <font>
      <sz val="9"/>
      <color rgb="FF1155CC"/>
      <name val="&quot;Google Sans Mono&quot;"/>
    </font>
    <font>
      <sz val="9"/>
      <color rgb="FF7E3794"/>
      <name val="&quot;Google Sans Mono&quot;"/>
    </font>
    <font>
      <b/>
      <sz val="14"/>
      <color theme="1"/>
      <name val="Arial"/>
    </font>
    <font>
      <vertAlign val="subscript"/>
      <sz val="10"/>
      <color rgb="FF333333"/>
      <name val="Arial"/>
    </font>
    <font>
      <vertAlign val="subscript"/>
      <sz val="10"/>
      <color theme="1"/>
      <name val="Arial"/>
    </font>
    <font>
      <b/>
      <vertAlign val="subscript"/>
      <sz val="12"/>
      <color theme="1"/>
      <name val="Arial"/>
    </font>
    <font>
      <vertAlign val="subscript"/>
      <sz val="12"/>
      <color rgb="FF333333"/>
      <name val="Arial"/>
    </font>
    <font>
      <b/>
      <vertAlign val="subscript"/>
      <sz val="12"/>
      <color rgb="FF333333"/>
      <name val="Arial"/>
    </font>
    <font>
      <sz val="10"/>
      <color theme="1"/>
      <name val="Arial"/>
      <family val="2"/>
      <charset val="204"/>
    </font>
    <font>
      <sz val="12"/>
      <name val="Arial"/>
      <family val="2"/>
    </font>
    <font>
      <b/>
      <sz val="14"/>
      <color indexed="16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  <scheme val="minor"/>
    </font>
    <font>
      <sz val="10"/>
      <name val="Arial"/>
      <family val="2"/>
      <charset val="204"/>
    </font>
    <font>
      <sz val="11"/>
      <color rgb="FF006100"/>
      <name val="Arial"/>
      <family val="2"/>
      <charset val="204"/>
      <scheme val="minor"/>
    </font>
    <font>
      <sz val="10"/>
      <color theme="1"/>
      <name val="Symbol"/>
      <family val="1"/>
      <charset val="2"/>
    </font>
    <font>
      <sz val="10"/>
      <color theme="1"/>
      <name val="Arial"/>
      <family val="1"/>
      <charset val="2"/>
    </font>
    <font>
      <b/>
      <sz val="12"/>
      <color rgb="FF333333"/>
      <name val="Arial"/>
      <family val="2"/>
      <charset val="204"/>
    </font>
    <font>
      <sz val="10"/>
      <color theme="4" tint="-0.24997711111789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8080"/>
      </right>
      <top/>
      <bottom/>
      <diagonal/>
    </border>
    <border>
      <left/>
      <right style="thick">
        <color rgb="FF800000"/>
      </right>
      <top/>
      <bottom style="thick">
        <color rgb="FF80808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/>
      <right/>
      <top/>
      <bottom/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000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hair">
        <color rgb="FF000000"/>
      </left>
      <right/>
      <top/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 style="thick">
        <color rgb="FF808080"/>
      </left>
      <right style="thick">
        <color rgb="FF800000"/>
      </right>
      <top/>
      <bottom style="thick">
        <color rgb="FF80808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/>
      <right style="hair">
        <color rgb="FF000000"/>
      </right>
      <top/>
      <bottom style="thick">
        <color rgb="FF800000"/>
      </bottom>
      <diagonal/>
    </border>
    <border>
      <left style="thin">
        <color theme="0" tint="-0.14999847407452621"/>
      </left>
      <right/>
      <top/>
      <bottom/>
      <diagonal/>
    </border>
    <border>
      <left style="thick">
        <color rgb="FF808080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ck">
        <color rgb="FF80808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/>
      <diagonal/>
    </border>
    <border>
      <left style="thick">
        <color rgb="FF808080"/>
      </left>
      <right style="thick">
        <color theme="0" tint="-0.499984740745262"/>
      </right>
      <top style="thick">
        <color rgb="FF808080"/>
      </top>
      <bottom style="thick">
        <color theme="0" tint="-0.499984740745262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16"/>
      </bottom>
      <diagonal/>
    </border>
    <border>
      <left style="thick">
        <color indexed="16"/>
      </left>
      <right style="thick">
        <color rgb="FF800000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23"/>
      </bottom>
      <diagonal/>
    </border>
    <border>
      <left style="thick">
        <color indexed="16"/>
      </left>
      <right style="thick">
        <color indexed="16"/>
      </right>
      <top style="thick">
        <color indexed="23"/>
      </top>
      <bottom style="thick">
        <color indexed="16"/>
      </bottom>
      <diagonal/>
    </border>
  </borders>
  <cellStyleXfs count="2">
    <xf numFmtId="0" fontId="0" fillId="0" borderId="0"/>
    <xf numFmtId="0" fontId="32" fillId="3" borderId="0" applyNumberFormat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7" fillId="0" borderId="1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3" fontId="1" fillId="0" borderId="6" xfId="0" applyNumberFormat="1" applyFont="1" applyBorder="1"/>
    <xf numFmtId="164" fontId="1" fillId="0" borderId="6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3" fontId="1" fillId="0" borderId="9" xfId="0" applyNumberFormat="1" applyFont="1" applyBorder="1"/>
    <xf numFmtId="0" fontId="1" fillId="0" borderId="6" xfId="0" applyFont="1" applyBorder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0" fontId="1" fillId="0" borderId="10" xfId="0" applyFont="1" applyBorder="1" applyAlignment="1">
      <alignment horizontal="center"/>
    </xf>
    <xf numFmtId="165" fontId="1" fillId="0" borderId="0" xfId="0" applyNumberFormat="1" applyFont="1"/>
    <xf numFmtId="0" fontId="1" fillId="0" borderId="8" xfId="0" applyFont="1" applyBorder="1" applyAlignment="1">
      <alignment horizontal="center"/>
    </xf>
    <xf numFmtId="164" fontId="1" fillId="0" borderId="9" xfId="0" applyNumberFormat="1" applyFont="1" applyBorder="1"/>
    <xf numFmtId="0" fontId="5" fillId="0" borderId="8" xfId="0" applyFont="1" applyBorder="1"/>
    <xf numFmtId="164" fontId="1" fillId="0" borderId="5" xfId="0" applyNumberFormat="1" applyFont="1" applyBorder="1"/>
    <xf numFmtId="164" fontId="1" fillId="0" borderId="0" xfId="0" applyNumberFormat="1" applyFont="1"/>
    <xf numFmtId="4" fontId="10" fillId="2" borderId="0" xfId="0" applyNumberFormat="1" applyFont="1" applyFill="1"/>
    <xf numFmtId="0" fontId="11" fillId="0" borderId="0" xfId="0" applyFont="1"/>
    <xf numFmtId="0" fontId="1" fillId="0" borderId="11" xfId="0" applyFont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horizontal="right"/>
    </xf>
    <xf numFmtId="0" fontId="12" fillId="0" borderId="8" xfId="0" applyFont="1" applyBorder="1"/>
    <xf numFmtId="0" fontId="12" fillId="0" borderId="6" xfId="0" applyFont="1" applyBorder="1"/>
    <xf numFmtId="4" fontId="1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2" xfId="0" applyNumberFormat="1" applyFont="1" applyBorder="1"/>
    <xf numFmtId="0" fontId="14" fillId="0" borderId="13" xfId="0" applyFont="1" applyBorder="1" applyAlignment="1">
      <alignment horizontal="center"/>
    </xf>
    <xf numFmtId="4" fontId="1" fillId="0" borderId="14" xfId="0" applyNumberFormat="1" applyFont="1" applyBorder="1"/>
    <xf numFmtId="4" fontId="1" fillId="0" borderId="15" xfId="0" applyNumberFormat="1" applyFont="1" applyBorder="1"/>
    <xf numFmtId="4" fontId="1" fillId="0" borderId="1" xfId="0" applyNumberFormat="1" applyFont="1" applyBorder="1"/>
    <xf numFmtId="0" fontId="14" fillId="0" borderId="4" xfId="0" applyFont="1" applyBorder="1" applyAlignment="1">
      <alignment horizontal="center"/>
    </xf>
    <xf numFmtId="0" fontId="13" fillId="0" borderId="1" xfId="0" applyFont="1" applyBorder="1"/>
    <xf numFmtId="0" fontId="5" fillId="0" borderId="6" xfId="0" applyFont="1" applyBorder="1" applyAlignment="1">
      <alignment horizontal="center"/>
    </xf>
    <xf numFmtId="2" fontId="1" fillId="0" borderId="6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0" fillId="2" borderId="0" xfId="0" applyFont="1" applyFill="1"/>
    <xf numFmtId="1" fontId="1" fillId="0" borderId="6" xfId="0" applyNumberFormat="1" applyFont="1" applyBorder="1"/>
    <xf numFmtId="3" fontId="15" fillId="0" borderId="6" xfId="0" applyNumberFormat="1" applyFont="1" applyBorder="1"/>
    <xf numFmtId="0" fontId="16" fillId="0" borderId="0" xfId="0" applyFont="1"/>
    <xf numFmtId="0" fontId="6" fillId="0" borderId="1" xfId="0" applyFont="1" applyBorder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17" fillId="0" borderId="1" xfId="0" applyFont="1" applyBorder="1"/>
    <xf numFmtId="4" fontId="18" fillId="2" borderId="0" xfId="0" applyNumberFormat="1" applyFont="1" applyFill="1"/>
    <xf numFmtId="1" fontId="1" fillId="0" borderId="0" xfId="0" applyNumberFormat="1" applyFont="1"/>
    <xf numFmtId="4" fontId="19" fillId="2" borderId="0" xfId="0" applyNumberFormat="1" applyFont="1" applyFill="1"/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3" fontId="1" fillId="0" borderId="17" xfId="0" applyNumberFormat="1" applyFont="1" applyBorder="1"/>
    <xf numFmtId="0" fontId="1" fillId="0" borderId="14" xfId="0" applyFont="1" applyBorder="1"/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3" fillId="0" borderId="6" xfId="0" applyFont="1" applyBorder="1"/>
    <xf numFmtId="3" fontId="1" fillId="0" borderId="14" xfId="0" applyNumberFormat="1" applyFont="1" applyBorder="1"/>
    <xf numFmtId="0" fontId="6" fillId="0" borderId="0" xfId="0" applyFont="1"/>
    <xf numFmtId="0" fontId="20" fillId="0" borderId="6" xfId="0" applyFont="1" applyBorder="1"/>
    <xf numFmtId="0" fontId="17" fillId="0" borderId="0" xfId="0" applyFont="1"/>
    <xf numFmtId="0" fontId="5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" fillId="0" borderId="20" xfId="0" applyFont="1" applyBorder="1"/>
    <xf numFmtId="3" fontId="10" fillId="2" borderId="0" xfId="0" applyNumberFormat="1" applyFont="1" applyFill="1"/>
    <xf numFmtId="4" fontId="1" fillId="0" borderId="9" xfId="0" applyNumberFormat="1" applyFont="1" applyBorder="1"/>
    <xf numFmtId="0" fontId="11" fillId="0" borderId="1" xfId="0" applyFont="1" applyBorder="1"/>
    <xf numFmtId="166" fontId="9" fillId="0" borderId="6" xfId="0" applyNumberFormat="1" applyFont="1" applyBorder="1" applyAlignment="1">
      <alignment horizontal="center"/>
    </xf>
    <xf numFmtId="166" fontId="1" fillId="0" borderId="6" xfId="0" applyNumberFormat="1" applyFont="1" applyBorder="1"/>
    <xf numFmtId="166" fontId="1" fillId="0" borderId="9" xfId="0" applyNumberFormat="1" applyFont="1" applyBorder="1"/>
    <xf numFmtId="166" fontId="1" fillId="0" borderId="5" xfId="0" applyNumberFormat="1" applyFont="1" applyBorder="1"/>
    <xf numFmtId="167" fontId="1" fillId="0" borderId="6" xfId="0" applyNumberFormat="1" applyFont="1" applyBorder="1"/>
    <xf numFmtId="0" fontId="1" fillId="0" borderId="7" xfId="0" applyFont="1" applyBorder="1"/>
    <xf numFmtId="0" fontId="1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0" fillId="2" borderId="24" xfId="0" applyFont="1" applyFill="1" applyBorder="1"/>
    <xf numFmtId="0" fontId="1" fillId="0" borderId="25" xfId="0" applyFont="1" applyBorder="1"/>
    <xf numFmtId="0" fontId="0" fillId="0" borderId="26" xfId="0" applyBorder="1"/>
    <xf numFmtId="4" fontId="0" fillId="0" borderId="27" xfId="0" applyNumberFormat="1" applyBorder="1" applyAlignment="1">
      <alignment horizontal="center"/>
    </xf>
    <xf numFmtId="4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4" fontId="27" fillId="0" borderId="31" xfId="0" applyNumberFormat="1" applyFont="1" applyBorder="1"/>
    <xf numFmtId="4" fontId="27" fillId="0" borderId="32" xfId="0" applyNumberFormat="1" applyFont="1" applyBorder="1"/>
    <xf numFmtId="4" fontId="27" fillId="0" borderId="30" xfId="0" applyNumberFormat="1" applyFont="1" applyBorder="1"/>
    <xf numFmtId="3" fontId="0" fillId="0" borderId="27" xfId="0" applyNumberFormat="1" applyBorder="1" applyAlignment="1">
      <alignment horizontal="center"/>
    </xf>
    <xf numFmtId="3" fontId="28" fillId="0" borderId="27" xfId="0" applyNumberFormat="1" applyFont="1" applyBorder="1"/>
    <xf numFmtId="4" fontId="29" fillId="0" borderId="30" xfId="0" applyNumberFormat="1" applyFont="1" applyBorder="1"/>
    <xf numFmtId="0" fontId="26" fillId="0" borderId="0" xfId="0" applyFont="1"/>
    <xf numFmtId="2" fontId="30" fillId="0" borderId="29" xfId="0" applyNumberFormat="1" applyFont="1" applyBorder="1" applyAlignment="1">
      <alignment horizontal="center"/>
    </xf>
    <xf numFmtId="0" fontId="26" fillId="0" borderId="1" xfId="0" applyFont="1" applyBorder="1"/>
    <xf numFmtId="0" fontId="31" fillId="0" borderId="1" xfId="0" applyFont="1" applyBorder="1"/>
    <xf numFmtId="0" fontId="34" fillId="0" borderId="0" xfId="0" applyFont="1"/>
    <xf numFmtId="0" fontId="35" fillId="0" borderId="6" xfId="0" applyFont="1" applyBorder="1" applyAlignment="1">
      <alignment horizontal="center"/>
    </xf>
    <xf numFmtId="2" fontId="1" fillId="0" borderId="3" xfId="0" applyNumberFormat="1" applyFont="1" applyBorder="1"/>
    <xf numFmtId="0" fontId="32" fillId="3" borderId="7" xfId="1" applyBorder="1"/>
    <xf numFmtId="3" fontId="36" fillId="0" borderId="6" xfId="0" applyNumberFormat="1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6" xfId="0" applyFont="1" applyBorder="1"/>
    <xf numFmtId="0" fontId="3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S1000"/>
  <sheetViews>
    <sheetView topLeftCell="A17" workbookViewId="0">
      <selection activeCell="G66" sqref="G66:H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0.3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339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340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341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342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343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448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-14.699999999999818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344</v>
      </c>
      <c r="B18" s="15">
        <v>16</v>
      </c>
      <c r="C18" s="21">
        <f>D18/D13*B18</f>
        <v>1200</v>
      </c>
      <c r="D18" s="21">
        <f>F29*E7</f>
        <v>1680</v>
      </c>
      <c r="E18" s="22">
        <f>D18/D27</f>
        <v>6.8571428571428575E-2</v>
      </c>
      <c r="F18" s="21">
        <f t="shared" ref="F18:F26" si="0">C18+I18</f>
        <v>10.499999999999773</v>
      </c>
      <c r="G18" s="22">
        <f>-O16</f>
        <v>14.699999999999818</v>
      </c>
      <c r="H18" s="22">
        <f>G18/G27</f>
        <v>5.9308630817893522E-4</v>
      </c>
      <c r="I18" s="21">
        <f>J18/D13*B18</f>
        <v>-1189.5000000000002</v>
      </c>
      <c r="J18" s="21">
        <f>G18-D18</f>
        <v>-1665.3000000000002</v>
      </c>
      <c r="K18" s="1"/>
      <c r="L18" s="1" t="s">
        <v>37</v>
      </c>
      <c r="M18" s="23">
        <f t="shared" ref="M18:M22" si="1">-D18</f>
        <v>-1680</v>
      </c>
      <c r="N18" s="1">
        <f>M18/22.4*B18</f>
        <v>-1200</v>
      </c>
      <c r="O18" s="24">
        <f>M18+D18</f>
        <v>0</v>
      </c>
      <c r="Q18" s="24"/>
      <c r="R18" s="24"/>
    </row>
    <row r="19" spans="1:19" ht="15.75" customHeight="1">
      <c r="A19" s="20" t="s">
        <v>345</v>
      </c>
      <c r="B19" s="15">
        <v>30</v>
      </c>
      <c r="C19" s="21">
        <f>D19/D13*B19</f>
        <v>84.375</v>
      </c>
      <c r="D19" s="21">
        <f>F29*E8</f>
        <v>63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-84.375</v>
      </c>
      <c r="J19" s="21">
        <f t="shared" ref="J19:J22" si="2">-D19</f>
        <v>-63</v>
      </c>
      <c r="K19" s="1"/>
      <c r="L19" s="1" t="s">
        <v>39</v>
      </c>
      <c r="M19" s="23">
        <f t="shared" si="1"/>
        <v>-63</v>
      </c>
      <c r="N19" s="1">
        <f>M19/D13*B19</f>
        <v>-84.375</v>
      </c>
      <c r="O19" s="24">
        <f>J19+D19</f>
        <v>0</v>
      </c>
      <c r="Q19" s="24"/>
      <c r="R19" s="24"/>
    </row>
    <row r="20" spans="1:19" ht="15.75" customHeight="1">
      <c r="A20" s="20" t="s">
        <v>346</v>
      </c>
      <c r="B20" s="15">
        <v>44</v>
      </c>
      <c r="C20" s="21">
        <f>D20/D13*B20</f>
        <v>165.00000000000003</v>
      </c>
      <c r="D20" s="21">
        <f>F29*E9</f>
        <v>84</v>
      </c>
      <c r="E20" s="22">
        <f>D20/D27</f>
        <v>3.4285714285714284E-3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-165.00000000000003</v>
      </c>
      <c r="J20" s="21">
        <f t="shared" si="2"/>
        <v>-84</v>
      </c>
      <c r="K20" s="1"/>
      <c r="L20" s="1" t="s">
        <v>41</v>
      </c>
      <c r="M20" s="23">
        <f t="shared" si="1"/>
        <v>-84</v>
      </c>
      <c r="N20" s="1">
        <f>M20/D13*B20</f>
        <v>-165.00000000000003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347</v>
      </c>
      <c r="B21" s="15">
        <v>58</v>
      </c>
      <c r="C21" s="21">
        <f>D21/D13*B21</f>
        <v>271.875</v>
      </c>
      <c r="D21" s="21">
        <f>F29*E10</f>
        <v>105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-271.875</v>
      </c>
      <c r="J21" s="21">
        <f t="shared" si="2"/>
        <v>-105</v>
      </c>
      <c r="K21" s="1"/>
      <c r="L21" s="4" t="s">
        <v>43</v>
      </c>
      <c r="M21" s="23">
        <f t="shared" si="1"/>
        <v>-105</v>
      </c>
      <c r="N21" s="1">
        <f>M21/D13*B21</f>
        <v>-271.875</v>
      </c>
      <c r="O21" s="23">
        <f t="shared" si="4"/>
        <v>0</v>
      </c>
      <c r="Q21" s="24"/>
      <c r="R21" s="24"/>
    </row>
    <row r="22" spans="1:19" ht="15.75" customHeight="1">
      <c r="A22" s="20" t="s">
        <v>348</v>
      </c>
      <c r="B22" s="15">
        <v>72</v>
      </c>
      <c r="C22" s="21">
        <f>D22/D13*B22</f>
        <v>20.25</v>
      </c>
      <c r="D22" s="21">
        <f>F29*E11</f>
        <v>6.3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-20.25</v>
      </c>
      <c r="J22" s="21">
        <f t="shared" si="2"/>
        <v>-6.3</v>
      </c>
      <c r="K22" s="7"/>
      <c r="L22" s="26" t="s">
        <v>45</v>
      </c>
      <c r="M22" s="23">
        <f t="shared" si="1"/>
        <v>-6.3</v>
      </c>
      <c r="N22" s="1">
        <f>M22/D13*B22</f>
        <v>-20.25</v>
      </c>
      <c r="O22" s="23">
        <f t="shared" si="4"/>
        <v>0</v>
      </c>
      <c r="R22" s="24"/>
      <c r="S22" s="1"/>
    </row>
    <row r="23" spans="1:19" ht="15.75" customHeight="1">
      <c r="A23" s="20" t="s">
        <v>349</v>
      </c>
      <c r="B23" s="15">
        <v>32</v>
      </c>
      <c r="C23" s="21">
        <f>D23/D13*B23</f>
        <v>6720</v>
      </c>
      <c r="D23" s="21">
        <f>F29*E7*I7*2</f>
        <v>4704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-6720</v>
      </c>
      <c r="J23" s="21">
        <f>J22*8+J21*6.5+J20*5+J19*3.5+J18*2</f>
        <v>-4704</v>
      </c>
      <c r="K23" s="7"/>
      <c r="L23" s="29" t="s">
        <v>350</v>
      </c>
      <c r="M23" s="1">
        <f>(M22*8+M21*6.5+M20*5+M19*3.5+M18*2)</f>
        <v>-4733.3999999999996</v>
      </c>
      <c r="N23" s="1">
        <f>M23/D13*B23</f>
        <v>-6762</v>
      </c>
      <c r="O23" s="30">
        <f t="shared" si="4"/>
        <v>-29.399999999999636</v>
      </c>
      <c r="Q23" s="24"/>
      <c r="R23" s="24"/>
      <c r="S23" s="1"/>
    </row>
    <row r="24" spans="1:19" ht="15.75" customHeight="1">
      <c r="A24" s="20" t="s">
        <v>351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4900.5000000000009</v>
      </c>
      <c r="G24" s="21">
        <f t="shared" si="3"/>
        <v>2494.8000000000002</v>
      </c>
      <c r="H24" s="22">
        <f>G24/G27</f>
        <v>0.10065521915951198</v>
      </c>
      <c r="I24" s="21">
        <f>J24/D13*B24</f>
        <v>4900.5000000000009</v>
      </c>
      <c r="J24" s="21">
        <f>-J22*5+(-J21*4)+(-J20*3)+(-J19*2)+(-J18*1)</f>
        <v>2494.8000000000002</v>
      </c>
      <c r="K24" s="7"/>
      <c r="L24" s="31" t="s">
        <v>352</v>
      </c>
      <c r="M24" s="23">
        <f>-(M22*8+M21*4+M20*3+M19*2+M18)</f>
        <v>2528.4</v>
      </c>
      <c r="N24" s="1">
        <f>M24/D13*B24</f>
        <v>4966.5000000000009</v>
      </c>
      <c r="O24" s="23">
        <f t="shared" si="4"/>
        <v>2528.4</v>
      </c>
      <c r="Q24" s="24"/>
      <c r="R24" s="24"/>
      <c r="S24" s="1"/>
    </row>
    <row r="25" spans="1:19" ht="15.75" customHeight="1">
      <c r="A25" s="20" t="s">
        <v>353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3550.5000000000005</v>
      </c>
      <c r="G25" s="21">
        <f t="shared" si="3"/>
        <v>4418.4000000000005</v>
      </c>
      <c r="H25" s="22">
        <f>G25/G27</f>
        <v>0.17826479891549932</v>
      </c>
      <c r="I25" s="21">
        <f>J25/D13*B25</f>
        <v>3550.5000000000005</v>
      </c>
      <c r="J25" s="21">
        <f>-J22*6+(-J21*5)+(-J20*4)+(-J19*3)+(-J18*2)</f>
        <v>4418.4000000000005</v>
      </c>
      <c r="K25" s="7"/>
      <c r="L25" s="31" t="s">
        <v>354</v>
      </c>
      <c r="M25" s="1">
        <f>-(M22*6+M21*5+M20*4+M19*3+M18*2)</f>
        <v>4447.8</v>
      </c>
      <c r="N25" s="1">
        <f>M25/D13*B25</f>
        <v>3574.1250000000005</v>
      </c>
      <c r="O25" s="23">
        <f t="shared" si="4"/>
        <v>4447.8</v>
      </c>
      <c r="Q25" s="24"/>
      <c r="R25" s="24"/>
      <c r="S25" s="1"/>
    </row>
    <row r="26" spans="1:19" ht="15.75" customHeight="1">
      <c r="A26" s="20" t="s">
        <v>355</v>
      </c>
      <c r="B26" s="15">
        <v>28</v>
      </c>
      <c r="C26" s="25">
        <f>D26/D13*B26</f>
        <v>22322.125000000004</v>
      </c>
      <c r="D26" s="21">
        <f>D23*79/21+F29*(1-E7-E8-E9-E10-E11)</f>
        <v>17857.7</v>
      </c>
      <c r="E26" s="32">
        <f>D26/D27</f>
        <v>0.72888571428571436</v>
      </c>
      <c r="F26" s="25">
        <f t="shared" si="0"/>
        <v>22322.125000000004</v>
      </c>
      <c r="G26" s="21">
        <f t="shared" si="3"/>
        <v>17857.7</v>
      </c>
      <c r="H26" s="32">
        <f>G26/G27</f>
        <v>0.72048689561680967</v>
      </c>
      <c r="I26" s="25">
        <f>J26/D13*B26</f>
        <v>0</v>
      </c>
      <c r="J26" s="21">
        <v>0</v>
      </c>
      <c r="K26" s="1"/>
      <c r="L26" s="31" t="s">
        <v>356</v>
      </c>
      <c r="M26" s="1">
        <v>0</v>
      </c>
      <c r="N26" s="1">
        <f>M26/D13*B26</f>
        <v>0</v>
      </c>
      <c r="O26" s="24">
        <f t="shared" si="4"/>
        <v>17857.7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30783.625000000004</v>
      </c>
      <c r="D27" s="27">
        <f t="shared" si="5"/>
        <v>24500</v>
      </c>
      <c r="E27" s="34">
        <f t="shared" si="5"/>
        <v>1</v>
      </c>
      <c r="F27" s="28">
        <f t="shared" si="5"/>
        <v>30783.625000000007</v>
      </c>
      <c r="G27" s="27">
        <f t="shared" si="5"/>
        <v>24785.600000000002</v>
      </c>
      <c r="H27" s="34">
        <f t="shared" si="5"/>
        <v>0.99999999999999989</v>
      </c>
      <c r="I27" s="28">
        <f t="shared" si="5"/>
        <v>1.3642420526593924E-12</v>
      </c>
      <c r="J27" s="21">
        <f t="shared" si="5"/>
        <v>285.60000000000036</v>
      </c>
      <c r="K27" s="1"/>
      <c r="L27" s="1"/>
      <c r="M27" s="35"/>
      <c r="N27" s="1">
        <f t="shared" ref="N27:O27" si="6">SUM(N18:N26)</f>
        <v>37.125000000001364</v>
      </c>
      <c r="O27" s="24">
        <f t="shared" si="6"/>
        <v>24804.5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2100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357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358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359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360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361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362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4122671.4062500009</v>
      </c>
      <c r="G36" s="46">
        <f>(J22*C45/1+J21*C46/1+J20*C47/1+J19*C48/1+J18*C49/1)/22.4*(1000/3600)*1000</f>
        <v>23534917.187500007</v>
      </c>
      <c r="H36" s="47">
        <f>F36+G36</f>
        <v>27657588.593750007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363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364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365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366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367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368</v>
      </c>
      <c r="B43" s="47">
        <f>B32*H18+B33*H19+B34*H20+B35*H21+B36*H22+B37*H23+B38*H24+B39*H25+B40*H26</f>
        <v>30.729783664708538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4900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98"/>
      <c r="O54" s="98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99"/>
      <c r="O55" s="95"/>
      <c r="P55" s="1"/>
      <c r="Q55" s="1"/>
    </row>
    <row r="56" spans="1:17" ht="15.75" customHeight="1" thickTop="1" thickBot="1">
      <c r="A56" s="20" t="s">
        <v>369</v>
      </c>
      <c r="B56" s="61">
        <v>16</v>
      </c>
      <c r="C56" s="21">
        <f>D56/I54*B56</f>
        <v>2810.5</v>
      </c>
      <c r="D56" s="43">
        <f>G52*L46+G18</f>
        <v>3934.7</v>
      </c>
      <c r="E56" s="22">
        <f>D56/D67</f>
        <v>0.13254574608564421</v>
      </c>
      <c r="F56" s="21">
        <f t="shared" ref="F56:G56" si="7">C56+I56</f>
        <v>0</v>
      </c>
      <c r="G56" s="21">
        <f t="shared" si="7"/>
        <v>0</v>
      </c>
      <c r="H56" s="22">
        <f>G56/G67</f>
        <v>0</v>
      </c>
      <c r="I56" s="21">
        <f>J56/I54*B56</f>
        <v>-2810.5</v>
      </c>
      <c r="J56" s="43">
        <f t="shared" ref="J56:J61" si="8">SUM(K56:M56)</f>
        <v>-3934.7</v>
      </c>
      <c r="K56" s="43">
        <v>-2482.9</v>
      </c>
      <c r="L56" s="43">
        <f>-D56-K56</f>
        <v>-1451.7999999999997</v>
      </c>
      <c r="M56" s="43">
        <v>0</v>
      </c>
      <c r="N56" s="96"/>
      <c r="O56" s="97"/>
      <c r="P56" s="1"/>
      <c r="Q56" s="24"/>
    </row>
    <row r="57" spans="1:17" ht="15.75" customHeight="1" thickTop="1" thickBot="1">
      <c r="A57" s="20" t="s">
        <v>370</v>
      </c>
      <c r="B57" s="61">
        <v>30</v>
      </c>
      <c r="C57" s="21">
        <f>D57/I54*B57</f>
        <v>196.875</v>
      </c>
      <c r="D57" s="43">
        <f>G52*L47</f>
        <v>147</v>
      </c>
      <c r="E57" s="22">
        <f>D57/D67</f>
        <v>4.951895868704018E-3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-196.875</v>
      </c>
      <c r="J57" s="43">
        <f t="shared" si="8"/>
        <v>-147</v>
      </c>
      <c r="K57" s="43">
        <f>-D57</f>
        <v>-147</v>
      </c>
      <c r="L57" s="43">
        <v>0</v>
      </c>
      <c r="M57" s="101">
        <v>0</v>
      </c>
      <c r="N57" s="100"/>
      <c r="O57" s="1"/>
      <c r="P57" s="1"/>
      <c r="Q57" s="24"/>
    </row>
    <row r="58" spans="1:17" ht="15.75" customHeight="1" thickTop="1" thickBot="1">
      <c r="A58" s="20" t="s">
        <v>371</v>
      </c>
      <c r="B58" s="61">
        <v>44</v>
      </c>
      <c r="C58" s="21">
        <f>D58/I54*B58</f>
        <v>385</v>
      </c>
      <c r="D58" s="43">
        <f>G52*L48</f>
        <v>196</v>
      </c>
      <c r="E58" s="22">
        <f>D58/D67</f>
        <v>6.6025278249386915E-3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-385</v>
      </c>
      <c r="J58" s="43">
        <f>SUM(K58:M58)</f>
        <v>-196</v>
      </c>
      <c r="K58" s="43">
        <f>-D58</f>
        <v>-196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372</v>
      </c>
      <c r="B59" s="61">
        <v>58</v>
      </c>
      <c r="C59" s="21">
        <f>D59/I54*B59</f>
        <v>634.375</v>
      </c>
      <c r="D59" s="43">
        <f>G52*L49</f>
        <v>245</v>
      </c>
      <c r="E59" s="22">
        <f>D59/D67</f>
        <v>8.2531597811733633E-3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-634.375</v>
      </c>
      <c r="J59" s="43">
        <f t="shared" si="8"/>
        <v>-245</v>
      </c>
      <c r="K59" s="43">
        <f>-D59</f>
        <v>-245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373</v>
      </c>
      <c r="B60" s="61">
        <v>72</v>
      </c>
      <c r="C60" s="21">
        <f>D60/I54*B60</f>
        <v>47.250000000000007</v>
      </c>
      <c r="D60" s="43">
        <f>G52*L50</f>
        <v>14.700000000000001</v>
      </c>
      <c r="E60" s="22">
        <f>D60/D67</f>
        <v>4.9518958687040182E-4</v>
      </c>
      <c r="F60" s="21">
        <f t="shared" ref="F60:F65" si="12">C60+I60</f>
        <v>0</v>
      </c>
      <c r="G60" s="21">
        <f>D60+K60</f>
        <v>0</v>
      </c>
      <c r="H60" s="22">
        <f>G60/G67</f>
        <v>0</v>
      </c>
      <c r="I60" s="21">
        <f>J60/I54*B60</f>
        <v>-47.250000000000007</v>
      </c>
      <c r="J60" s="43">
        <f t="shared" si="8"/>
        <v>-14.700000000000001</v>
      </c>
      <c r="K60" s="43">
        <f>-D60</f>
        <v>-14.700000000000001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374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375</v>
      </c>
      <c r="B62" s="61">
        <v>44</v>
      </c>
      <c r="C62" s="21">
        <f>D62/I54*B62</f>
        <v>4900.5000000000009</v>
      </c>
      <c r="D62" s="43">
        <f t="shared" ref="D62:D63" si="13">G24</f>
        <v>2494.8000000000002</v>
      </c>
      <c r="E62" s="22">
        <f>D62/D67</f>
        <v>8.4040747028862495E-2</v>
      </c>
      <c r="F62" s="21">
        <f t="shared" si="12"/>
        <v>2048.7500000000014</v>
      </c>
      <c r="G62" s="21">
        <f t="shared" ref="G62:G63" si="14">J62+D62</f>
        <v>1043.0000000000005</v>
      </c>
      <c r="H62" s="22">
        <f>G62/G67</f>
        <v>2.5177424805677605E-2</v>
      </c>
      <c r="I62" s="21">
        <f>J62/I54*B62</f>
        <v>-2851.7499999999995</v>
      </c>
      <c r="J62" s="43">
        <f>SUM(K62:M62)</f>
        <v>-1451.7999999999997</v>
      </c>
      <c r="K62" s="43">
        <v>0</v>
      </c>
      <c r="L62" s="43">
        <f>L56</f>
        <v>-1451.7999999999997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376</v>
      </c>
      <c r="B63" s="61">
        <v>18</v>
      </c>
      <c r="C63" s="21">
        <f>D63/I54*B63</f>
        <v>3550.5000000000005</v>
      </c>
      <c r="D63" s="43">
        <f t="shared" si="13"/>
        <v>4418.4000000000005</v>
      </c>
      <c r="E63" s="22">
        <f>D63/D67</f>
        <v>0.14883984153933222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-3550.5</v>
      </c>
      <c r="J63" s="43">
        <f t="shared" ref="J63:J66" si="15">SUM(K63:M63)</f>
        <v>-4418.3999999999996</v>
      </c>
      <c r="K63" s="43">
        <f>K60*5+K59*4+K58*3+K57*2+K56</f>
        <v>-4418.3999999999996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6">D64</f>
        <v>0</v>
      </c>
      <c r="F64" s="21">
        <f t="shared" si="12"/>
        <v>9152.5</v>
      </c>
      <c r="G64" s="21">
        <f t="shared" ref="G64:G65" si="17">J64</f>
        <v>7321.9999999999991</v>
      </c>
      <c r="H64" s="22">
        <f>G64/G67</f>
        <v>0.17674890165596482</v>
      </c>
      <c r="I64" s="21">
        <f>J64/I54*B64</f>
        <v>9152.5</v>
      </c>
      <c r="J64" s="43">
        <f t="shared" si="15"/>
        <v>7321.9999999999991</v>
      </c>
      <c r="K64" s="43">
        <f>-K60*5-K59*4-K58*3-K57*2-K56</f>
        <v>4418.3999999999996</v>
      </c>
      <c r="L64" s="43">
        <f>-L56*2</f>
        <v>2903.5999999999995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377</v>
      </c>
      <c r="B65" s="61">
        <v>2</v>
      </c>
      <c r="C65" s="21">
        <v>0</v>
      </c>
      <c r="D65" s="43">
        <v>0</v>
      </c>
      <c r="E65" s="22">
        <f t="shared" si="16"/>
        <v>0</v>
      </c>
      <c r="F65" s="21">
        <f t="shared" si="12"/>
        <v>1323.75</v>
      </c>
      <c r="G65" s="21">
        <f t="shared" si="17"/>
        <v>14826</v>
      </c>
      <c r="H65" s="22">
        <f>G65/G67</f>
        <v>0.35789117945251775</v>
      </c>
      <c r="I65" s="21">
        <f>J65/I54*B65</f>
        <v>1323.75</v>
      </c>
      <c r="J65" s="43">
        <f t="shared" si="15"/>
        <v>14826</v>
      </c>
      <c r="K65" s="43">
        <f>-K60*11-K59*9-K58*7-K57*5-K56*3</f>
        <v>11922.400000000001</v>
      </c>
      <c r="L65" s="43">
        <f>-L56*2</f>
        <v>2903.5999999999995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378</v>
      </c>
      <c r="B66" s="61">
        <v>28</v>
      </c>
      <c r="C66" s="21">
        <f>D66/I54*B66</f>
        <v>22793.75</v>
      </c>
      <c r="D66" s="43">
        <f>G52*L51+D26</f>
        <v>18235</v>
      </c>
      <c r="E66" s="22">
        <f>D66/D67</f>
        <v>0.61427089228447462</v>
      </c>
      <c r="F66" s="21">
        <f>I66+C66</f>
        <v>22793.75</v>
      </c>
      <c r="G66" s="21">
        <f>D66+J66</f>
        <v>18235</v>
      </c>
      <c r="H66" s="22">
        <f>G66/G67</f>
        <v>0.44018249408583981</v>
      </c>
      <c r="I66" s="21">
        <v>0</v>
      </c>
      <c r="J66" s="43">
        <f t="shared" si="15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8">SUM(C56:C66)</f>
        <v>35318.75</v>
      </c>
      <c r="D67" s="43">
        <f t="shared" si="18"/>
        <v>29685.599999999999</v>
      </c>
      <c r="E67" s="22">
        <f t="shared" si="18"/>
        <v>1</v>
      </c>
      <c r="F67" s="62">
        <f t="shared" si="18"/>
        <v>35318.75</v>
      </c>
      <c r="G67" s="21">
        <f t="shared" si="18"/>
        <v>41426</v>
      </c>
      <c r="H67" s="22">
        <f t="shared" si="18"/>
        <v>1</v>
      </c>
      <c r="I67" s="21">
        <f>SUM(I56:I66)</f>
        <v>0</v>
      </c>
      <c r="J67" s="21">
        <f>SUM(J56:J66)</f>
        <v>11740.400000000001</v>
      </c>
      <c r="K67" s="21">
        <f>SUM(K56:K66)</f>
        <v>8836.8000000000011</v>
      </c>
      <c r="L67" s="21">
        <f>SUM(L56:L66)</f>
        <v>2903.5999999999995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2.0248565965583176</v>
      </c>
      <c r="J69" s="1"/>
      <c r="K69" s="24">
        <f>D59-D62/4</f>
        <v>-378.70000000000005</v>
      </c>
      <c r="L69" s="1"/>
      <c r="M69" s="1">
        <f>D59*4</f>
        <v>980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/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/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/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/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379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380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27657588.593750007</v>
      </c>
      <c r="I91" s="109">
        <f>E6*(1-I6)/I54*N50*20*1000/3600</f>
        <v>49347.034722222219</v>
      </c>
      <c r="J91" s="109">
        <f>(K60/I54*C108+K59/I54*C107+K58/I54*C106+K57/I54*C105+K56/I54*C104)*1000/3600*1000</f>
        <v>-10305406.770833334</v>
      </c>
      <c r="K91" s="109">
        <f>(L56/I54*C109)*1000/3600*1000</f>
        <v>-4447757.8124999981</v>
      </c>
      <c r="L91" s="21">
        <v>0</v>
      </c>
      <c r="M91" s="21">
        <f>H91+I91+J91+K91</f>
        <v>12953771.045138897</v>
      </c>
      <c r="N91" s="80"/>
      <c r="O91" s="1"/>
      <c r="P91" s="1"/>
      <c r="Q91" s="1"/>
    </row>
    <row r="92" spans="1:17" ht="15.75" customHeight="1" thickTop="1" thickBot="1">
      <c r="A92" s="20" t="s">
        <v>381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382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383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862.81070326839938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384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385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386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387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388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389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390</v>
      </c>
      <c r="B102" s="113">
        <f>B91*E56+B92*E57+B93*E58+B94*E59+B95*E60+B96*E61+B97*E62+B98*E63+B99*E64+B100*E65+B101*E66</f>
        <v>32.359910865874369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391</v>
      </c>
      <c r="B103" s="105">
        <f>B91*H56+B92*H57+B93*H58+B94*H59+B95*H60+B96*H61+B97*H62+B98*H63+B99*H64+B100*H65+B101*H66</f>
        <v>29.225248394727949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>
        <f>C99+C100*3-C91-C98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115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06B7-1233-427C-BBEE-FD5EBADDC534}">
  <sheetPr>
    <tabColor theme="7"/>
  </sheetPr>
  <dimension ref="A1:S1000"/>
  <sheetViews>
    <sheetView tabSelected="1" topLeftCell="A52" workbookViewId="0">
      <selection activeCell="G66" sqref="G66"/>
    </sheetView>
  </sheetViews>
  <sheetFormatPr defaultColWidth="12.5703125" defaultRowHeight="12.7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12" t="s">
        <v>453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12" t="s">
        <v>454</v>
      </c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0.3</v>
      </c>
      <c r="J6" s="1"/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7"/>
      <c r="C7" s="11" t="s">
        <v>8</v>
      </c>
      <c r="D7" s="12" t="s">
        <v>9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 thickTop="1" thickBot="1">
      <c r="A8" s="1"/>
      <c r="B8" s="1"/>
      <c r="C8" s="7"/>
      <c r="D8" s="12" t="s">
        <v>11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7"/>
      <c r="D9" s="12" t="s">
        <v>13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 thickTop="1" thickBot="1">
      <c r="A10" s="1"/>
      <c r="B10" s="1"/>
      <c r="C10" s="7"/>
      <c r="D10" s="12" t="s">
        <v>15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7"/>
      <c r="D11" s="12" t="s">
        <v>17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 thickTop="1" thickBo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7"/>
      <c r="G13" s="4" t="s">
        <v>448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 thickTop="1" thickBo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-14.699999999999818</v>
      </c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1200</v>
      </c>
      <c r="D18" s="21">
        <f>F29*E7</f>
        <v>1680</v>
      </c>
      <c r="E18" s="22">
        <f>D18/D27</f>
        <v>6.5882352941176475E-2</v>
      </c>
      <c r="F18" s="21">
        <f t="shared" ref="F18:G26" si="0">C18+I18</f>
        <v>10.499999999999773</v>
      </c>
      <c r="G18" s="22">
        <f>-O16</f>
        <v>14.699999999999818</v>
      </c>
      <c r="H18" s="22">
        <f>G18/G27</f>
        <v>5.7008562918837709E-4</v>
      </c>
      <c r="I18" s="21">
        <f>J18/D13*B18</f>
        <v>-1189.5000000000002</v>
      </c>
      <c r="J18" s="21">
        <f>G18-D18</f>
        <v>-1665.3000000000002</v>
      </c>
      <c r="K18" s="1"/>
      <c r="L18" s="1" t="s">
        <v>37</v>
      </c>
      <c r="M18" s="23">
        <f t="shared" ref="M18:M22" si="1">-D18</f>
        <v>-1680</v>
      </c>
      <c r="N18" s="1">
        <f>M18/22.4*B18</f>
        <v>-1200</v>
      </c>
      <c r="O18" s="24">
        <f>M18+D18</f>
        <v>0</v>
      </c>
      <c r="Q18" s="24"/>
      <c r="R18" s="24"/>
    </row>
    <row r="19" spans="1:19" ht="15.75" customHeight="1" thickTop="1" thickBot="1">
      <c r="A19" s="20" t="s">
        <v>11</v>
      </c>
      <c r="B19" s="15">
        <v>30</v>
      </c>
      <c r="C19" s="21">
        <f>D19/D13*B19</f>
        <v>84.375</v>
      </c>
      <c r="D19" s="21">
        <f>F29*E8</f>
        <v>63</v>
      </c>
      <c r="E19" s="22">
        <f>D19/D27</f>
        <v>2.4705882352941176E-3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-84.375</v>
      </c>
      <c r="J19" s="21">
        <f t="shared" ref="J19:J22" si="2">-D19</f>
        <v>-63</v>
      </c>
      <c r="K19" s="1"/>
      <c r="L19" s="1" t="s">
        <v>39</v>
      </c>
      <c r="M19" s="23">
        <f t="shared" si="1"/>
        <v>-63</v>
      </c>
      <c r="N19" s="1">
        <f>M19/D13*B19</f>
        <v>-84.375</v>
      </c>
      <c r="O19" s="24">
        <f>J19+D19</f>
        <v>0</v>
      </c>
      <c r="Q19" s="24"/>
      <c r="R19" s="24"/>
    </row>
    <row r="20" spans="1:19" ht="15.75" customHeight="1" thickTop="1" thickBot="1">
      <c r="A20" s="20" t="s">
        <v>13</v>
      </c>
      <c r="B20" s="15">
        <v>44</v>
      </c>
      <c r="C20" s="21">
        <f>D20/D13*B20</f>
        <v>165.00000000000003</v>
      </c>
      <c r="D20" s="21">
        <f>F29*E9</f>
        <v>84</v>
      </c>
      <c r="E20" s="22">
        <f>D20/D27</f>
        <v>3.2941176470588237E-3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-165.00000000000003</v>
      </c>
      <c r="J20" s="21">
        <f t="shared" si="2"/>
        <v>-84</v>
      </c>
      <c r="K20" s="1"/>
      <c r="L20" s="1" t="s">
        <v>41</v>
      </c>
      <c r="M20" s="23">
        <f t="shared" si="1"/>
        <v>-84</v>
      </c>
      <c r="N20" s="1">
        <f>M20/D13*B20</f>
        <v>-165.00000000000003</v>
      </c>
      <c r="O20" s="23">
        <f t="shared" ref="O20:O26" si="3">M20+D20</f>
        <v>0</v>
      </c>
      <c r="Q20" s="24"/>
      <c r="R20" s="24"/>
      <c r="S20" s="24"/>
    </row>
    <row r="21" spans="1:19" ht="15.75" customHeight="1" thickTop="1" thickBot="1">
      <c r="A21" s="20" t="s">
        <v>15</v>
      </c>
      <c r="B21" s="15">
        <v>58</v>
      </c>
      <c r="C21" s="21">
        <f>D21/D13*B21</f>
        <v>271.875</v>
      </c>
      <c r="D21" s="21">
        <f>F29*E10</f>
        <v>105</v>
      </c>
      <c r="E21" s="22">
        <f>D21/D27</f>
        <v>4.1176470588235297E-3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-271.875</v>
      </c>
      <c r="J21" s="21">
        <f t="shared" si="2"/>
        <v>-105</v>
      </c>
      <c r="K21" s="1"/>
      <c r="L21" s="4" t="s">
        <v>43</v>
      </c>
      <c r="M21" s="23">
        <f t="shared" si="1"/>
        <v>-105</v>
      </c>
      <c r="N21" s="1">
        <f>M21/D13*B21</f>
        <v>-271.875</v>
      </c>
      <c r="O21" s="23">
        <f t="shared" si="3"/>
        <v>0</v>
      </c>
      <c r="Q21" s="24"/>
      <c r="R21" s="24"/>
    </row>
    <row r="22" spans="1:19" ht="15.75" customHeight="1" thickTop="1" thickBot="1">
      <c r="A22" s="20" t="s">
        <v>17</v>
      </c>
      <c r="B22" s="15">
        <v>72</v>
      </c>
      <c r="C22" s="21">
        <f>D22/D13*B22</f>
        <v>20.25</v>
      </c>
      <c r="D22" s="21">
        <f>F29*E11</f>
        <v>6.3</v>
      </c>
      <c r="E22" s="22">
        <f>D22/D27</f>
        <v>2.4705882352941174E-4</v>
      </c>
      <c r="F22" s="21">
        <f t="shared" si="0"/>
        <v>0</v>
      </c>
      <c r="G22" s="25">
        <f t="shared" si="0"/>
        <v>0</v>
      </c>
      <c r="H22" s="22">
        <f>G22/G27</f>
        <v>0</v>
      </c>
      <c r="I22" s="21">
        <f>J22/D13*B22</f>
        <v>-20.25</v>
      </c>
      <c r="J22" s="21">
        <f t="shared" si="2"/>
        <v>-6.3</v>
      </c>
      <c r="K22" s="7"/>
      <c r="L22" s="26" t="s">
        <v>45</v>
      </c>
      <c r="M22" s="23">
        <f t="shared" si="1"/>
        <v>-6.3</v>
      </c>
      <c r="N22" s="1">
        <f>M22/D13*B22</f>
        <v>-20.25</v>
      </c>
      <c r="O22" s="23">
        <f t="shared" si="3"/>
        <v>0</v>
      </c>
      <c r="R22" s="24"/>
      <c r="S22" s="1"/>
    </row>
    <row r="23" spans="1:19" ht="15.75" customHeight="1" thickTop="1" thickBot="1">
      <c r="A23" s="20" t="s">
        <v>46</v>
      </c>
      <c r="B23" s="15">
        <v>32</v>
      </c>
      <c r="C23" s="21">
        <f>D23/D13*B23</f>
        <v>6720</v>
      </c>
      <c r="D23" s="21">
        <f>F29*E7*I7*2</f>
        <v>4704</v>
      </c>
      <c r="E23" s="22">
        <f>D23/D27</f>
        <v>0.18447058823529411</v>
      </c>
      <c r="F23" s="27">
        <f t="shared" si="0"/>
        <v>0</v>
      </c>
      <c r="G23" s="28">
        <f t="shared" si="0"/>
        <v>0</v>
      </c>
      <c r="H23" s="22">
        <f>G23/G27</f>
        <v>0</v>
      </c>
      <c r="I23" s="21">
        <f>J23/D13*B23</f>
        <v>-6720</v>
      </c>
      <c r="J23" s="21">
        <f>J22*8+J21*6.5+J20*5+J19*3.5+J18*2</f>
        <v>-4704</v>
      </c>
      <c r="K23" s="7"/>
      <c r="L23" s="29" t="s">
        <v>47</v>
      </c>
      <c r="M23" s="1">
        <f>(M22*8+M21*6.5+M20*5+M19*3.5+M18*2)</f>
        <v>-4733.3999999999996</v>
      </c>
      <c r="N23" s="1">
        <f>M23/D13*B23</f>
        <v>-6762</v>
      </c>
      <c r="O23" s="30">
        <f t="shared" si="3"/>
        <v>-29.399999999999636</v>
      </c>
      <c r="Q23" s="24"/>
      <c r="R23" s="24"/>
      <c r="S23" s="1"/>
    </row>
    <row r="24" spans="1:19" ht="15.75" customHeight="1" thickTop="1" thickBot="1">
      <c r="A24" s="20" t="s">
        <v>48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4900.5000000000009</v>
      </c>
      <c r="G24" s="21">
        <f t="shared" si="0"/>
        <v>2494.8000000000002</v>
      </c>
      <c r="H24" s="22">
        <f>G24/G27</f>
        <v>9.675167535368577E-2</v>
      </c>
      <c r="I24" s="21">
        <f>J24/D13*B24</f>
        <v>4900.5000000000009</v>
      </c>
      <c r="J24" s="21">
        <f>-J22*5+(-J21*4)+(-J20*3)+(-J19*2)+(-J18*1)</f>
        <v>2494.8000000000002</v>
      </c>
      <c r="K24" s="7"/>
      <c r="L24" s="31" t="s">
        <v>49</v>
      </c>
      <c r="M24" s="23">
        <f>-(M22*8+M21*4+M20*3+M19*2+M18)</f>
        <v>2528.4</v>
      </c>
      <c r="N24" s="1">
        <f>M24/D13*B24</f>
        <v>4966.5000000000009</v>
      </c>
      <c r="O24" s="23">
        <f t="shared" si="3"/>
        <v>2528.4</v>
      </c>
      <c r="Q24" s="24"/>
      <c r="R24" s="24"/>
      <c r="S24" s="1"/>
    </row>
    <row r="25" spans="1:19" ht="15.75" customHeight="1" thickTop="1" thickBot="1">
      <c r="A25" s="20" t="s">
        <v>50</v>
      </c>
      <c r="B25" s="15">
        <v>18</v>
      </c>
      <c r="C25" s="21">
        <f>D25/D13*B25</f>
        <v>803.57142857142867</v>
      </c>
      <c r="D25" s="120">
        <v>1000</v>
      </c>
      <c r="E25" s="22">
        <f>D25/D27</f>
        <v>3.9215686274509803E-2</v>
      </c>
      <c r="F25" s="21">
        <f t="shared" si="0"/>
        <v>4354.0714285714294</v>
      </c>
      <c r="G25" s="21">
        <f t="shared" si="0"/>
        <v>5418.4000000000005</v>
      </c>
      <c r="H25" s="22">
        <f>G25/G27</f>
        <v>0.21013278729213206</v>
      </c>
      <c r="I25" s="21">
        <f>J25/D13*B25</f>
        <v>3550.5000000000005</v>
      </c>
      <c r="J25" s="21">
        <f>-J22*6+(-J21*5)+(-J20*4)+(-J19*3)+(-J18*2)</f>
        <v>4418.4000000000005</v>
      </c>
      <c r="K25" s="7"/>
      <c r="L25" s="31" t="s">
        <v>51</v>
      </c>
      <c r="M25" s="1">
        <f>-(M22*6+M21*5+M20*4+M19*3+M18*2)</f>
        <v>4447.8</v>
      </c>
      <c r="N25" s="1">
        <f>M25/D13*B25</f>
        <v>3574.1250000000005</v>
      </c>
      <c r="O25" s="23">
        <f t="shared" si="3"/>
        <v>5447.8</v>
      </c>
      <c r="Q25" s="24"/>
      <c r="R25" s="24"/>
      <c r="S25" s="1"/>
    </row>
    <row r="26" spans="1:19" ht="15.75" customHeight="1" thickTop="1" thickBot="1">
      <c r="A26" s="20" t="s">
        <v>52</v>
      </c>
      <c r="B26" s="15">
        <v>28</v>
      </c>
      <c r="C26" s="25">
        <f>D26/D13*B26</f>
        <v>22322.125000000004</v>
      </c>
      <c r="D26" s="21">
        <f>D23*79/21+F29*(1-E7-E8-E9-E10-E11)</f>
        <v>17857.7</v>
      </c>
      <c r="E26" s="32">
        <f>D26/D27</f>
        <v>0.70030196078431373</v>
      </c>
      <c r="F26" s="25">
        <f t="shared" si="0"/>
        <v>22322.125000000004</v>
      </c>
      <c r="G26" s="21">
        <f t="shared" si="0"/>
        <v>17857.7</v>
      </c>
      <c r="H26" s="32">
        <f>G26/G27</f>
        <v>0.69254545172499371</v>
      </c>
      <c r="I26" s="25">
        <f>J26/D13*B26</f>
        <v>0</v>
      </c>
      <c r="J26" s="21">
        <v>0</v>
      </c>
      <c r="K26" s="1"/>
      <c r="L26" s="31" t="s">
        <v>53</v>
      </c>
      <c r="M26" s="1">
        <v>0</v>
      </c>
      <c r="N26" s="1">
        <f>M26/D13*B26</f>
        <v>0</v>
      </c>
      <c r="O26" s="24">
        <f t="shared" si="3"/>
        <v>17857.7</v>
      </c>
      <c r="P26" s="24"/>
      <c r="Q26" s="24"/>
    </row>
    <row r="27" spans="1:19" ht="15.75" customHeight="1" thickTop="1" thickBot="1">
      <c r="A27" s="33" t="s">
        <v>54</v>
      </c>
      <c r="B27" s="9"/>
      <c r="C27" s="28">
        <f t="shared" ref="C27:J27" si="4">SUM(C18:C26)</f>
        <v>31587.196428571435</v>
      </c>
      <c r="D27" s="27">
        <f t="shared" si="4"/>
        <v>25500</v>
      </c>
      <c r="E27" s="34">
        <f t="shared" si="4"/>
        <v>1</v>
      </c>
      <c r="F27" s="28">
        <f t="shared" si="4"/>
        <v>31587.196428571435</v>
      </c>
      <c r="G27" s="27">
        <f t="shared" si="4"/>
        <v>25785.600000000002</v>
      </c>
      <c r="H27" s="34">
        <f t="shared" si="4"/>
        <v>0.99999999999999989</v>
      </c>
      <c r="I27" s="28">
        <f t="shared" si="4"/>
        <v>1.3642420526593924E-12</v>
      </c>
      <c r="J27" s="21">
        <f t="shared" si="4"/>
        <v>285.60000000000036</v>
      </c>
      <c r="K27" s="1"/>
      <c r="L27" s="1"/>
      <c r="M27" s="35"/>
      <c r="N27" s="1">
        <f t="shared" ref="N27:O27" si="5">SUM(N18:N26)</f>
        <v>37.125000000001364</v>
      </c>
      <c r="O27" s="24">
        <f t="shared" si="5"/>
        <v>25804.5</v>
      </c>
      <c r="P27" s="24"/>
      <c r="Q27" s="24"/>
    </row>
    <row r="28" spans="1:19" ht="15.75" customHeight="1" thickTop="1" thickBo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71"/>
      <c r="B29" s="1"/>
      <c r="C29" s="37" t="s">
        <v>55</v>
      </c>
      <c r="D29" s="1"/>
      <c r="E29" s="7"/>
      <c r="F29" s="15">
        <f>E6*I6</f>
        <v>2100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8"/>
      <c r="B30" s="39" t="s">
        <v>58</v>
      </c>
      <c r="C30" s="40" t="s">
        <v>59</v>
      </c>
      <c r="D30" s="1"/>
      <c r="E30" s="1"/>
      <c r="F30" s="1"/>
      <c r="G30" s="1"/>
      <c r="H30" s="112" t="s">
        <v>452</v>
      </c>
      <c r="I30" s="1">
        <v>110</v>
      </c>
      <c r="J30" s="1" t="s">
        <v>57</v>
      </c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41" t="s">
        <v>26</v>
      </c>
      <c r="B31" s="42" t="s">
        <v>60</v>
      </c>
      <c r="C31" s="42" t="s">
        <v>61</v>
      </c>
      <c r="D31" s="1"/>
      <c r="E31" s="1"/>
      <c r="F31" s="1"/>
      <c r="G31" s="1"/>
      <c r="H31" s="116" t="s">
        <v>449</v>
      </c>
      <c r="I31" s="1">
        <f>I29-I30</f>
        <v>340</v>
      </c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3">
        <v>52.49</v>
      </c>
      <c r="C33" s="43">
        <v>-84</v>
      </c>
      <c r="D33" s="1"/>
      <c r="E33" s="7" t="s">
        <v>71</v>
      </c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3">
        <v>98.49</v>
      </c>
      <c r="C35" s="43">
        <f>-125.77</f>
        <v>-125.77</v>
      </c>
      <c r="D35" s="1"/>
      <c r="E35" s="117" t="s">
        <v>450</v>
      </c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3">
        <v>120.04</v>
      </c>
      <c r="C36" s="43">
        <f>-146.36</f>
        <v>-146.36000000000001</v>
      </c>
      <c r="D36" s="1"/>
      <c r="E36" s="118">
        <f>I31*B39*D25/D13*1000/3600</f>
        <v>141666.66666666669</v>
      </c>
      <c r="F36" s="43">
        <f>I29*B42*D27/22.4*1000/3600</f>
        <v>4310171.4062500009</v>
      </c>
      <c r="G36" s="46">
        <f>(J22*C45/1+J21*C46/1+J20*C47/1+J19*C48/1+J18*C49/1)/22.4*(1000/3600)*1000</f>
        <v>23534917.187500007</v>
      </c>
      <c r="H36" s="47">
        <f>F36+G36-E36</f>
        <v>27703421.92708334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46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 thickTop="1" thickBot="1">
      <c r="A38" s="20" t="s">
        <v>48</v>
      </c>
      <c r="B38" s="43">
        <v>37.14</v>
      </c>
      <c r="C38" s="43">
        <f>-393.51</f>
        <v>-393.51</v>
      </c>
      <c r="D38" s="1"/>
      <c r="E38" s="1"/>
      <c r="F38" s="2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 thickTop="1" thickBot="1">
      <c r="A39" s="20" t="s">
        <v>50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52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9" t="s">
        <v>76</v>
      </c>
      <c r="B42" s="47">
        <f>B32*E18+B33*E19+B34*E20+B35*E21+B36*E22+B37*E23+B38*E24+B39*E25+B40*E26</f>
        <v>30.289518274509806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9" t="s">
        <v>77</v>
      </c>
      <c r="B43" s="47">
        <f>B32*H18+B33*H19+B34*H20+B35*H21+B36*H22+B37*H23+B38*H24+B39*H25+B40*H26</f>
        <v>30.841094486845371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 thickTop="1" thickBo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 thickTop="1" thickBo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 thickTop="1" thickBo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 thickTop="1" thickBo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 thickTop="1" thickBo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 thickTop="1" thickBo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4900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98"/>
      <c r="O54" s="98"/>
      <c r="P54" s="1"/>
      <c r="Q54" s="1"/>
    </row>
    <row r="55" spans="1:17" ht="15.75" customHeight="1" thickTop="1" thickBo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99"/>
      <c r="O55" s="95"/>
      <c r="P55" s="1"/>
      <c r="Q55" s="1"/>
    </row>
    <row r="56" spans="1:17" ht="15.75" customHeight="1" thickTop="1" thickBot="1">
      <c r="A56" s="20" t="s">
        <v>9</v>
      </c>
      <c r="B56" s="61">
        <v>16</v>
      </c>
      <c r="C56" s="21">
        <f>D56/I54*B56</f>
        <v>2810.5</v>
      </c>
      <c r="D56" s="43">
        <f>G52*L46+G18</f>
        <v>3934.7</v>
      </c>
      <c r="E56" s="22">
        <f>D56/D67</f>
        <v>0.12822626899913966</v>
      </c>
      <c r="F56" s="21">
        <f t="shared" ref="F56:G65" si="6">C56+I56</f>
        <v>0</v>
      </c>
      <c r="G56" s="21">
        <f t="shared" si="6"/>
        <v>0</v>
      </c>
      <c r="H56" s="22">
        <f>G56/G67</f>
        <v>0</v>
      </c>
      <c r="I56" s="21">
        <f>J56/I54*B56</f>
        <v>-2810.5</v>
      </c>
      <c r="J56" s="43">
        <f t="shared" ref="J56:J61" si="7">SUM(K56:M56)</f>
        <v>-3934.7</v>
      </c>
      <c r="K56" s="43">
        <f>-J72</f>
        <v>-3482.9000000000005</v>
      </c>
      <c r="L56" s="43">
        <f>-D56-K56</f>
        <v>-451.79999999999927</v>
      </c>
      <c r="M56" s="43">
        <v>0</v>
      </c>
      <c r="N56" s="96"/>
      <c r="O56" s="97"/>
      <c r="P56" s="1"/>
      <c r="Q56" s="24"/>
    </row>
    <row r="57" spans="1:17" ht="15.75" customHeight="1" thickTop="1" thickBot="1">
      <c r="A57" s="20" t="s">
        <v>11</v>
      </c>
      <c r="B57" s="61">
        <v>30</v>
      </c>
      <c r="C57" s="21">
        <f>D57/I54*B57</f>
        <v>196.875</v>
      </c>
      <c r="D57" s="43">
        <f>G52*L47</f>
        <v>147</v>
      </c>
      <c r="E57" s="22">
        <f>D57/D67</f>
        <v>4.7905206350861646E-3</v>
      </c>
      <c r="F57" s="21">
        <f t="shared" si="6"/>
        <v>0</v>
      </c>
      <c r="G57" s="21">
        <f t="shared" si="6"/>
        <v>0</v>
      </c>
      <c r="H57" s="22">
        <f>G57/G67</f>
        <v>0</v>
      </c>
      <c r="I57" s="21">
        <f>J57/I54*B57</f>
        <v>-196.875</v>
      </c>
      <c r="J57" s="43">
        <f t="shared" si="7"/>
        <v>-147</v>
      </c>
      <c r="K57" s="43">
        <f>-D57</f>
        <v>-147</v>
      </c>
      <c r="L57" s="43">
        <v>0</v>
      </c>
      <c r="M57" s="101">
        <v>0</v>
      </c>
      <c r="N57" s="100"/>
      <c r="O57" s="1"/>
      <c r="P57" s="1"/>
      <c r="Q57" s="24"/>
    </row>
    <row r="58" spans="1:17" ht="15.75" customHeight="1" thickTop="1" thickBot="1">
      <c r="A58" s="20" t="s">
        <v>13</v>
      </c>
      <c r="B58" s="61">
        <v>44</v>
      </c>
      <c r="C58" s="21">
        <f>D58/I54*B58</f>
        <v>385</v>
      </c>
      <c r="D58" s="43">
        <f>G52*L48</f>
        <v>196</v>
      </c>
      <c r="E58" s="22">
        <f>D58/D67</f>
        <v>6.3873608467815528E-3</v>
      </c>
      <c r="F58" s="21">
        <f t="shared" si="6"/>
        <v>0</v>
      </c>
      <c r="G58" s="21">
        <f t="shared" si="6"/>
        <v>0</v>
      </c>
      <c r="H58" s="22">
        <f>G58/G67</f>
        <v>0</v>
      </c>
      <c r="I58" s="21">
        <f>J58/I54*B58</f>
        <v>-385</v>
      </c>
      <c r="J58" s="43">
        <f>SUM(K58:M58)</f>
        <v>-196</v>
      </c>
      <c r="K58" s="43">
        <f>-D58</f>
        <v>-196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 thickTop="1" thickBot="1">
      <c r="A59" s="20" t="s">
        <v>15</v>
      </c>
      <c r="B59" s="61">
        <v>58</v>
      </c>
      <c r="C59" s="21">
        <f>D59/I54*B59</f>
        <v>634.375</v>
      </c>
      <c r="D59" s="43">
        <f>G52*L49</f>
        <v>245</v>
      </c>
      <c r="E59" s="22">
        <f>D59/D67</f>
        <v>7.9842010584769401E-3</v>
      </c>
      <c r="F59" s="21">
        <f t="shared" si="6"/>
        <v>0</v>
      </c>
      <c r="G59" s="21">
        <f t="shared" si="6"/>
        <v>0</v>
      </c>
      <c r="H59" s="22">
        <f>G59/G67</f>
        <v>0</v>
      </c>
      <c r="I59" s="21">
        <f>J59/I54*B59</f>
        <v>-634.375</v>
      </c>
      <c r="J59" s="43">
        <f t="shared" si="7"/>
        <v>-245</v>
      </c>
      <c r="K59" s="43">
        <f>-D59</f>
        <v>-245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 thickTop="1" thickBot="1">
      <c r="A60" s="20" t="s">
        <v>17</v>
      </c>
      <c r="B60" s="61">
        <v>72</v>
      </c>
      <c r="C60" s="21">
        <f>D60/I54*B60</f>
        <v>47.250000000000007</v>
      </c>
      <c r="D60" s="43">
        <f>G52*L50</f>
        <v>14.700000000000001</v>
      </c>
      <c r="E60" s="22">
        <f>D60/D67</f>
        <v>4.7905206350861649E-4</v>
      </c>
      <c r="F60" s="21">
        <f t="shared" si="6"/>
        <v>0</v>
      </c>
      <c r="G60" s="21">
        <f>D60+K60</f>
        <v>0</v>
      </c>
      <c r="H60" s="22">
        <f>G60/G67</f>
        <v>0</v>
      </c>
      <c r="I60" s="21">
        <f>J60/I54*B60</f>
        <v>-47.250000000000007</v>
      </c>
      <c r="J60" s="43">
        <f t="shared" si="7"/>
        <v>-14.700000000000001</v>
      </c>
      <c r="K60" s="43">
        <f>-D60</f>
        <v>-14.700000000000001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 thickTop="1" thickBot="1">
      <c r="A61" s="20" t="s">
        <v>105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6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7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 thickTop="1" thickBot="1">
      <c r="A62" s="20" t="s">
        <v>48</v>
      </c>
      <c r="B62" s="61">
        <v>44</v>
      </c>
      <c r="C62" s="21">
        <f>D62/I54*B62</f>
        <v>4900.5000000000009</v>
      </c>
      <c r="D62" s="43">
        <f t="shared" ref="D62:D63" si="8">G24</f>
        <v>2494.8000000000002</v>
      </c>
      <c r="E62" s="22">
        <f>D62/D67</f>
        <v>8.1301978778319475E-2</v>
      </c>
      <c r="F62" s="21">
        <f t="shared" si="6"/>
        <v>4013.0357142857165</v>
      </c>
      <c r="G62" s="21">
        <f t="shared" ref="G62:G63" si="9">J62+D62</f>
        <v>2043.0000000000009</v>
      </c>
      <c r="H62" s="22">
        <f>G62/G67</f>
        <v>4.8154433602036507E-2</v>
      </c>
      <c r="I62" s="21">
        <f>J62/I54*B62</f>
        <v>-887.4642857142843</v>
      </c>
      <c r="J62" s="43">
        <f>SUM(K62:M62)</f>
        <v>-451.79999999999927</v>
      </c>
      <c r="K62" s="43">
        <v>0</v>
      </c>
      <c r="L62" s="43">
        <f>L56</f>
        <v>-451.79999999999927</v>
      </c>
      <c r="M62" s="43">
        <v>0</v>
      </c>
      <c r="N62" s="1"/>
      <c r="O62" s="1"/>
      <c r="P62" s="1"/>
      <c r="Q62" s="24"/>
    </row>
    <row r="63" spans="1:17" ht="15.75" customHeight="1" thickTop="1" thickBot="1">
      <c r="A63" s="20" t="s">
        <v>50</v>
      </c>
      <c r="B63" s="61">
        <v>18</v>
      </c>
      <c r="C63" s="21">
        <f>D63/I54*B63</f>
        <v>4354.0714285714294</v>
      </c>
      <c r="D63" s="43">
        <f t="shared" si="8"/>
        <v>5418.4000000000005</v>
      </c>
      <c r="E63" s="22">
        <f>D63/D67</f>
        <v>0.17657793883776107</v>
      </c>
      <c r="F63" s="21">
        <f t="shared" si="6"/>
        <v>0</v>
      </c>
      <c r="G63" s="21">
        <f t="shared" si="9"/>
        <v>0</v>
      </c>
      <c r="H63" s="22">
        <f>G63/G67</f>
        <v>0</v>
      </c>
      <c r="I63" s="21">
        <f>J63/I54*B63</f>
        <v>-4354.0714285714294</v>
      </c>
      <c r="J63" s="43">
        <f t="shared" ref="J63:J66" si="10">SUM(K63:M63)</f>
        <v>-5418.4000000000005</v>
      </c>
      <c r="K63" s="43">
        <f>K60*5+K59*4+K58*3+K57*2+K56</f>
        <v>-5418.4000000000005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 thickTop="1" thickBo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1">D64</f>
        <v>0</v>
      </c>
      <c r="F64" s="21">
        <f t="shared" si="6"/>
        <v>7902.4999999999991</v>
      </c>
      <c r="G64" s="21">
        <f t="shared" ref="G64:G65" si="12">J64</f>
        <v>6321.9999999999991</v>
      </c>
      <c r="H64" s="22">
        <f>G64/G67</f>
        <v>0.14901239805779473</v>
      </c>
      <c r="I64" s="21">
        <f>J64/I54*B64</f>
        <v>7902.4999999999991</v>
      </c>
      <c r="J64" s="43">
        <f t="shared" si="10"/>
        <v>6321.9999999999991</v>
      </c>
      <c r="K64" s="43">
        <f>-K60*5-K59*4-K58*3-K57*2-K56</f>
        <v>5418.4000000000005</v>
      </c>
      <c r="L64" s="43">
        <f>-L56*2</f>
        <v>903.59999999999854</v>
      </c>
      <c r="M64" s="43">
        <v>0</v>
      </c>
      <c r="N64" s="1"/>
      <c r="O64" s="1"/>
      <c r="P64" s="1"/>
      <c r="Q64" s="24"/>
    </row>
    <row r="65" spans="1:17" ht="15.75" customHeight="1" thickTop="1" thickBot="1">
      <c r="A65" s="20" t="s">
        <v>109</v>
      </c>
      <c r="B65" s="61">
        <v>2</v>
      </c>
      <c r="C65" s="21">
        <v>0</v>
      </c>
      <c r="D65" s="43">
        <v>0</v>
      </c>
      <c r="E65" s="22">
        <f t="shared" si="11"/>
        <v>0</v>
      </c>
      <c r="F65" s="21">
        <f t="shared" si="6"/>
        <v>1413.0357142857144</v>
      </c>
      <c r="G65" s="21">
        <f t="shared" si="12"/>
        <v>15826</v>
      </c>
      <c r="H65" s="22">
        <f>G65/G67</f>
        <v>0.37302597463819354</v>
      </c>
      <c r="I65" s="21">
        <f>J65/I54*B65</f>
        <v>1413.0357142857144</v>
      </c>
      <c r="J65" s="43">
        <f t="shared" si="10"/>
        <v>15826</v>
      </c>
      <c r="K65" s="43">
        <f>-K60*11-K59*9-K58*7-K57*5-K56*3</f>
        <v>14922.400000000001</v>
      </c>
      <c r="L65" s="43">
        <f>-L56*2</f>
        <v>903.59999999999854</v>
      </c>
      <c r="M65" s="43">
        <v>0</v>
      </c>
      <c r="N65" s="1"/>
      <c r="O65" s="1"/>
      <c r="P65" s="1"/>
      <c r="Q65" s="24"/>
    </row>
    <row r="66" spans="1:17" ht="15.75" customHeight="1" thickTop="1" thickBot="1">
      <c r="A66" s="20" t="s">
        <v>52</v>
      </c>
      <c r="B66" s="61">
        <v>28</v>
      </c>
      <c r="C66" s="21">
        <f>D66/I54*B66</f>
        <v>22793.75</v>
      </c>
      <c r="D66" s="43">
        <f>G52*L51+G26</f>
        <v>18235</v>
      </c>
      <c r="E66" s="22">
        <f>D66/D67</f>
        <v>0.59425267878092658</v>
      </c>
      <c r="F66" s="21">
        <f>I66+C66</f>
        <v>22793.75</v>
      </c>
      <c r="G66" s="21">
        <f>D66+J66</f>
        <v>18235</v>
      </c>
      <c r="H66" s="22">
        <f>G66/G67</f>
        <v>0.42980719370197518</v>
      </c>
      <c r="I66" s="21">
        <v>0</v>
      </c>
      <c r="J66" s="43">
        <f t="shared" si="10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 thickTop="1" thickBot="1">
      <c r="A67" s="33" t="s">
        <v>54</v>
      </c>
      <c r="B67" s="15"/>
      <c r="C67" s="62">
        <f t="shared" ref="C67:H67" si="13">SUM(C56:C66)</f>
        <v>36122.321428571428</v>
      </c>
      <c r="D67" s="43">
        <f t="shared" si="13"/>
        <v>30685.599999999999</v>
      </c>
      <c r="E67" s="22">
        <f t="shared" si="13"/>
        <v>1</v>
      </c>
      <c r="F67" s="62">
        <f t="shared" si="13"/>
        <v>36122.321428571428</v>
      </c>
      <c r="G67" s="21">
        <f t="shared" si="13"/>
        <v>42426</v>
      </c>
      <c r="H67" s="22">
        <f t="shared" si="13"/>
        <v>1</v>
      </c>
      <c r="I67" s="21">
        <f>SUM(I56:I66)</f>
        <v>-2.2737367544323206E-13</v>
      </c>
      <c r="J67" s="21">
        <f>SUM(J56:J66)</f>
        <v>11740.400000000001</v>
      </c>
      <c r="K67" s="21">
        <f>SUM(K56:K66)</f>
        <v>10836.800000000003</v>
      </c>
      <c r="L67" s="21">
        <f>SUM(L56:L66)</f>
        <v>903.59999999999854</v>
      </c>
      <c r="M67" s="21">
        <f>SUM(M56:M66)</f>
        <v>0</v>
      </c>
      <c r="N67" s="1"/>
      <c r="O67" s="1"/>
      <c r="P67" s="1"/>
      <c r="Q67" s="24"/>
    </row>
    <row r="68" spans="1:17" ht="15.75" customHeight="1" thickTop="1" thickBo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2.5033217336285989</v>
      </c>
      <c r="J69" s="1"/>
      <c r="K69" s="24">
        <f>D59-D62/4</f>
        <v>-378.70000000000005</v>
      </c>
      <c r="L69" s="1"/>
      <c r="M69" s="1">
        <f>D59*4</f>
        <v>980</v>
      </c>
      <c r="N69" s="1" t="s">
        <v>112</v>
      </c>
      <c r="O69" s="1"/>
      <c r="P69" s="1"/>
      <c r="Q69" s="1"/>
    </row>
    <row r="70" spans="1:17" ht="15.75" customHeight="1" thickTop="1" thickBot="1">
      <c r="A70" s="7"/>
      <c r="B70" s="89" t="s">
        <v>113</v>
      </c>
      <c r="C70" s="15"/>
      <c r="D70" s="15">
        <v>9</v>
      </c>
      <c r="E70" s="112" t="s">
        <v>116</v>
      </c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7"/>
      <c r="B72" s="89" t="s">
        <v>117</v>
      </c>
      <c r="C72" s="4"/>
      <c r="D72" s="15">
        <v>5</v>
      </c>
      <c r="E72" s="1" t="s">
        <v>116</v>
      </c>
      <c r="F72" s="65"/>
      <c r="G72" s="1"/>
      <c r="H72" s="1"/>
      <c r="I72" s="119" t="s">
        <v>451</v>
      </c>
      <c r="J72" s="1">
        <f>D63+K60*5+K59*4+K58*3+K57*2</f>
        <v>3482.9000000000005</v>
      </c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7"/>
      <c r="B73" s="89" t="s">
        <v>120</v>
      </c>
      <c r="C73" s="4"/>
      <c r="D73" s="15">
        <v>3</v>
      </c>
      <c r="E73" s="1" t="s">
        <v>116</v>
      </c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7"/>
      <c r="B74" s="89" t="s">
        <v>122</v>
      </c>
      <c r="C74" s="4"/>
      <c r="D74" s="15">
        <v>1</v>
      </c>
      <c r="E74" s="1" t="s">
        <v>116</v>
      </c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7"/>
      <c r="B76" s="89" t="s">
        <v>125</v>
      </c>
      <c r="C76" s="4"/>
      <c r="D76" s="15">
        <v>10</v>
      </c>
      <c r="E76" s="1" t="s">
        <v>116</v>
      </c>
      <c r="F76" s="65"/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/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 thickTop="1" thickBot="1">
      <c r="A78" s="7"/>
      <c r="B78" s="4" t="s">
        <v>130</v>
      </c>
      <c r="C78" s="4"/>
      <c r="D78" s="15">
        <v>6</v>
      </c>
      <c r="E78" s="1" t="s">
        <v>114</v>
      </c>
      <c r="F78" s="65"/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 thickTop="1" thickBot="1">
      <c r="A79" s="7"/>
      <c r="B79" s="4" t="s">
        <v>132</v>
      </c>
      <c r="C79" s="4"/>
      <c r="D79" s="15">
        <v>4</v>
      </c>
      <c r="E79" s="1" t="s">
        <v>114</v>
      </c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7"/>
      <c r="B80" s="4" t="s">
        <v>133</v>
      </c>
      <c r="C80" s="4"/>
      <c r="D80" s="15">
        <v>2</v>
      </c>
      <c r="E80" s="1" t="s">
        <v>114</v>
      </c>
      <c r="F80" s="65"/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 thickTop="1" thickBo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 thickTop="1" thickBo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 thickTop="1" thickBo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 thickTop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 thickBo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61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9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27703421.92708334</v>
      </c>
      <c r="I91" s="109">
        <f>E6*(1-I6)/I54*N50*20*1000/3600</f>
        <v>49347.034722222219</v>
      </c>
      <c r="J91" s="109">
        <f>(K60/I54*C108+K59/I54*C107+K58/I54*C106+K57/I54*C105+K56/I54*C104)*1000/3600*1000</f>
        <v>-12858730.183531746</v>
      </c>
      <c r="K91" s="109">
        <f>(L56/I54*C109)*1000/3600*1000</f>
        <v>-1384141.7410714261</v>
      </c>
      <c r="L91" s="21">
        <v>0</v>
      </c>
      <c r="M91" s="21">
        <f>H91+I91+J91+K91</f>
        <v>13509897.037202392</v>
      </c>
      <c r="N91" s="80"/>
      <c r="O91" s="1"/>
      <c r="P91" s="1"/>
      <c r="Q91" s="1"/>
    </row>
    <row r="92" spans="1:17" ht="15.75" customHeight="1" thickTop="1" thickBot="1">
      <c r="A92" s="20" t="s">
        <v>11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873.27947321366275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105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48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50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109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52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160</v>
      </c>
      <c r="B102" s="113">
        <f>B91*E56+B92*E57+B93*E58+B94*E59+B95*E60+B96*E61+B97*E62+B98*E63+B99*E64+B100*E65+B101*E66</f>
        <v>32.400323604557187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161</v>
      </c>
      <c r="B103" s="105">
        <f>B91*H56+B92*H57+B93*H58+B94*H59+B95*H60+B96*H61+B97*H62+B98*H63+B99*H64+B100*H65+B101*H66</f>
        <v>29.404731532550795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>
        <f>C99+C100*3-C91-C98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115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A52" workbookViewId="0">
      <selection activeCell="G66" sqref="G66:H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177</v>
      </c>
      <c r="E7" s="10">
        <v>0.8</v>
      </c>
      <c r="F7" s="7"/>
      <c r="G7" s="8" t="s">
        <v>10</v>
      </c>
      <c r="H7" s="9"/>
      <c r="I7" s="13">
        <v>1.1000000000000001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178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179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180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181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87">
        <f>-(D63+K63)</f>
        <v>-4.5474735088646412E-13</v>
      </c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-259.3499999999998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182</v>
      </c>
      <c r="B18" s="15">
        <v>16</v>
      </c>
      <c r="C18" s="21">
        <f>D18/D13*B18</f>
        <v>600</v>
      </c>
      <c r="D18" s="21">
        <f>F29*E7</f>
        <v>840</v>
      </c>
      <c r="E18" s="43">
        <f>D18/D27</f>
        <v>8.5279187817258864E-2</v>
      </c>
      <c r="F18" s="21">
        <f t="shared" ref="F18:F26" si="0">C18+I18</f>
        <v>185.24999999999983</v>
      </c>
      <c r="G18" s="22">
        <f>-O16</f>
        <v>259.3499999999998</v>
      </c>
      <c r="H18" s="43">
        <f>G18/G27</f>
        <v>2.5953686654391135E-2</v>
      </c>
      <c r="I18" s="21">
        <f>J18/D13*B18</f>
        <v>-414.75000000000017</v>
      </c>
      <c r="J18" s="21">
        <f>G18-D18</f>
        <v>-580.6500000000002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183</v>
      </c>
      <c r="B19" s="15">
        <v>30</v>
      </c>
      <c r="C19" s="21">
        <f>D19/D13*B19</f>
        <v>42.1875</v>
      </c>
      <c r="D19" s="21">
        <f>F29*E8</f>
        <v>31.5</v>
      </c>
      <c r="E19" s="43">
        <f>D19/D27</f>
        <v>3.1979695431472075E-3</v>
      </c>
      <c r="F19" s="21">
        <f t="shared" si="0"/>
        <v>0</v>
      </c>
      <c r="G19" s="21">
        <f>D19+(J19)</f>
        <v>0</v>
      </c>
      <c r="H19" s="43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184</v>
      </c>
      <c r="B20" s="15">
        <v>44</v>
      </c>
      <c r="C20" s="21">
        <f>D20/D13*B20</f>
        <v>82.500000000000014</v>
      </c>
      <c r="D20" s="21">
        <f>F29*E9</f>
        <v>42</v>
      </c>
      <c r="E20" s="43">
        <f>D20/D27</f>
        <v>4.263959390862943E-3</v>
      </c>
      <c r="F20" s="21">
        <f t="shared" si="0"/>
        <v>0</v>
      </c>
      <c r="G20" s="21">
        <f t="shared" ref="G20:G26" si="3">D20+J20</f>
        <v>0</v>
      </c>
      <c r="H20" s="43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185</v>
      </c>
      <c r="B21" s="15">
        <v>58</v>
      </c>
      <c r="C21" s="21">
        <f>D21/D13*B21</f>
        <v>135.9375</v>
      </c>
      <c r="D21" s="21">
        <f>F29*E10</f>
        <v>52.5</v>
      </c>
      <c r="E21" s="43">
        <f>D21/D27</f>
        <v>5.329949238578679E-3</v>
      </c>
      <c r="F21" s="21">
        <f t="shared" si="0"/>
        <v>0</v>
      </c>
      <c r="G21" s="21">
        <f t="shared" si="3"/>
        <v>0</v>
      </c>
      <c r="H21" s="43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186</v>
      </c>
      <c r="B22" s="15">
        <v>72</v>
      </c>
      <c r="C22" s="21">
        <f>D22/D13*B22</f>
        <v>10.125</v>
      </c>
      <c r="D22" s="21">
        <f>F29*E11</f>
        <v>3.15</v>
      </c>
      <c r="E22" s="43">
        <f>D22/D27</f>
        <v>3.1979695431472074E-4</v>
      </c>
      <c r="F22" s="21">
        <f t="shared" si="0"/>
        <v>0</v>
      </c>
      <c r="G22" s="25">
        <f t="shared" si="3"/>
        <v>0</v>
      </c>
      <c r="H22" s="43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187</v>
      </c>
      <c r="B23" s="15">
        <v>32</v>
      </c>
      <c r="C23" s="21">
        <f>D23/D13*B23</f>
        <v>2640.0000000000005</v>
      </c>
      <c r="D23" s="21">
        <f>F29*E7*I7*2</f>
        <v>1848.0000000000002</v>
      </c>
      <c r="E23" s="43">
        <f>D23/D27</f>
        <v>0.18761421319796953</v>
      </c>
      <c r="F23" s="27">
        <f t="shared" si="0"/>
        <v>0</v>
      </c>
      <c r="G23" s="28">
        <f t="shared" si="3"/>
        <v>0</v>
      </c>
      <c r="H23" s="43">
        <f>G23/G27</f>
        <v>0</v>
      </c>
      <c r="I23" s="21">
        <f>J23/D13*B23</f>
        <v>-2640.0000000000009</v>
      </c>
      <c r="J23" s="21">
        <f>J22*8+J21*6.5+J20*5+J19*3.5+J18*2</f>
        <v>-1848.0000000000005</v>
      </c>
      <c r="K23" s="7"/>
      <c r="L23" s="29" t="s">
        <v>188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-518.69999999999959</v>
      </c>
      <c r="Q23" s="24"/>
      <c r="R23" s="24"/>
      <c r="S23" s="1"/>
    </row>
    <row r="24" spans="1:19" ht="15.75" customHeight="1">
      <c r="A24" s="20" t="s">
        <v>189</v>
      </c>
      <c r="B24" s="15">
        <v>44</v>
      </c>
      <c r="C24" s="21">
        <f>D24/D13*B24</f>
        <v>0</v>
      </c>
      <c r="D24" s="21">
        <v>0</v>
      </c>
      <c r="E24" s="43">
        <f>D24/D27</f>
        <v>0</v>
      </c>
      <c r="F24" s="21">
        <f t="shared" si="0"/>
        <v>1955.2500000000007</v>
      </c>
      <c r="G24" s="21">
        <f t="shared" si="3"/>
        <v>995.4000000000002</v>
      </c>
      <c r="H24" s="43">
        <f>G24/G27</f>
        <v>9.961172043871587E-2</v>
      </c>
      <c r="I24" s="21">
        <f>J24/D13*B24</f>
        <v>1955.2500000000007</v>
      </c>
      <c r="J24" s="21">
        <f>-J22*5+(-J21*4)+(-J20*3)+(-J19*2)+(-J18*1)</f>
        <v>995.4000000000002</v>
      </c>
      <c r="K24" s="7"/>
      <c r="L24" s="31" t="s">
        <v>190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191</v>
      </c>
      <c r="B25" s="15">
        <v>18</v>
      </c>
      <c r="C25" s="21">
        <f>D25/D13*B25</f>
        <v>0</v>
      </c>
      <c r="D25" s="21">
        <v>0</v>
      </c>
      <c r="E25" s="43">
        <f>D25/D27</f>
        <v>0</v>
      </c>
      <c r="F25" s="21">
        <f t="shared" si="0"/>
        <v>1370.2500000000002</v>
      </c>
      <c r="G25" s="21">
        <f t="shared" si="3"/>
        <v>1705.2000000000003</v>
      </c>
      <c r="H25" s="43">
        <f>G25/G27</f>
        <v>0.1706428628612601</v>
      </c>
      <c r="I25" s="21">
        <f>J25/D13*B25</f>
        <v>1370.2500000000002</v>
      </c>
      <c r="J25" s="21">
        <f>-J22*6+(-J21*5)+(-J20*4)+(-J19*3)+(-J18*2)</f>
        <v>1705.2000000000003</v>
      </c>
      <c r="K25" s="7"/>
      <c r="L25" s="31" t="s">
        <v>192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193</v>
      </c>
      <c r="B26" s="15">
        <v>28</v>
      </c>
      <c r="C26" s="25">
        <f>D26/D13*B26</f>
        <v>8791.0625000000018</v>
      </c>
      <c r="D26" s="21">
        <f>D23*79/21+F29*(1-E7-E8-E9-E10-E11)</f>
        <v>7032.8500000000022</v>
      </c>
      <c r="E26" s="88">
        <f>D26/D27</f>
        <v>0.71399492385786811</v>
      </c>
      <c r="F26" s="25">
        <f t="shared" si="0"/>
        <v>8791.0625000000018</v>
      </c>
      <c r="G26" s="21">
        <f t="shared" si="3"/>
        <v>7032.8500000000022</v>
      </c>
      <c r="H26" s="88">
        <f>G26/G27</f>
        <v>0.70379173004563289</v>
      </c>
      <c r="I26" s="25">
        <f>J26/D13*B26</f>
        <v>0</v>
      </c>
      <c r="J26" s="21">
        <v>0</v>
      </c>
      <c r="K26" s="1"/>
      <c r="L26" s="31" t="s">
        <v>194</v>
      </c>
      <c r="M26" s="1">
        <v>0</v>
      </c>
      <c r="N26" s="1">
        <f>M26/D13*B26</f>
        <v>0</v>
      </c>
      <c r="O26" s="24">
        <f t="shared" si="4"/>
        <v>7032.8500000000022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12301.812500000002</v>
      </c>
      <c r="D27" s="27">
        <f t="shared" si="5"/>
        <v>9850.0000000000018</v>
      </c>
      <c r="E27" s="47">
        <f t="shared" si="5"/>
        <v>1</v>
      </c>
      <c r="F27" s="28">
        <f t="shared" si="5"/>
        <v>12301.812500000004</v>
      </c>
      <c r="G27" s="27">
        <f t="shared" si="5"/>
        <v>9992.8000000000029</v>
      </c>
      <c r="H27" s="47">
        <f t="shared" si="5"/>
        <v>1</v>
      </c>
      <c r="I27" s="28">
        <f t="shared" si="5"/>
        <v>0</v>
      </c>
      <c r="J27" s="21">
        <f t="shared" si="5"/>
        <v>142.79999999999973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10002.250000000004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195</v>
      </c>
      <c r="D31" s="1"/>
      <c r="E31" s="1"/>
      <c r="F31" s="1"/>
      <c r="G31" s="1"/>
      <c r="H31" s="1"/>
      <c r="I31" s="1"/>
      <c r="J31" s="1"/>
      <c r="K31" s="1"/>
      <c r="L31" s="1" t="s">
        <v>196</v>
      </c>
      <c r="M31" s="1"/>
      <c r="N31" s="1"/>
      <c r="O31" s="1"/>
      <c r="P31" s="1"/>
      <c r="Q31" s="1"/>
    </row>
    <row r="32" spans="1:19" ht="15.75" customHeight="1">
      <c r="A32" s="20" t="s">
        <v>197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198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199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200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201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1670604.4531250007</v>
      </c>
      <c r="G36" s="46">
        <f>(J22*C45/1+J21*C46/1+J20*C47/1+J19*C48/1+J18*C49/1)/22.4*(1000/3600)*1000</f>
        <v>9259427.3437500056</v>
      </c>
      <c r="H36" s="47">
        <f>F36+G36</f>
        <v>10930031.796875006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202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203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204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205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206</v>
      </c>
      <c r="B42" s="47">
        <f>B32*E18+B33*E19+B34*E20+B35*E21+B36*E22+B37*E23+B38*E24+B39*E25+B40*E26</f>
        <v>30.39312873096447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207</v>
      </c>
      <c r="B43" s="47">
        <f>B32*H18+B33*H19+B34*H20+B35*H21+B36*H22+B37*H23+B38*H24+B39*H25+B40*H26</f>
        <v>30.854141281722839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E6*(1-I6)</f>
        <v>5950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1"/>
      <c r="O55" s="1"/>
      <c r="P55" s="1"/>
      <c r="Q55" s="1"/>
    </row>
    <row r="56" spans="1:17" ht="15.75" customHeight="1">
      <c r="A56" s="20" t="s">
        <v>208</v>
      </c>
      <c r="B56" s="61">
        <v>16</v>
      </c>
      <c r="C56" s="21">
        <f>D56/I54*B56</f>
        <v>3585.25</v>
      </c>
      <c r="D56" s="43">
        <f>G52*L46+G18</f>
        <v>5019.3499999999995</v>
      </c>
      <c r="E56" s="22">
        <f>D56/D67</f>
        <v>0.56334210629689274</v>
      </c>
      <c r="F56" s="21">
        <f t="shared" ref="F56:G65" si="7">C56+I56</f>
        <v>3335</v>
      </c>
      <c r="G56" s="21">
        <f t="shared" si="7"/>
        <v>4668.9999999999991</v>
      </c>
      <c r="H56" s="22">
        <f>G56/G67</f>
        <v>0.33660518281143548</v>
      </c>
      <c r="I56" s="21">
        <f>J56/I54*B56</f>
        <v>-250.25000000000003</v>
      </c>
      <c r="J56" s="43">
        <f t="shared" ref="J56:J66" si="8">SUM(K56:M56)</f>
        <v>-350.35</v>
      </c>
      <c r="K56" s="21">
        <v>0</v>
      </c>
      <c r="L56" s="21">
        <v>-350.35</v>
      </c>
      <c r="M56" s="21">
        <v>0</v>
      </c>
      <c r="N56" s="1"/>
      <c r="O56" s="1"/>
      <c r="P56" s="1"/>
      <c r="Q56" s="24"/>
    </row>
    <row r="57" spans="1:17" ht="15.75" customHeight="1">
      <c r="A57" s="20" t="s">
        <v>209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2.0033782456691674E-2</v>
      </c>
      <c r="F57" s="21">
        <f t="shared" si="7"/>
        <v>0</v>
      </c>
      <c r="G57" s="21">
        <f t="shared" si="7"/>
        <v>0</v>
      </c>
      <c r="H57" s="22">
        <f>G57/G67</f>
        <v>0</v>
      </c>
      <c r="I57" s="21">
        <f>J57/I54*B57</f>
        <v>-239.06250000000003</v>
      </c>
      <c r="J57" s="43">
        <f t="shared" si="8"/>
        <v>-178.5</v>
      </c>
      <c r="K57" s="21">
        <v>0</v>
      </c>
      <c r="L57" s="21">
        <f>-D57</f>
        <v>-178.5</v>
      </c>
      <c r="M57" s="21">
        <v>0</v>
      </c>
      <c r="N57" s="1"/>
      <c r="O57" s="1"/>
      <c r="P57" s="1"/>
      <c r="Q57" s="24"/>
    </row>
    <row r="58" spans="1:17" ht="15.75" customHeight="1">
      <c r="A58" s="20" t="s">
        <v>210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2.6711709942255565E-2</v>
      </c>
      <c r="F58" s="21">
        <f t="shared" si="7"/>
        <v>0</v>
      </c>
      <c r="G58" s="21">
        <f t="shared" si="7"/>
        <v>0</v>
      </c>
      <c r="H58" s="22">
        <f>G58/G67</f>
        <v>0</v>
      </c>
      <c r="I58" s="21">
        <f>J58/I54*B58</f>
        <v>-467.5</v>
      </c>
      <c r="J58" s="43">
        <f t="shared" si="8"/>
        <v>-238</v>
      </c>
      <c r="K58" s="21">
        <f>-425.95/3</f>
        <v>-141.98333333333332</v>
      </c>
      <c r="L58" s="21">
        <f>-D58-K58</f>
        <v>-96.01666666666668</v>
      </c>
      <c r="M58" s="21">
        <v>0</v>
      </c>
      <c r="N58" s="1"/>
      <c r="O58" s="1"/>
      <c r="P58" s="1"/>
      <c r="Q58" s="24"/>
    </row>
    <row r="59" spans="1:17" ht="15.75" customHeight="1" thickTop="1" thickBot="1">
      <c r="A59" s="20" t="s">
        <v>211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3.338963742781946E-2</v>
      </c>
      <c r="F59" s="21">
        <f t="shared" si="7"/>
        <v>0</v>
      </c>
      <c r="G59" s="21">
        <f t="shared" si="7"/>
        <v>0</v>
      </c>
      <c r="H59" s="22">
        <f>G59/G67</f>
        <v>0</v>
      </c>
      <c r="I59" s="21">
        <f>J59/I54*B59</f>
        <v>-770.3125</v>
      </c>
      <c r="J59" s="43">
        <f t="shared" si="8"/>
        <v>-297.5</v>
      </c>
      <c r="K59" s="21">
        <f>-D59</f>
        <v>-297.5</v>
      </c>
      <c r="L59" s="21">
        <v>0</v>
      </c>
      <c r="M59" s="21"/>
      <c r="N59" s="1"/>
      <c r="O59" s="1"/>
      <c r="P59" s="1"/>
      <c r="Q59" s="24"/>
    </row>
    <row r="60" spans="1:17" ht="15.75" customHeight="1" thickTop="1" thickBot="1">
      <c r="A60" s="20" t="s">
        <v>212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2.0033782456691674E-3</v>
      </c>
      <c r="F60" s="21">
        <f t="shared" si="7"/>
        <v>0</v>
      </c>
      <c r="G60" s="21">
        <f>D60+L60</f>
        <v>17.850000000000001</v>
      </c>
      <c r="H60" s="22">
        <f>G60/G67</f>
        <v>1.2868713885594613E-3</v>
      </c>
      <c r="I60" s="21">
        <f>J60/I54*B60</f>
        <v>-57.375000000000007</v>
      </c>
      <c r="J60" s="43">
        <f t="shared" si="8"/>
        <v>-17.850000000000001</v>
      </c>
      <c r="K60" s="21">
        <f>-D60</f>
        <v>-17.850000000000001</v>
      </c>
      <c r="L60" s="21">
        <v>0</v>
      </c>
      <c r="M60" s="21">
        <v>0</v>
      </c>
      <c r="N60" s="1"/>
      <c r="O60" s="1"/>
      <c r="P60" s="1"/>
      <c r="Q60" s="24"/>
    </row>
    <row r="61" spans="1:17" ht="15.75" customHeight="1" thickTop="1" thickBot="1">
      <c r="A61" s="20" t="s">
        <v>213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7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>SUM(K61:M61)</f>
        <v>0</v>
      </c>
      <c r="K61" s="21">
        <v>0</v>
      </c>
      <c r="L61" s="21">
        <v>0</v>
      </c>
      <c r="M61" s="21">
        <v>0</v>
      </c>
      <c r="N61" s="1"/>
      <c r="O61" s="1"/>
      <c r="P61" s="1"/>
      <c r="Q61" s="24"/>
    </row>
    <row r="62" spans="1:17" ht="15.75" customHeight="1" thickTop="1" thickBot="1">
      <c r="A62" s="20" t="s">
        <v>214</v>
      </c>
      <c r="B62" s="61">
        <v>44</v>
      </c>
      <c r="C62" s="21">
        <f>D62/I54*B62</f>
        <v>1955.2500000000007</v>
      </c>
      <c r="D62" s="43">
        <f t="shared" ref="D62:D63" si="9">G24</f>
        <v>995.4000000000002</v>
      </c>
      <c r="E62" s="22">
        <f>D62/D67</f>
        <v>0.11171779864084536</v>
      </c>
      <c r="F62" s="21">
        <f t="shared" si="7"/>
        <v>0</v>
      </c>
      <c r="G62" s="21">
        <f t="shared" ref="G62:G63" si="10">J62+D62</f>
        <v>0</v>
      </c>
      <c r="H62" s="22">
        <f>G62/G67</f>
        <v>0</v>
      </c>
      <c r="I62" s="21">
        <f>J62/I54*B62</f>
        <v>-1955.2500000000002</v>
      </c>
      <c r="J62" s="43">
        <f t="shared" si="8"/>
        <v>-995.40000000000009</v>
      </c>
      <c r="K62" s="21">
        <v>0</v>
      </c>
      <c r="L62" s="21">
        <f>L58*3+L57*2+L56</f>
        <v>-995.40000000000009</v>
      </c>
      <c r="M62" s="21"/>
      <c r="N62" s="1"/>
      <c r="O62" s="1"/>
      <c r="P62" s="1"/>
      <c r="Q62" s="24"/>
    </row>
    <row r="63" spans="1:17" ht="15.75" customHeight="1">
      <c r="A63" s="20" t="s">
        <v>215</v>
      </c>
      <c r="B63" s="61">
        <v>18</v>
      </c>
      <c r="C63" s="21">
        <f>D63/I54*B63</f>
        <v>1370.2500000000002</v>
      </c>
      <c r="D63" s="43">
        <f t="shared" si="9"/>
        <v>1705.2000000000003</v>
      </c>
      <c r="E63" s="22">
        <f>D63/D67</f>
        <v>0.19138154535098403</v>
      </c>
      <c r="F63" s="21">
        <f t="shared" si="7"/>
        <v>0</v>
      </c>
      <c r="G63" s="21">
        <f t="shared" si="10"/>
        <v>0</v>
      </c>
      <c r="H63" s="22">
        <f>G63/G67</f>
        <v>0</v>
      </c>
      <c r="I63" s="21">
        <f>J63/I54*B63</f>
        <v>-1370.25</v>
      </c>
      <c r="J63" s="43">
        <f t="shared" si="8"/>
        <v>-1705.1999999999998</v>
      </c>
      <c r="K63" s="21">
        <f>K60*5+K59*4+K58*3</f>
        <v>-1705.1999999999998</v>
      </c>
      <c r="L63" s="21">
        <v>0</v>
      </c>
      <c r="M63" s="21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1">D64</f>
        <v>0</v>
      </c>
      <c r="F64" s="21">
        <f t="shared" si="7"/>
        <v>4620</v>
      </c>
      <c r="G64" s="21">
        <f t="shared" ref="G64:G65" si="12">J64</f>
        <v>3696</v>
      </c>
      <c r="H64" s="22">
        <f>G64/G67</f>
        <v>0.26645807574878255</v>
      </c>
      <c r="I64" s="21">
        <f>J64/I54*B64</f>
        <v>4620</v>
      </c>
      <c r="J64" s="43">
        <f t="shared" si="8"/>
        <v>3696</v>
      </c>
      <c r="K64" s="21">
        <f>-K60*5-K59*4-K58*3</f>
        <v>1705.1999999999998</v>
      </c>
      <c r="L64" s="21">
        <f>-L58*6-L57*4-L56*2</f>
        <v>1990.8000000000002</v>
      </c>
      <c r="M64" s="21"/>
      <c r="N64" s="1"/>
      <c r="O64" s="1"/>
      <c r="P64" s="1"/>
      <c r="Q64" s="24"/>
    </row>
    <row r="65" spans="1:17" ht="15.75" customHeight="1">
      <c r="A65" s="20" t="s">
        <v>216</v>
      </c>
      <c r="B65" s="61">
        <v>2</v>
      </c>
      <c r="C65" s="21">
        <v>0</v>
      </c>
      <c r="D65" s="43">
        <v>0</v>
      </c>
      <c r="E65" s="22">
        <f t="shared" si="11"/>
        <v>0</v>
      </c>
      <c r="F65" s="21">
        <f t="shared" si="7"/>
        <v>490.00000000000006</v>
      </c>
      <c r="G65" s="21">
        <f t="shared" si="12"/>
        <v>5488</v>
      </c>
      <c r="H65" s="22">
        <f>G65/G67</f>
        <v>0.3956498700512226</v>
      </c>
      <c r="I65" s="21">
        <f>J65/I54*B65</f>
        <v>490.00000000000006</v>
      </c>
      <c r="J65" s="43">
        <f t="shared" si="8"/>
        <v>5488</v>
      </c>
      <c r="K65" s="21">
        <f>-K60*11-K59*9-K58*7</f>
        <v>3867.7333333333331</v>
      </c>
      <c r="L65" s="21">
        <f>-L58*4-L57*3-L56*2</f>
        <v>1620.2666666666669</v>
      </c>
      <c r="M65" s="21">
        <v>0</v>
      </c>
      <c r="N65" s="1"/>
      <c r="O65" s="1"/>
      <c r="P65" s="1"/>
      <c r="Q65" s="24"/>
    </row>
    <row r="66" spans="1:17" ht="15.75" customHeight="1">
      <c r="A66" s="20" t="s">
        <v>217</v>
      </c>
      <c r="B66" s="61">
        <v>28</v>
      </c>
      <c r="C66" s="21">
        <f>D66/I54*B66</f>
        <v>572.68749999999886</v>
      </c>
      <c r="D66" s="43">
        <f>G52*L51</f>
        <v>458.14999999999907</v>
      </c>
      <c r="E66" s="22">
        <f>D66/D67</f>
        <v>5.1420041638841861E-2</v>
      </c>
      <c r="F66" s="21">
        <f>I66+C66</f>
        <v>572.68749999999886</v>
      </c>
      <c r="G66" s="21">
        <v>0</v>
      </c>
      <c r="H66" s="22">
        <v>0</v>
      </c>
      <c r="I66" s="21">
        <v>0</v>
      </c>
      <c r="J66" s="43">
        <f t="shared" si="8"/>
        <v>0</v>
      </c>
      <c r="K66" s="21">
        <v>0</v>
      </c>
      <c r="L66" s="21">
        <v>0</v>
      </c>
      <c r="M66" s="21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3">SUM(C56:C66)</f>
        <v>9017.6875</v>
      </c>
      <c r="D67" s="43">
        <f t="shared" si="13"/>
        <v>8909.9500000000007</v>
      </c>
      <c r="E67" s="22">
        <f t="shared" si="13"/>
        <v>0.99999999999999978</v>
      </c>
      <c r="F67" s="62">
        <f t="shared" si="13"/>
        <v>9017.6874999999982</v>
      </c>
      <c r="G67" s="21">
        <f t="shared" si="13"/>
        <v>13870.849999999999</v>
      </c>
      <c r="H67" s="22">
        <f t="shared" si="13"/>
        <v>1</v>
      </c>
      <c r="I67" s="21">
        <f>SUM(I56:I66)</f>
        <v>5.6843418860808015E-14</v>
      </c>
      <c r="J67" s="21">
        <f>SUM(J56:J66)</f>
        <v>5401.2000000000007</v>
      </c>
      <c r="K67" s="21">
        <f>SUM(K56:K66)</f>
        <v>3410.3999999999996</v>
      </c>
      <c r="L67" s="21">
        <f>SUM(L56:L66)</f>
        <v>1990.8000000000002</v>
      </c>
      <c r="M67" s="21">
        <f>SUM(M65:M66)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1.4848484848484849</v>
      </c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12" t="s">
        <v>114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" t="s">
        <v>116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12" t="s">
        <v>116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218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219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10930031.796875006</v>
      </c>
      <c r="I91" s="109">
        <f>E6*(1-I6)/D13*N50*20*1000/3600</f>
        <v>59921.399305555555</v>
      </c>
      <c r="J91" s="109">
        <f>(K60/D13*C108+K59/D13*C107+K58/D13*C106)*1000/3600*1000</f>
        <v>-3455689.8582175928</v>
      </c>
      <c r="K91" s="109">
        <f>(L56/D13*C109+L57/D13*C110+L58/D13*C111)*1000/3600*1000</f>
        <v>-2762378.1105324076</v>
      </c>
      <c r="L91" s="21">
        <v>0</v>
      </c>
      <c r="M91" s="21">
        <f>H91+I91+J91+K91</f>
        <v>4771885.2274305606</v>
      </c>
      <c r="N91" s="80"/>
      <c r="O91" s="1"/>
      <c r="P91" s="1"/>
      <c r="Q91" s="1"/>
    </row>
    <row r="92" spans="1:17" ht="15.75" customHeight="1" thickTop="1" thickBot="1">
      <c r="A92" s="20" t="s">
        <v>220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221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222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885.01289956825292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223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224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225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226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227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228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229</v>
      </c>
      <c r="B102" s="104">
        <f>B91*E56+B92*E57+B93*E58+B94*E59+B95*E60+B96*E61+B97*E62+B98*E63+B99*E64+B100*E65+B101*E66</f>
        <v>38.73486978041403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230</v>
      </c>
      <c r="B103" s="105">
        <f>B91*H56+B92*H57+B93*H58+B94*H59+B95*H60+B96*H61+B97*H62+B98*H63+B99*H64+B100*H65+B101*H66</f>
        <v>31.346411647447709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/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topLeftCell="A52" workbookViewId="0">
      <selection activeCell="G66" sqref="G66:H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231</v>
      </c>
      <c r="E7" s="10">
        <v>0.8</v>
      </c>
      <c r="F7" s="7"/>
      <c r="G7" s="8" t="s">
        <v>10</v>
      </c>
      <c r="H7" s="9"/>
      <c r="I7" s="13">
        <v>1.3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232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233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234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235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-91.349999999999909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236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7.3362445414847155E-2</v>
      </c>
      <c r="F18" s="21">
        <f t="shared" ref="F18:F26" si="0">C18+I18</f>
        <v>65.249999999999886</v>
      </c>
      <c r="G18" s="22">
        <f>-O16</f>
        <v>91.349999999999909</v>
      </c>
      <c r="H18" s="22">
        <f>G18/G27</f>
        <v>7.8798909668069753E-3</v>
      </c>
      <c r="I18" s="21">
        <f>J18/D13*B18</f>
        <v>-534.75000000000011</v>
      </c>
      <c r="J18" s="21">
        <f>G18-D18</f>
        <v>-748.65000000000009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237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2.7510917030567684E-3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238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3.668122270742358E-3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239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4.5851528384279472E-3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240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2.7510917030567684E-4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241</v>
      </c>
      <c r="B23" s="15">
        <v>32</v>
      </c>
      <c r="C23" s="21">
        <f>D23/D13*B23</f>
        <v>3120</v>
      </c>
      <c r="D23" s="21">
        <f>F29*E7*I7*2</f>
        <v>2184</v>
      </c>
      <c r="E23" s="22">
        <f>D23/D27</f>
        <v>0.19074235807860263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-3120</v>
      </c>
      <c r="J23" s="21">
        <f>J22*8+J21*6.5+J20*5+J19*3.5+J18*2</f>
        <v>-2184</v>
      </c>
      <c r="K23" s="7"/>
      <c r="L23" s="29" t="s">
        <v>242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-182.69999999999982</v>
      </c>
      <c r="Q23" s="24"/>
      <c r="R23" s="24"/>
      <c r="S23" s="1"/>
    </row>
    <row r="24" spans="1:19" ht="15.75" customHeight="1">
      <c r="A24" s="20" t="s">
        <v>243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2285.2500000000005</v>
      </c>
      <c r="G24" s="21">
        <f t="shared" si="3"/>
        <v>1163.4000000000001</v>
      </c>
      <c r="H24" s="22">
        <f>G24/G27</f>
        <v>0.10035539300255331</v>
      </c>
      <c r="I24" s="21">
        <f>J24/D13*B24</f>
        <v>2285.2500000000005</v>
      </c>
      <c r="J24" s="21">
        <f>-J22*5+(-J21*4)+(-J20*3)+(-J19*2)+(-J18*1)</f>
        <v>1163.4000000000001</v>
      </c>
      <c r="K24" s="7"/>
      <c r="L24" s="31" t="s">
        <v>244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245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1640.2500000000002</v>
      </c>
      <c r="G25" s="21">
        <f t="shared" si="3"/>
        <v>2041.2000000000003</v>
      </c>
      <c r="H25" s="22">
        <f>G25/G27</f>
        <v>0.17607480505141124</v>
      </c>
      <c r="I25" s="21">
        <f>J25/D13*B25</f>
        <v>1640.2500000000002</v>
      </c>
      <c r="J25" s="21">
        <f>-J22*6+(-J21*5)+(-J20*4)+(-J19*3)+(-J18*2)</f>
        <v>2041.2000000000003</v>
      </c>
      <c r="K25" s="7"/>
      <c r="L25" s="31" t="s">
        <v>246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247</v>
      </c>
      <c r="B26" s="15">
        <v>28</v>
      </c>
      <c r="C26" s="25">
        <f>D26/D13*B26</f>
        <v>10371.062500000002</v>
      </c>
      <c r="D26" s="21">
        <f>D23*79/21+F29*(1-E7-E8-E9-E10-E11)</f>
        <v>8296.85</v>
      </c>
      <c r="E26" s="32">
        <f>D26/D27</f>
        <v>0.72461572052401746</v>
      </c>
      <c r="F26" s="25">
        <f t="shared" si="0"/>
        <v>10371.062500000002</v>
      </c>
      <c r="G26" s="21">
        <f t="shared" si="3"/>
        <v>8296.85</v>
      </c>
      <c r="H26" s="32">
        <f>G26/G27</f>
        <v>0.71568991097922841</v>
      </c>
      <c r="I26" s="25">
        <f>J26/D13*B26</f>
        <v>0</v>
      </c>
      <c r="J26" s="21">
        <v>0</v>
      </c>
      <c r="K26" s="1"/>
      <c r="L26" s="31" t="s">
        <v>248</v>
      </c>
      <c r="M26" s="1">
        <v>0</v>
      </c>
      <c r="N26" s="1">
        <f>M26/D13*B26</f>
        <v>0</v>
      </c>
      <c r="O26" s="24">
        <f t="shared" si="4"/>
        <v>8296.85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14361.812500000002</v>
      </c>
      <c r="D27" s="27">
        <f t="shared" si="5"/>
        <v>11450</v>
      </c>
      <c r="E27" s="34">
        <f t="shared" si="5"/>
        <v>1</v>
      </c>
      <c r="F27" s="28">
        <f t="shared" si="5"/>
        <v>14361.812500000004</v>
      </c>
      <c r="G27" s="27">
        <f t="shared" si="5"/>
        <v>11592.800000000001</v>
      </c>
      <c r="H27" s="34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11602.25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249</v>
      </c>
      <c r="D31" s="1"/>
      <c r="E31" s="1"/>
      <c r="F31" s="1"/>
      <c r="G31" s="1"/>
      <c r="H31" s="1"/>
      <c r="I31" s="1"/>
      <c r="J31" s="1"/>
      <c r="K31" s="1"/>
      <c r="L31" s="1" t="s">
        <v>250</v>
      </c>
      <c r="M31" s="1"/>
      <c r="N31" s="1"/>
      <c r="O31" s="1"/>
      <c r="P31" s="1"/>
      <c r="Q31" s="1"/>
    </row>
    <row r="32" spans="1:19" ht="15.75" customHeight="1">
      <c r="A32" s="20" t="s">
        <v>251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252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253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254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255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1931091.953125</v>
      </c>
      <c r="G36" s="46">
        <f>(J22*C45/1+J21*C46/1+J20*C47/1+J19*C48/1+J18*C49/1)/22.4*(1000/3600)*1000</f>
        <v>10931448.177083338</v>
      </c>
      <c r="H36" s="47">
        <f>F36+G36</f>
        <v>12862540.130208338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256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257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258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259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260</v>
      </c>
      <c r="B42" s="47">
        <f>B32*E18+B33*E19+B34*E20+B35*E21+B36*E22+B37*E23+B38*E24+B39*E25+B40*E26</f>
        <v>30.222853973799126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261</v>
      </c>
      <c r="B43" s="47">
        <f>B32*H18+B33*H19+B34*H20+B35*H21+B36*H22+B37*H23+B38*H24+B39*H25+B40*H26</f>
        <v>30.765515061072385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5950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262</v>
      </c>
      <c r="B56" s="61">
        <v>16</v>
      </c>
      <c r="C56" s="21">
        <f>D56/I54*B56</f>
        <v>3465.2500000000005</v>
      </c>
      <c r="D56" s="43">
        <f>G52*L46+G18</f>
        <v>4851.3500000000004</v>
      </c>
      <c r="E56" s="22">
        <f>D56/D67</f>
        <v>0.52470000378544124</v>
      </c>
      <c r="F56" s="21">
        <f t="shared" ref="F56:G56" si="7">C56+I56</f>
        <v>2855.0000000000005</v>
      </c>
      <c r="G56" s="21">
        <f t="shared" si="7"/>
        <v>3997.0000000000005</v>
      </c>
      <c r="H56" s="22">
        <f>G56/G67</f>
        <v>0.26270387154654828</v>
      </c>
      <c r="I56" s="21">
        <f>J56/I54*B56</f>
        <v>-610.25</v>
      </c>
      <c r="J56" s="43">
        <f>SUM(K56:M56)</f>
        <v>-854.35</v>
      </c>
      <c r="K56" s="43">
        <v>0</v>
      </c>
      <c r="L56" s="43">
        <v>-854.35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263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1.9305750085172425E-2</v>
      </c>
      <c r="F57" s="21">
        <f t="shared" ref="F57:G57" si="8">C57+I57</f>
        <v>0</v>
      </c>
      <c r="G57" s="21">
        <f t="shared" si="8"/>
        <v>0</v>
      </c>
      <c r="H57" s="22">
        <f>G57/G67</f>
        <v>0</v>
      </c>
      <c r="I57" s="21">
        <f>J57/I54*B57</f>
        <v>-239.06250000000003</v>
      </c>
      <c r="J57" s="43">
        <f t="shared" ref="J57:J67" si="9">SUM(K57:M57)</f>
        <v>-178.5</v>
      </c>
      <c r="K57" s="43">
        <f>-47.9500000000003/2</f>
        <v>-23.975000000000151</v>
      </c>
      <c r="L57" s="43">
        <f>-D57-K57</f>
        <v>-154.52499999999986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264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2.5741000113563235E-2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-467.5</v>
      </c>
      <c r="J58" s="43">
        <f t="shared" si="9"/>
        <v>-238</v>
      </c>
      <c r="K58" s="43">
        <f>-D58</f>
        <v>-238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265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3.2176250141954042E-2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-770.3125</v>
      </c>
      <c r="J59" s="43">
        <f t="shared" si="9"/>
        <v>-297.5</v>
      </c>
      <c r="K59" s="43">
        <f>-D59</f>
        <v>-297.5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266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1.9305750085172426E-3</v>
      </c>
      <c r="F60" s="21">
        <f t="shared" ref="F60:F65" si="12">C60+I60</f>
        <v>0</v>
      </c>
      <c r="G60" s="21">
        <f>D60+L60</f>
        <v>17.850000000000001</v>
      </c>
      <c r="H60" s="22">
        <f>G60/G67</f>
        <v>1.1731959237192609E-3</v>
      </c>
      <c r="I60" s="21">
        <f>J60/I54*B60</f>
        <v>-57.375000000000007</v>
      </c>
      <c r="J60" s="43">
        <f t="shared" si="9"/>
        <v>-17.850000000000001</v>
      </c>
      <c r="K60" s="43">
        <f>-D60</f>
        <v>-17.850000000000001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267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9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268</v>
      </c>
      <c r="B62" s="61">
        <v>44</v>
      </c>
      <c r="C62" s="21">
        <f>D62/I54*B62</f>
        <v>2285.2500000000005</v>
      </c>
      <c r="D62" s="43">
        <f t="shared" ref="D62:D63" si="13">G24</f>
        <v>1163.4000000000001</v>
      </c>
      <c r="E62" s="22">
        <f>D62/D67</f>
        <v>0.12582806526100618</v>
      </c>
      <c r="F62" s="21">
        <f t="shared" si="12"/>
        <v>0</v>
      </c>
      <c r="G62" s="21">
        <f t="shared" ref="G62:G63" si="14">J62+D62</f>
        <v>0</v>
      </c>
      <c r="H62" s="22">
        <f>G62/G67</f>
        <v>0</v>
      </c>
      <c r="I62" s="21">
        <f>J62/I54*B62</f>
        <v>-2285.2499999999995</v>
      </c>
      <c r="J62" s="43">
        <f t="shared" si="9"/>
        <v>-1163.3999999999996</v>
      </c>
      <c r="K62" s="43">
        <v>0</v>
      </c>
      <c r="L62" s="43">
        <f>L57*2+L56</f>
        <v>-1163.3999999999996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269</v>
      </c>
      <c r="B63" s="61">
        <v>18</v>
      </c>
      <c r="C63" s="21">
        <f>D63/I54*B63</f>
        <v>1640.2500000000002</v>
      </c>
      <c r="D63" s="43">
        <f t="shared" si="13"/>
        <v>2041.2000000000003</v>
      </c>
      <c r="E63" s="22">
        <f>D63/D67</f>
        <v>0.22076693038573647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-1640.2500000000002</v>
      </c>
      <c r="J63" s="43">
        <f t="shared" si="9"/>
        <v>-2041.2000000000003</v>
      </c>
      <c r="K63" s="43">
        <f>K60*5+K59*4+K58*3+K57*2</f>
        <v>-2041.2000000000003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5460</v>
      </c>
      <c r="G64" s="21">
        <f t="shared" ref="G64:G65" si="16">J64</f>
        <v>4368</v>
      </c>
      <c r="H64" s="22">
        <f>G64/G67</f>
        <v>0.28708794368659563</v>
      </c>
      <c r="I64" s="21">
        <f>J64/I54*B64</f>
        <v>5460</v>
      </c>
      <c r="J64" s="43">
        <f t="shared" si="9"/>
        <v>4368</v>
      </c>
      <c r="K64" s="43">
        <f>-K60*5-K59*4-K58*3-K57*2</f>
        <v>2041.2000000000003</v>
      </c>
      <c r="L64" s="43">
        <f>-L57*4-L56*2</f>
        <v>2326.7999999999993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270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610.00000000000011</v>
      </c>
      <c r="G65" s="21">
        <f t="shared" si="16"/>
        <v>6832.0000000000009</v>
      </c>
      <c r="H65" s="22">
        <f>G65/G67</f>
        <v>0.44903498884313681</v>
      </c>
      <c r="I65" s="21">
        <f>J65/I54*B65</f>
        <v>610.00000000000011</v>
      </c>
      <c r="J65" s="43">
        <f t="shared" si="9"/>
        <v>6832.0000000000009</v>
      </c>
      <c r="K65" s="43">
        <f>-K60*11-K59*9-K58*7-K57*5</f>
        <v>4659.7250000000013</v>
      </c>
      <c r="L65" s="43">
        <f>-L57*3-L56*2</f>
        <v>2172.2749999999996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271</v>
      </c>
      <c r="B66" s="61">
        <v>28</v>
      </c>
      <c r="C66" s="21">
        <f>D66/I54*B66</f>
        <v>572.68749999999886</v>
      </c>
      <c r="D66" s="43">
        <f>G52*L51</f>
        <v>458.14999999999907</v>
      </c>
      <c r="E66" s="22">
        <f>D66/D67</f>
        <v>4.9551425218609127E-2</v>
      </c>
      <c r="F66" s="21">
        <f>I66+C66</f>
        <v>572.68749999999886</v>
      </c>
      <c r="G66" s="21">
        <v>0</v>
      </c>
      <c r="H66" s="22">
        <v>0</v>
      </c>
      <c r="I66" s="21">
        <v>0</v>
      </c>
      <c r="J66" s="43">
        <f t="shared" si="9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9497.6874999999982</v>
      </c>
      <c r="D67" s="43">
        <f t="shared" si="17"/>
        <v>9245.9500000000007</v>
      </c>
      <c r="E67" s="22">
        <f t="shared" si="17"/>
        <v>1</v>
      </c>
      <c r="F67" s="62">
        <f t="shared" si="17"/>
        <v>9497.6874999999982</v>
      </c>
      <c r="G67" s="21">
        <f t="shared" si="17"/>
        <v>15214.850000000002</v>
      </c>
      <c r="H67" s="22">
        <f t="shared" si="17"/>
        <v>1</v>
      </c>
      <c r="I67" s="21">
        <f>SUM(I56:I66)</f>
        <v>1.1368683772161603E-13</v>
      </c>
      <c r="J67" s="43">
        <f t="shared" si="9"/>
        <v>6409.2000000000007</v>
      </c>
      <c r="K67" s="21">
        <f>SUM(K56:K66)</f>
        <v>4082.400000000001</v>
      </c>
      <c r="L67" s="21">
        <f>SUM(L56:L66)</f>
        <v>2326.7999999999993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1.5641025641025643</v>
      </c>
      <c r="J69" s="1"/>
      <c r="K69" s="24">
        <f>D59-D62/4</f>
        <v>6.6499999999999773</v>
      </c>
      <c r="L69" s="1"/>
      <c r="M69" s="1">
        <f>D59*4</f>
        <v>1190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" t="s">
        <v>116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272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273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12862540.130208338</v>
      </c>
      <c r="I91" s="109">
        <f>E6*(1-I6)/D13*N50*20*1000/3600</f>
        <v>59921.399305555555</v>
      </c>
      <c r="J91" s="109">
        <f>(K60/D13*C108+K59/D13*C107+K58/D13*C106+K57/D13*C105)*1000/3600*1000</f>
        <v>-4151399.5659722229</v>
      </c>
      <c r="K91" s="109">
        <f>(L56/D13*C109+L57/D13*C110)*1000/3600*1000</f>
        <v>-3439272.5694444436</v>
      </c>
      <c r="L91" s="21">
        <v>0</v>
      </c>
      <c r="M91" s="21">
        <f>H91+I91+J91+K91</f>
        <v>5331789.3940972276</v>
      </c>
      <c r="N91" s="80"/>
      <c r="O91" s="1"/>
      <c r="P91" s="1"/>
      <c r="Q91" s="1"/>
    </row>
    <row r="92" spans="1:17" ht="15.75" customHeight="1" thickTop="1" thickBot="1">
      <c r="A92" s="20" t="s">
        <v>274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275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276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916.44850925223113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277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278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279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280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281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282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283</v>
      </c>
      <c r="B102" s="104">
        <f>B91*E56+B92*E57+B93*E58+B94*E59+B95*E60+B96*E61+B97*E62+B98*E63+B99*E64+B100*E65+B101*E66</f>
        <v>38.574432373093089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284</v>
      </c>
      <c r="B103" s="105">
        <f>B91*H56+B92*H57+B93*H58+B94*H59+B95*H60+B96*H61+B97*H62+B98*H63+B99*H64+B100*H65+B101*H66</f>
        <v>30.835270410158497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91" workbookViewId="0">
      <selection activeCell="H91" sqref="H91"/>
    </sheetView>
  </sheetViews>
  <sheetFormatPr defaultColWidth="12.5703125" defaultRowHeight="15" customHeight="1"/>
  <cols>
    <col min="1" max="6" width="12.5703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2</v>
      </c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9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11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15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17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-7.3499999999999091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36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6.8571428571428575E-2</v>
      </c>
      <c r="F18" s="21">
        <f t="shared" ref="F18:F26" si="0">C18+I18</f>
        <v>5.2499999999998863</v>
      </c>
      <c r="G18" s="22">
        <f>-O16</f>
        <v>7.3499999999999091</v>
      </c>
      <c r="H18" s="22">
        <f>G18/G27</f>
        <v>5.9308630817893522E-4</v>
      </c>
      <c r="I18" s="21">
        <f>J18/D13*B18</f>
        <v>-594.75000000000011</v>
      </c>
      <c r="J18" s="21">
        <f>G18-D18</f>
        <v>-832.65000000000009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38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40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3.4285714285714284E-3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42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44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46</v>
      </c>
      <c r="B23" s="15">
        <v>32</v>
      </c>
      <c r="C23" s="21">
        <f>D23/D13*B23</f>
        <v>3360</v>
      </c>
      <c r="D23" s="21">
        <f>F29*E7*I7*2</f>
        <v>2352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-3360</v>
      </c>
      <c r="J23" s="21">
        <f>J22*8+J21*6.5+J20*5+J19*3.5+J18*2</f>
        <v>-2352</v>
      </c>
      <c r="K23" s="7"/>
      <c r="L23" s="29" t="s">
        <v>47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-14.699999999999818</v>
      </c>
      <c r="Q23" s="24"/>
      <c r="R23" s="24"/>
      <c r="S23" s="1"/>
    </row>
    <row r="24" spans="1:19" ht="15.75" customHeight="1">
      <c r="A24" s="20" t="s">
        <v>48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2450.2500000000005</v>
      </c>
      <c r="G24" s="21">
        <f t="shared" si="3"/>
        <v>1247.4000000000001</v>
      </c>
      <c r="H24" s="22">
        <f>G24/G27</f>
        <v>0.10065521915951198</v>
      </c>
      <c r="I24" s="21">
        <f>J24/D13*B24</f>
        <v>2450.2500000000005</v>
      </c>
      <c r="J24" s="21">
        <f>-J22*5+(-J21*4)+(-J20*3)+(-J19*2)+(-J18*1)</f>
        <v>1247.4000000000001</v>
      </c>
      <c r="K24" s="7"/>
      <c r="L24" s="31" t="s">
        <v>49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50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1775.2500000000002</v>
      </c>
      <c r="G25" s="21">
        <f t="shared" si="3"/>
        <v>2209.2000000000003</v>
      </c>
      <c r="H25" s="22">
        <f>G25/G27</f>
        <v>0.17826479891549932</v>
      </c>
      <c r="I25" s="21">
        <f>J25/D13*B25</f>
        <v>1775.2500000000002</v>
      </c>
      <c r="J25" s="21">
        <f>-J22*6+(-J21*5)+(-J20*4)+(-J19*3)+(-J18*2)</f>
        <v>2209.2000000000003</v>
      </c>
      <c r="K25" s="7"/>
      <c r="L25" s="31" t="s">
        <v>51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52</v>
      </c>
      <c r="B26" s="15">
        <v>28</v>
      </c>
      <c r="C26" s="25">
        <f>D26/D13*B26</f>
        <v>11161.062500000002</v>
      </c>
      <c r="D26" s="21">
        <f>D23*79/21+F29*(1-E7-E8-E9-E10-E11)</f>
        <v>8928.85</v>
      </c>
      <c r="E26" s="32">
        <f>D26/D27</f>
        <v>0.72888571428571436</v>
      </c>
      <c r="F26" s="25">
        <f t="shared" si="0"/>
        <v>11161.062500000002</v>
      </c>
      <c r="G26" s="21">
        <f t="shared" si="3"/>
        <v>8928.85</v>
      </c>
      <c r="H26" s="32">
        <f>G26/G27</f>
        <v>0.72048689561680967</v>
      </c>
      <c r="I26" s="25">
        <f>J26/D13*B26</f>
        <v>0</v>
      </c>
      <c r="J26" s="21">
        <v>0</v>
      </c>
      <c r="K26" s="1"/>
      <c r="L26" s="31" t="s">
        <v>53</v>
      </c>
      <c r="M26" s="1">
        <v>0</v>
      </c>
      <c r="N26" s="1">
        <f>M26/D13*B26</f>
        <v>0</v>
      </c>
      <c r="O26" s="24">
        <f t="shared" si="4"/>
        <v>8928.85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15391.812500000002</v>
      </c>
      <c r="D27" s="27">
        <f t="shared" si="5"/>
        <v>12250</v>
      </c>
      <c r="E27" s="34">
        <f t="shared" si="5"/>
        <v>1</v>
      </c>
      <c r="F27" s="28">
        <f t="shared" si="5"/>
        <v>15391.812500000004</v>
      </c>
      <c r="G27" s="27">
        <f t="shared" si="5"/>
        <v>12392.800000000001</v>
      </c>
      <c r="H27" s="34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12402.25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36">
        <f>-(D63+K63)</f>
        <v>-4.5474735088646412E-13</v>
      </c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ht="15.75" customHeight="1">
      <c r="A32" s="20" t="s">
        <v>62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63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65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66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70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2061335.7031250005</v>
      </c>
      <c r="G36" s="46">
        <f>(J22*C45/1+J21*C46/1+J20*C47/1+J19*C48/1+J18*C49/1)/22.4*(1000/3600)*1000</f>
        <v>11767458.593750004</v>
      </c>
      <c r="H36" s="47">
        <f>F36+G36</f>
        <v>13828794.296875004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72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73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74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75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76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77</v>
      </c>
      <c r="B43" s="47">
        <f>B32*H18+B33*H19+B34*H20+B35*H21+B36*H22+B37*H23+B38*H24+B39*H25+B40*H26</f>
        <v>30.729783664708538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5950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13.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100</v>
      </c>
      <c r="B56" s="61">
        <v>16</v>
      </c>
      <c r="C56" s="21">
        <f>D56/I54*B56</f>
        <v>3405.2500000000005</v>
      </c>
      <c r="D56" s="43">
        <f>G52*L46+G18</f>
        <v>4767.3500000000004</v>
      </c>
      <c r="E56" s="22">
        <f>D56/D67</f>
        <v>0.50641335464921744</v>
      </c>
      <c r="F56" s="21">
        <f t="shared" ref="F56:G56" si="7">C56+I56</f>
        <v>2615.0000000000005</v>
      </c>
      <c r="G56" s="21">
        <f t="shared" si="7"/>
        <v>3661.0000000000005</v>
      </c>
      <c r="H56" s="22">
        <f>G56/G67</f>
        <v>0.23044215813707566</v>
      </c>
      <c r="I56" s="21">
        <f>J56/I54*B56</f>
        <v>-790.25</v>
      </c>
      <c r="J56" s="43">
        <f t="shared" ref="J56:J66" si="8">SUM(K56:M56)</f>
        <v>-1106.3499999999999</v>
      </c>
      <c r="K56" s="43"/>
      <c r="L56" s="43">
        <v>-1106.3499999999999</v>
      </c>
      <c r="M56" s="43"/>
      <c r="N56" s="1"/>
      <c r="O56" s="1"/>
      <c r="P56" s="1"/>
      <c r="Q56" s="24"/>
    </row>
    <row r="57" spans="1:17" ht="15.75" customHeight="1">
      <c r="A57" s="20" t="s">
        <v>101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1.8961222441164442E-2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-239.06250000000003</v>
      </c>
      <c r="J57" s="43">
        <f t="shared" si="8"/>
        <v>-178.5</v>
      </c>
      <c r="K57" s="43">
        <f>-215.95/2</f>
        <v>-107.97499999999999</v>
      </c>
      <c r="L57" s="43">
        <f>-D57-K57</f>
        <v>-70.525000000000006</v>
      </c>
      <c r="M57" s="43"/>
      <c r="N57" s="1"/>
      <c r="O57" s="1"/>
      <c r="P57" s="1"/>
      <c r="Q57" s="24"/>
    </row>
    <row r="58" spans="1:17" ht="15.75" customHeight="1">
      <c r="A58" s="20" t="s">
        <v>102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2.5281629921552588E-2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-467.5</v>
      </c>
      <c r="J58" s="43">
        <f t="shared" si="8"/>
        <v>-238</v>
      </c>
      <c r="K58" s="43">
        <f>-D58</f>
        <v>-238</v>
      </c>
      <c r="L58" s="43"/>
      <c r="M58" s="43"/>
      <c r="N58" s="1"/>
      <c r="O58" s="1"/>
      <c r="P58" s="1"/>
      <c r="Q58" s="24"/>
    </row>
    <row r="59" spans="1:17" ht="15.75" customHeight="1">
      <c r="A59" s="20" t="s">
        <v>103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3.1602037401940737E-2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-770.3125</v>
      </c>
      <c r="J59" s="43">
        <f t="shared" si="8"/>
        <v>-297.5</v>
      </c>
      <c r="K59" s="43">
        <f>-D59</f>
        <v>-297.5</v>
      </c>
      <c r="L59" s="43"/>
      <c r="M59" s="43"/>
      <c r="N59" s="1"/>
      <c r="O59" s="1"/>
      <c r="P59" s="24">
        <f>D63+K60*5</f>
        <v>2119.9500000000003</v>
      </c>
      <c r="Q59" s="24"/>
    </row>
    <row r="60" spans="1:17" ht="15.75" customHeight="1">
      <c r="A60" s="20" t="s">
        <v>104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1.8961222441164442E-3</v>
      </c>
      <c r="F60" s="21">
        <f t="shared" ref="F60:F65" si="12">C60+I60</f>
        <v>0</v>
      </c>
      <c r="G60" s="21">
        <f>D60+L60</f>
        <v>17.850000000000001</v>
      </c>
      <c r="H60" s="22">
        <f>G60/G67</f>
        <v>1.1235707519111719E-3</v>
      </c>
      <c r="I60" s="21">
        <f>J60/I54*B60</f>
        <v>-57.375000000000007</v>
      </c>
      <c r="J60" s="43">
        <f t="shared" si="8"/>
        <v>-17.850000000000001</v>
      </c>
      <c r="K60" s="43">
        <f>-D60</f>
        <v>-17.850000000000001</v>
      </c>
      <c r="L60" s="43"/>
      <c r="M60" s="43"/>
      <c r="N60" s="1"/>
      <c r="O60" s="1"/>
      <c r="P60" s="24">
        <f>P59+K59*4</f>
        <v>929.95000000000027</v>
      </c>
      <c r="Q60" s="24"/>
    </row>
    <row r="61" spans="1:17" ht="15.75" customHeight="1">
      <c r="A61" s="20" t="s">
        <v>105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/>
      <c r="L61" s="43"/>
      <c r="M61" s="43"/>
      <c r="N61" s="1"/>
      <c r="O61" s="1"/>
      <c r="P61" s="24">
        <f>P60+K58*3</f>
        <v>215.95000000000027</v>
      </c>
      <c r="Q61" s="24"/>
    </row>
    <row r="62" spans="1:17" ht="15.75" customHeight="1">
      <c r="A62" s="20" t="s">
        <v>106</v>
      </c>
      <c r="B62" s="61">
        <v>44</v>
      </c>
      <c r="C62" s="21">
        <f>D62/I54*B62</f>
        <v>2450.2500000000005</v>
      </c>
      <c r="D62" s="43">
        <f t="shared" ref="D62:D63" si="13">G24</f>
        <v>1247.4000000000001</v>
      </c>
      <c r="E62" s="22">
        <f>D62/D67</f>
        <v>0.13250548388296093</v>
      </c>
      <c r="F62" s="21">
        <f t="shared" si="12"/>
        <v>0</v>
      </c>
      <c r="G62" s="21">
        <f t="shared" ref="G62:G63" si="14">J62+D62</f>
        <v>0</v>
      </c>
      <c r="H62" s="22">
        <f>G62/G67</f>
        <v>0</v>
      </c>
      <c r="I62" s="21">
        <f>J62/I54*B62</f>
        <v>-2450.25</v>
      </c>
      <c r="J62" s="43">
        <f t="shared" si="8"/>
        <v>-1247.3999999999999</v>
      </c>
      <c r="K62" s="43"/>
      <c r="L62" s="43">
        <f>L57*2+L56</f>
        <v>-1247.3999999999999</v>
      </c>
      <c r="M62" s="43"/>
      <c r="N62" s="1"/>
      <c r="O62" s="1"/>
      <c r="P62" s="1"/>
      <c r="Q62" s="24"/>
    </row>
    <row r="63" spans="1:17" ht="15.75" customHeight="1">
      <c r="A63" s="20" t="s">
        <v>107</v>
      </c>
      <c r="B63" s="61">
        <v>18</v>
      </c>
      <c r="C63" s="21">
        <f>D63/I54*B63</f>
        <v>1775.2500000000002</v>
      </c>
      <c r="D63" s="43">
        <f t="shared" si="13"/>
        <v>2209.2000000000003</v>
      </c>
      <c r="E63" s="22">
        <f>D63/D67</f>
        <v>0.23467301186005876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-1775.25</v>
      </c>
      <c r="J63" s="43">
        <f t="shared" si="8"/>
        <v>-2209.1999999999998</v>
      </c>
      <c r="K63" s="43">
        <f>K60*5+K59*4+K58*3+K57*2+K56</f>
        <v>-2209.1999999999998</v>
      </c>
      <c r="L63" s="43"/>
      <c r="M63" s="43"/>
      <c r="N63" s="1"/>
      <c r="O63" s="1"/>
      <c r="P63" s="1">
        <f>-(D63+K60*5+K59*4+K58*3)/2</f>
        <v>-107.97500000000014</v>
      </c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5880</v>
      </c>
      <c r="G64" s="21">
        <f t="shared" ref="G64:G65" si="16">J64</f>
        <v>4704</v>
      </c>
      <c r="H64" s="22">
        <f>G64/G67</f>
        <v>0.29609393932717937</v>
      </c>
      <c r="I64" s="21">
        <f>J64/I54*B64</f>
        <v>5880</v>
      </c>
      <c r="J64" s="43">
        <f t="shared" si="8"/>
        <v>4704</v>
      </c>
      <c r="K64" s="43">
        <f>-K60*5-K59*4-K58*3-K57*2</f>
        <v>2209.1999999999998</v>
      </c>
      <c r="L64" s="43">
        <f>-L57*4-L56*2</f>
        <v>2494.7999999999997</v>
      </c>
      <c r="M64" s="43"/>
      <c r="N64" s="1"/>
      <c r="O64" s="1"/>
      <c r="P64" s="1"/>
      <c r="Q64" s="24"/>
    </row>
    <row r="65" spans="1:17" ht="15.75" customHeight="1">
      <c r="A65" s="20" t="s">
        <v>109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670</v>
      </c>
      <c r="G65" s="21">
        <f t="shared" si="16"/>
        <v>7504</v>
      </c>
      <c r="H65" s="22">
        <f>G65/G67</f>
        <v>0.47234033178383378</v>
      </c>
      <c r="I65" s="21">
        <f>J65/I54*B65</f>
        <v>670</v>
      </c>
      <c r="J65" s="43">
        <f t="shared" si="8"/>
        <v>7504</v>
      </c>
      <c r="K65" s="43">
        <f>-K60*11-K59*9-K58*7-K57*5</f>
        <v>5079.7250000000004</v>
      </c>
      <c r="L65" s="43">
        <f>-L57*3-L56*2</f>
        <v>2424.2749999999996</v>
      </c>
      <c r="M65" s="43"/>
      <c r="N65" s="1"/>
      <c r="O65" s="1"/>
      <c r="P65" s="1"/>
      <c r="Q65" s="24"/>
    </row>
    <row r="66" spans="1:17" ht="15.75" customHeight="1">
      <c r="A66" s="20" t="s">
        <v>110</v>
      </c>
      <c r="B66" s="61">
        <v>28</v>
      </c>
      <c r="C66" s="21">
        <f>D66/I54*B66</f>
        <v>572.68749999999886</v>
      </c>
      <c r="D66" s="43">
        <f>G52*L51</f>
        <v>458.14999999999907</v>
      </c>
      <c r="E66" s="22">
        <f>D66/D67</f>
        <v>4.8667137598988629E-2</v>
      </c>
      <c r="F66" s="21">
        <f>I66+C66</f>
        <v>572.68749999999886</v>
      </c>
      <c r="G66" s="21">
        <v>0</v>
      </c>
      <c r="H66" s="22">
        <v>0</v>
      </c>
      <c r="I66" s="21">
        <v>0</v>
      </c>
      <c r="J66" s="43">
        <f t="shared" si="8"/>
        <v>0</v>
      </c>
      <c r="K66" s="43"/>
      <c r="L66" s="43"/>
      <c r="M66" s="43"/>
      <c r="N66" s="1"/>
      <c r="O66" s="24">
        <f>D62+L62</f>
        <v>0</v>
      </c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9737.6874999999982</v>
      </c>
      <c r="D67" s="43">
        <f t="shared" si="17"/>
        <v>9413.9500000000007</v>
      </c>
      <c r="E67" s="22">
        <f t="shared" si="17"/>
        <v>1</v>
      </c>
      <c r="F67" s="62">
        <f t="shared" si="17"/>
        <v>9737.6874999999982</v>
      </c>
      <c r="G67" s="21">
        <f t="shared" si="17"/>
        <v>15886.85</v>
      </c>
      <c r="H67" s="22">
        <f t="shared" si="17"/>
        <v>1</v>
      </c>
      <c r="I67" s="21">
        <f>SUM(I56:I66)</f>
        <v>0</v>
      </c>
      <c r="J67" s="21">
        <f>SUM(J56:J66)</f>
        <v>6913.2000000000007</v>
      </c>
      <c r="K67" s="21"/>
      <c r="L67" s="21"/>
      <c r="M67" s="21"/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1.5952380952380953</v>
      </c>
      <c r="J69" s="1"/>
      <c r="K69" s="24">
        <f>D59-D62/4</f>
        <v>-14.350000000000023</v>
      </c>
      <c r="L69" s="1"/>
      <c r="M69" s="1">
        <f>D59*4</f>
        <v>1190</v>
      </c>
      <c r="N69" s="1" t="s">
        <v>112</v>
      </c>
      <c r="O69" s="24">
        <f>D62+L57</f>
        <v>1176.875</v>
      </c>
      <c r="P69" s="1"/>
      <c r="Q69" s="1"/>
    </row>
    <row r="70" spans="1:17" ht="15.75" customHeight="1">
      <c r="A70" s="7"/>
      <c r="B70" s="64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>
        <v>1247</v>
      </c>
      <c r="N70" s="1"/>
      <c r="O70" s="1"/>
      <c r="P70" s="1"/>
      <c r="Q70" s="1"/>
    </row>
    <row r="71" spans="1:17" ht="15.75" customHeight="1">
      <c r="A71" s="66" t="s">
        <v>94</v>
      </c>
      <c r="B71" s="67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67" t="s">
        <v>117</v>
      </c>
      <c r="C72" s="4"/>
      <c r="D72" s="15">
        <v>5</v>
      </c>
      <c r="E72" s="1" t="s">
        <v>116</v>
      </c>
      <c r="F72" s="65">
        <v>5</v>
      </c>
      <c r="G72" s="1">
        <f>D59*4</f>
        <v>1190</v>
      </c>
      <c r="H72" s="1"/>
      <c r="I72" s="1"/>
      <c r="J72" s="1" t="s">
        <v>118</v>
      </c>
      <c r="K72" s="1" t="s">
        <v>119</v>
      </c>
      <c r="L72" s="1"/>
      <c r="M72" s="1"/>
      <c r="N72" s="1"/>
      <c r="O72" s="1"/>
      <c r="P72" s="1"/>
      <c r="Q72" s="1"/>
    </row>
    <row r="73" spans="1:17" ht="15.75" customHeight="1">
      <c r="A73" s="7"/>
      <c r="B73" s="67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>
        <v>2209</v>
      </c>
      <c r="K73" s="1">
        <f>5*D60</f>
        <v>89.25</v>
      </c>
      <c r="L73" s="1" t="s">
        <v>121</v>
      </c>
      <c r="M73" s="1"/>
      <c r="N73" s="1"/>
      <c r="O73" s="1"/>
      <c r="P73" s="1"/>
      <c r="Q73" s="1"/>
    </row>
    <row r="74" spans="1:17" ht="15.75" customHeight="1">
      <c r="A74" s="7"/>
      <c r="B74" s="67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 t="s">
        <v>123</v>
      </c>
      <c r="J74" s="1">
        <f>J73-K73</f>
        <v>2119.75</v>
      </c>
      <c r="K74" s="1">
        <f>D59*4</f>
        <v>1190</v>
      </c>
      <c r="L74" s="1" t="s">
        <v>124</v>
      </c>
      <c r="M74" s="1">
        <f>K74-J74</f>
        <v>-929.75</v>
      </c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24">
        <f>D59-J75</f>
        <v>297.5</v>
      </c>
      <c r="L75" s="1"/>
      <c r="M75" s="1"/>
      <c r="N75" s="1">
        <f>2209-1190</f>
        <v>1019</v>
      </c>
      <c r="O75" s="1"/>
      <c r="P75" s="1"/>
      <c r="Q75" s="1"/>
    </row>
    <row r="76" spans="1:17" ht="15.75" customHeight="1">
      <c r="A76" s="7"/>
      <c r="B76" s="67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 t="s">
        <v>126</v>
      </c>
      <c r="J76" s="1">
        <f>D59*4</f>
        <v>1190</v>
      </c>
      <c r="K76" s="1">
        <f>J73-K73</f>
        <v>2119.75</v>
      </c>
      <c r="L76" s="1" t="s">
        <v>127</v>
      </c>
      <c r="M76" s="1"/>
      <c r="N76" s="1"/>
      <c r="O76" s="1"/>
      <c r="P76" s="1"/>
      <c r="Q76" s="1"/>
    </row>
    <row r="77" spans="1:17" ht="15.75" customHeight="1">
      <c r="A77" s="66" t="s">
        <v>95</v>
      </c>
      <c r="B77" s="67" t="s">
        <v>128</v>
      </c>
      <c r="C77" s="67"/>
      <c r="D77" s="15">
        <v>8</v>
      </c>
      <c r="E77" s="1" t="s">
        <v>116</v>
      </c>
      <c r="F77" s="65">
        <v>8</v>
      </c>
      <c r="G77" s="1"/>
      <c r="H77" s="1"/>
      <c r="I77" s="1" t="s">
        <v>129</v>
      </c>
      <c r="J77" s="1">
        <f>D58*3</f>
        <v>714</v>
      </c>
      <c r="K77" s="68">
        <f>2209-1190</f>
        <v>1019</v>
      </c>
      <c r="L77" s="69" t="s">
        <v>127</v>
      </c>
      <c r="M77" s="24">
        <f>K77-J77</f>
        <v>305</v>
      </c>
      <c r="N77" s="1"/>
      <c r="O77" s="1"/>
      <c r="P77" s="1"/>
      <c r="Q77" s="1"/>
    </row>
    <row r="78" spans="1:17" ht="15.75" customHeight="1">
      <c r="A78" s="7"/>
      <c r="B78" s="64" t="s">
        <v>130</v>
      </c>
      <c r="C78" s="67"/>
      <c r="D78" s="15">
        <v>6</v>
      </c>
      <c r="E78" s="1" t="s">
        <v>114</v>
      </c>
      <c r="F78" s="65">
        <v>6</v>
      </c>
      <c r="G78" s="1"/>
      <c r="H78" s="1"/>
      <c r="I78" s="1" t="s">
        <v>131</v>
      </c>
      <c r="J78" s="1">
        <f>D57*2</f>
        <v>357</v>
      </c>
      <c r="K78" s="70">
        <f>K77-J77</f>
        <v>305</v>
      </c>
      <c r="L78" s="23" t="s">
        <v>124</v>
      </c>
      <c r="M78" s="24"/>
      <c r="N78" s="1"/>
      <c r="O78" s="1"/>
      <c r="P78" s="1"/>
      <c r="Q78" s="1"/>
    </row>
    <row r="79" spans="1:17" ht="15.75" customHeight="1">
      <c r="A79" s="7"/>
      <c r="B79" s="64" t="s">
        <v>132</v>
      </c>
      <c r="C79" s="67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64" t="s">
        <v>133</v>
      </c>
      <c r="C80" s="67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64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141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148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13828794.296875004</v>
      </c>
      <c r="I91" s="109">
        <f>E6*(1-I6)/D13*N50*20*1000/3600</f>
        <v>59921.399305555555</v>
      </c>
      <c r="J91" s="109">
        <f>(K60/D13*C108+K59/D13*C107+K58/D13*C106+K57/D13*C105)*1000/3600*1000</f>
        <v>-4512441.232638889</v>
      </c>
      <c r="K91" s="109">
        <f>(L56/D13*C109+L57/D13*C110)*1000/3600*1000</f>
        <v>-3764532.9861111105</v>
      </c>
      <c r="L91" s="21">
        <v>0</v>
      </c>
      <c r="M91" s="21">
        <f>H91+I91+J91+K91</f>
        <v>5611741.4774305616</v>
      </c>
      <c r="N91" s="80"/>
      <c r="O91" s="1"/>
      <c r="P91" s="1"/>
      <c r="Q91" s="1"/>
    </row>
    <row r="92" spans="1:17" ht="15.75" customHeight="1" thickTop="1" thickBot="1">
      <c r="A92" s="20" t="s">
        <v>149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150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151</v>
      </c>
      <c r="B94" s="43">
        <v>98.49</v>
      </c>
      <c r="C94" s="43">
        <f>-125.77</f>
        <v>-125.77</v>
      </c>
      <c r="D94" s="78">
        <v>15</v>
      </c>
      <c r="E94" s="81" t="s">
        <v>122</v>
      </c>
      <c r="F94" s="7"/>
      <c r="G94" s="7"/>
      <c r="H94" s="82" t="s">
        <v>152</v>
      </c>
      <c r="I94" s="110">
        <f>M91/(G67/D13*1000/3600*B103)</f>
        <v>930.50093959386948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154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20" t="s">
        <v>155</v>
      </c>
      <c r="B96" s="43">
        <v>29.38</v>
      </c>
      <c r="C96" s="43">
        <f>0</f>
        <v>0</v>
      </c>
      <c r="D96" s="78">
        <v>21</v>
      </c>
      <c r="E96" s="81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20" t="s">
        <v>156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20" t="s">
        <v>157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20" t="s">
        <v>108</v>
      </c>
      <c r="B99" s="43">
        <v>29.14</v>
      </c>
      <c r="C99" s="43">
        <v>-110.53</v>
      </c>
      <c r="D99" s="78">
        <v>24</v>
      </c>
      <c r="E99" s="83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20" t="s">
        <v>158</v>
      </c>
      <c r="B100" s="43">
        <v>28.84</v>
      </c>
      <c r="C100" s="43">
        <v>0</v>
      </c>
      <c r="D100" s="78">
        <v>25</v>
      </c>
      <c r="E100" s="83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159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160</v>
      </c>
      <c r="B102" s="104">
        <f>B91*E56+B92*E57+B93*E58+B94*E59+B95*E60+B96*E61+B97*E62+B98*E63+B99*E64+B100*E65+B101*E66</f>
        <v>38.498508383834626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161</v>
      </c>
      <c r="B103" s="105">
        <f>B91*H56+B92*H57+B93*H58+B94*H59+B95*H60+B96*H61+B97*H62+B98*H63+B99*H64+B100*H65+B101*H66</f>
        <v>30.612131039192793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7"/>
      <c r="B106" s="53" t="s">
        <v>164</v>
      </c>
      <c r="C106" s="47">
        <f>3*C99+7*C100-C93-3*C98</f>
        <v>497.75</v>
      </c>
      <c r="D106" s="78">
        <v>35</v>
      </c>
      <c r="E106" s="64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opLeftCell="A59" workbookViewId="0">
      <selection activeCell="B86" sqref="B8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0.2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285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286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287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288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289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-9.7999999999999545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90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290</v>
      </c>
      <c r="B18" s="15">
        <v>16</v>
      </c>
      <c r="C18" s="21">
        <f>D18/D13*B18</f>
        <v>800</v>
      </c>
      <c r="D18" s="21">
        <f>F29*E7</f>
        <v>1120</v>
      </c>
      <c r="E18" s="22">
        <f>D18/D27</f>
        <v>6.8571428571428575E-2</v>
      </c>
      <c r="F18" s="21">
        <f t="shared" ref="F18:F26" si="0">C18+I18</f>
        <v>6.9999999999998863</v>
      </c>
      <c r="G18" s="22">
        <f>-O16</f>
        <v>9.7999999999999545</v>
      </c>
      <c r="H18" s="91">
        <f>G18/G27</f>
        <v>5.9308630817893988E-4</v>
      </c>
      <c r="I18" s="21">
        <f>J18/D13*B18</f>
        <v>-793.00000000000011</v>
      </c>
      <c r="J18" s="21">
        <f>G18-D18</f>
        <v>-1110.2</v>
      </c>
      <c r="K18" s="1"/>
      <c r="L18" s="1" t="s">
        <v>37</v>
      </c>
      <c r="M18" s="23">
        <f t="shared" ref="M18:M22" si="1">-D18</f>
        <v>-1120</v>
      </c>
      <c r="N18" s="1">
        <f>M18/22.4*B18</f>
        <v>-800</v>
      </c>
      <c r="O18" s="24">
        <f>M18+D18</f>
        <v>0</v>
      </c>
      <c r="Q18" s="24"/>
      <c r="R18" s="24"/>
    </row>
    <row r="19" spans="1:19" ht="15.75" customHeight="1">
      <c r="A19" s="20" t="s">
        <v>291</v>
      </c>
      <c r="B19" s="15">
        <v>30</v>
      </c>
      <c r="C19" s="21">
        <f>D19/D13*B19</f>
        <v>56.250000000000007</v>
      </c>
      <c r="D19" s="21">
        <f>F29*E8</f>
        <v>42</v>
      </c>
      <c r="E19" s="22">
        <f>D19/D27</f>
        <v>2.5714285714285717E-3</v>
      </c>
      <c r="F19" s="21">
        <f t="shared" si="0"/>
        <v>0</v>
      </c>
      <c r="G19" s="21">
        <f>D19+(J19)</f>
        <v>0</v>
      </c>
      <c r="H19" s="91">
        <f>G19/G27</f>
        <v>0</v>
      </c>
      <c r="I19" s="21">
        <f>J19/D13*B19</f>
        <v>-56.250000000000007</v>
      </c>
      <c r="J19" s="21">
        <f t="shared" ref="J19:J22" si="2">-D19</f>
        <v>-42</v>
      </c>
      <c r="K19" s="1"/>
      <c r="L19" s="1" t="s">
        <v>39</v>
      </c>
      <c r="M19" s="23">
        <f t="shared" si="1"/>
        <v>-42</v>
      </c>
      <c r="N19" s="1">
        <f>M19/D13*B19</f>
        <v>-56.250000000000007</v>
      </c>
      <c r="O19" s="24">
        <f>J19+D19</f>
        <v>0</v>
      </c>
      <c r="Q19" s="24"/>
      <c r="R19" s="24"/>
    </row>
    <row r="20" spans="1:19" ht="15.75" customHeight="1">
      <c r="A20" s="20" t="s">
        <v>292</v>
      </c>
      <c r="B20" s="15">
        <v>44</v>
      </c>
      <c r="C20" s="21">
        <f>D20/D13*B20</f>
        <v>110</v>
      </c>
      <c r="D20" s="21">
        <f>F29*E9</f>
        <v>56</v>
      </c>
      <c r="E20" s="22">
        <f>D20/D27</f>
        <v>3.4285714285714288E-3</v>
      </c>
      <c r="F20" s="21">
        <f t="shared" si="0"/>
        <v>0</v>
      </c>
      <c r="G20" s="21">
        <f t="shared" ref="G20:G26" si="3">D20+J20</f>
        <v>0</v>
      </c>
      <c r="H20" s="91">
        <f>G20/G27</f>
        <v>0</v>
      </c>
      <c r="I20" s="21">
        <f>J20/D13*B20</f>
        <v>-110</v>
      </c>
      <c r="J20" s="21">
        <f t="shared" si="2"/>
        <v>-56</v>
      </c>
      <c r="K20" s="1"/>
      <c r="L20" s="1" t="s">
        <v>41</v>
      </c>
      <c r="M20" s="23">
        <f t="shared" si="1"/>
        <v>-56</v>
      </c>
      <c r="N20" s="1">
        <f>M20/D13*B20</f>
        <v>-110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293</v>
      </c>
      <c r="B21" s="15">
        <v>58</v>
      </c>
      <c r="C21" s="21">
        <f>D21/D13*B21</f>
        <v>181.25</v>
      </c>
      <c r="D21" s="21">
        <f>F29*E10</f>
        <v>70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91">
        <f>G21/G27</f>
        <v>0</v>
      </c>
      <c r="I21" s="21">
        <f>J21/D13*B21</f>
        <v>-181.25</v>
      </c>
      <c r="J21" s="21">
        <f t="shared" si="2"/>
        <v>-70</v>
      </c>
      <c r="K21" s="1"/>
      <c r="L21" s="4" t="s">
        <v>43</v>
      </c>
      <c r="M21" s="23">
        <f t="shared" si="1"/>
        <v>-70</v>
      </c>
      <c r="N21" s="1">
        <f>M21/D13*B21</f>
        <v>-181.25</v>
      </c>
      <c r="O21" s="23">
        <f t="shared" si="4"/>
        <v>0</v>
      </c>
      <c r="Q21" s="24"/>
      <c r="R21" s="24"/>
    </row>
    <row r="22" spans="1:19" ht="15.75" customHeight="1">
      <c r="A22" s="20" t="s">
        <v>294</v>
      </c>
      <c r="B22" s="15">
        <v>72</v>
      </c>
      <c r="C22" s="21">
        <f>D22/D13*B22</f>
        <v>13.500000000000002</v>
      </c>
      <c r="D22" s="21">
        <f>F29*E11</f>
        <v>4.2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91">
        <f>G22/G27</f>
        <v>0</v>
      </c>
      <c r="I22" s="21">
        <f>J22/D13*B22</f>
        <v>-13.500000000000002</v>
      </c>
      <c r="J22" s="21">
        <f t="shared" si="2"/>
        <v>-4.2</v>
      </c>
      <c r="K22" s="7"/>
      <c r="L22" s="26" t="s">
        <v>45</v>
      </c>
      <c r="M22" s="23">
        <f t="shared" si="1"/>
        <v>-4.2</v>
      </c>
      <c r="N22" s="1">
        <f>M22/D13*B22</f>
        <v>-13.500000000000002</v>
      </c>
      <c r="O22" s="23">
        <f t="shared" si="4"/>
        <v>0</v>
      </c>
      <c r="R22" s="24"/>
      <c r="S22" s="1"/>
    </row>
    <row r="23" spans="1:19" ht="15.75" customHeight="1">
      <c r="A23" s="20" t="s">
        <v>295</v>
      </c>
      <c r="B23" s="15">
        <v>32</v>
      </c>
      <c r="C23" s="21">
        <f>D23/D13*B23</f>
        <v>4480</v>
      </c>
      <c r="D23" s="21">
        <f>F29*E7*I7*2</f>
        <v>3136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91">
        <f>G23/G27</f>
        <v>0</v>
      </c>
      <c r="I23" s="21">
        <f>J23/D13*B23</f>
        <v>-4480</v>
      </c>
      <c r="J23" s="21">
        <f>J22*8+J21*6.5+J20*5+J19*3.5+J18*2</f>
        <v>-3136</v>
      </c>
      <c r="K23" s="7"/>
      <c r="L23" s="29" t="s">
        <v>296</v>
      </c>
      <c r="M23" s="1">
        <f>(M22*8+M21*6.5+M20*5+M19*3.5+M18*2)</f>
        <v>-3155.6</v>
      </c>
      <c r="N23" s="1">
        <f>M23/D13*B23</f>
        <v>-4508</v>
      </c>
      <c r="O23" s="30">
        <f t="shared" si="4"/>
        <v>-19.599999999999909</v>
      </c>
      <c r="Q23" s="24"/>
      <c r="R23" s="24"/>
      <c r="S23" s="1"/>
    </row>
    <row r="24" spans="1:19" ht="15.75" customHeight="1">
      <c r="A24" s="20" t="s">
        <v>297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3267</v>
      </c>
      <c r="G24" s="21">
        <f t="shared" si="3"/>
        <v>1663.2</v>
      </c>
      <c r="H24" s="91">
        <f>G24/G27</f>
        <v>0.10065521915951198</v>
      </c>
      <c r="I24" s="21">
        <f>J24/D13*B24</f>
        <v>3267</v>
      </c>
      <c r="J24" s="21">
        <f>-J22*5+(-J21*4)+(-J20*3)+(-J19*2)+(-J18*1)</f>
        <v>1663.2</v>
      </c>
      <c r="K24" s="7"/>
      <c r="L24" s="31" t="s">
        <v>298</v>
      </c>
      <c r="M24" s="23">
        <f>-(M22*8+M21*4+M20*3+M19*2+M18)</f>
        <v>1685.6</v>
      </c>
      <c r="N24" s="1">
        <f>M24/D13*B24</f>
        <v>3311</v>
      </c>
      <c r="O24" s="23">
        <f t="shared" si="4"/>
        <v>1685.6</v>
      </c>
      <c r="Q24" s="24"/>
      <c r="R24" s="24"/>
      <c r="S24" s="1"/>
    </row>
    <row r="25" spans="1:19" ht="15.75" customHeight="1">
      <c r="A25" s="20" t="s">
        <v>299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2367.0000000000005</v>
      </c>
      <c r="G25" s="21">
        <f t="shared" si="3"/>
        <v>2945.6000000000004</v>
      </c>
      <c r="H25" s="91">
        <f>G25/G27</f>
        <v>0.17826479891549935</v>
      </c>
      <c r="I25" s="21">
        <f>J25/D13*B25</f>
        <v>2367.0000000000005</v>
      </c>
      <c r="J25" s="21">
        <f>-J22*6+(-J21*5)+(-J20*4)+(-J19*3)+(-J18*2)</f>
        <v>2945.6000000000004</v>
      </c>
      <c r="K25" s="7"/>
      <c r="L25" s="31" t="s">
        <v>300</v>
      </c>
      <c r="M25" s="1">
        <f>-(M22*6+M21*5+M20*4+M19*3+M18*2)</f>
        <v>2965.2</v>
      </c>
      <c r="N25" s="1">
        <f>M25/D13*B25</f>
        <v>2382.75</v>
      </c>
      <c r="O25" s="23">
        <f t="shared" si="4"/>
        <v>2965.2</v>
      </c>
      <c r="Q25" s="24"/>
      <c r="R25" s="24"/>
      <c r="S25" s="1"/>
    </row>
    <row r="26" spans="1:19" ht="15.75" customHeight="1">
      <c r="A26" s="20" t="s">
        <v>301</v>
      </c>
      <c r="B26" s="15">
        <v>28</v>
      </c>
      <c r="C26" s="25">
        <f>D26/D13*B26</f>
        <v>14881.416666666668</v>
      </c>
      <c r="D26" s="21">
        <f>D23*79/21+F29*(1-E7-E8-E9-E10-E11)</f>
        <v>11905.133333333333</v>
      </c>
      <c r="E26" s="32">
        <f>D26/D27</f>
        <v>0.72888571428571436</v>
      </c>
      <c r="F26" s="25">
        <f t="shared" si="0"/>
        <v>14881.416666666668</v>
      </c>
      <c r="G26" s="21">
        <f t="shared" si="3"/>
        <v>11905.133333333333</v>
      </c>
      <c r="H26" s="92">
        <f>G26/G27</f>
        <v>0.72048689561680979</v>
      </c>
      <c r="I26" s="25">
        <f>J26/D13*B26</f>
        <v>0</v>
      </c>
      <c r="J26" s="21">
        <v>0</v>
      </c>
      <c r="K26" s="1"/>
      <c r="L26" s="31" t="s">
        <v>302</v>
      </c>
      <c r="M26" s="1">
        <v>0</v>
      </c>
      <c r="N26" s="1">
        <f>M26/D13*B26</f>
        <v>0</v>
      </c>
      <c r="O26" s="24">
        <f t="shared" si="4"/>
        <v>11905.133333333333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20522.416666666668</v>
      </c>
      <c r="D27" s="27">
        <f t="shared" si="5"/>
        <v>16333.333333333332</v>
      </c>
      <c r="E27" s="47">
        <f t="shared" si="5"/>
        <v>1</v>
      </c>
      <c r="F27" s="28">
        <f t="shared" si="5"/>
        <v>20522.416666666668</v>
      </c>
      <c r="G27" s="27">
        <f t="shared" si="5"/>
        <v>16523.733333333334</v>
      </c>
      <c r="H27" s="93">
        <f t="shared" si="5"/>
        <v>1</v>
      </c>
      <c r="I27" s="28">
        <f t="shared" si="5"/>
        <v>4.5474735088646412E-13</v>
      </c>
      <c r="J27" s="21">
        <f t="shared" si="5"/>
        <v>190.40000000000055</v>
      </c>
      <c r="K27" s="1"/>
      <c r="L27" s="1"/>
      <c r="M27" s="35"/>
      <c r="N27" s="1">
        <f t="shared" ref="N27:O27" si="6">SUM(N18:N26)</f>
        <v>24.75</v>
      </c>
      <c r="O27" s="24">
        <f t="shared" si="6"/>
        <v>16536.333333333332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1400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303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305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306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307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308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309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2748447.604166667</v>
      </c>
      <c r="G36" s="46">
        <f>(J22*C45/1+J21*C46/1+J20*C47/1+J19*C48/1+J18*C49/1)/22.4*(1000/3600)*1000</f>
        <v>15689944.791666668</v>
      </c>
      <c r="H36" s="47">
        <f>F36+G36</f>
        <v>18438392.395833336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310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311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312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313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314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315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5600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316</v>
      </c>
      <c r="B56" s="61">
        <v>16</v>
      </c>
      <c r="C56" s="21">
        <f>D56/I54*B56</f>
        <v>3207.0000000000005</v>
      </c>
      <c r="D56" s="43">
        <f>G52*L46+G18</f>
        <v>4489.8</v>
      </c>
      <c r="E56" s="22">
        <f>D56/D67</f>
        <v>0.43937525688450474</v>
      </c>
      <c r="F56" s="21">
        <f t="shared" ref="F56:G66" si="7">C56+I56</f>
        <v>1495.0000000000002</v>
      </c>
      <c r="G56" s="21">
        <f t="shared" si="7"/>
        <v>2093</v>
      </c>
      <c r="H56" s="22">
        <f>G56/G67</f>
        <v>0.10768565871929697</v>
      </c>
      <c r="I56" s="21">
        <f>J56/I54*B56</f>
        <v>-1712.0000000000002</v>
      </c>
      <c r="J56" s="43">
        <f>SUM(K56:M56)</f>
        <v>-2396.8000000000002</v>
      </c>
      <c r="K56" s="43">
        <v>-733.6</v>
      </c>
      <c r="L56" s="43">
        <v>-1663.2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317</v>
      </c>
      <c r="B57" s="61">
        <v>30</v>
      </c>
      <c r="C57" s="21">
        <f>D57/I54*B57</f>
        <v>225.00000000000003</v>
      </c>
      <c r="D57" s="43">
        <f>G52*L47</f>
        <v>168</v>
      </c>
      <c r="E57" s="22">
        <f>D57/D67</f>
        <v>1.6440608302507192E-2</v>
      </c>
      <c r="F57" s="21">
        <f t="shared" ref="F57" si="8">C57+I57</f>
        <v>0</v>
      </c>
      <c r="G57" s="21">
        <f t="shared" si="7"/>
        <v>0</v>
      </c>
      <c r="H57" s="22">
        <f>G57/G67</f>
        <v>0</v>
      </c>
      <c r="I57" s="21">
        <f>J57/I54*B57</f>
        <v>-225.00000000000003</v>
      </c>
      <c r="J57" s="43">
        <f t="shared" ref="J57:J66" si="9">SUM(K57:M57)</f>
        <v>-168</v>
      </c>
      <c r="K57" s="43">
        <f>-D57</f>
        <v>-168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318</v>
      </c>
      <c r="B58" s="61">
        <v>44</v>
      </c>
      <c r="C58" s="21">
        <f>D58/I54*B58</f>
        <v>440</v>
      </c>
      <c r="D58" s="43">
        <f>G52*L48</f>
        <v>224</v>
      </c>
      <c r="E58" s="22">
        <f>D58/D67</f>
        <v>2.192081107000959E-2</v>
      </c>
      <c r="F58" s="21">
        <f t="shared" ref="F58" si="10">C58+I58</f>
        <v>0</v>
      </c>
      <c r="G58" s="21">
        <f t="shared" si="7"/>
        <v>0</v>
      </c>
      <c r="H58" s="22">
        <f>G58/G67</f>
        <v>0</v>
      </c>
      <c r="I58" s="21">
        <f>J58/I54*B58</f>
        <v>-440</v>
      </c>
      <c r="J58" s="43">
        <f t="shared" si="9"/>
        <v>-224</v>
      </c>
      <c r="K58" s="43">
        <f>-D58</f>
        <v>-224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319</v>
      </c>
      <c r="B59" s="61">
        <v>58</v>
      </c>
      <c r="C59" s="21">
        <f>D59/I54*B59</f>
        <v>725</v>
      </c>
      <c r="D59" s="43">
        <f>G52*L49</f>
        <v>280</v>
      </c>
      <c r="E59" s="22">
        <f>D59/D67</f>
        <v>2.7401013837511989E-2</v>
      </c>
      <c r="F59" s="21">
        <f t="shared" ref="F59" si="11">C59+I59</f>
        <v>0</v>
      </c>
      <c r="G59" s="21">
        <f t="shared" si="7"/>
        <v>0</v>
      </c>
      <c r="H59" s="22">
        <f>G59/G67</f>
        <v>0</v>
      </c>
      <c r="I59" s="21">
        <f>J59/I54*B59</f>
        <v>-725</v>
      </c>
      <c r="J59" s="43">
        <f t="shared" si="9"/>
        <v>-280</v>
      </c>
      <c r="K59" s="43">
        <f>-D59</f>
        <v>-280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320</v>
      </c>
      <c r="B60" s="61">
        <v>72</v>
      </c>
      <c r="C60" s="21">
        <f>D60/I54*B60</f>
        <v>54.000000000000007</v>
      </c>
      <c r="D60" s="43">
        <f>G52*L50</f>
        <v>16.8</v>
      </c>
      <c r="E60" s="22">
        <f>D60/D67</f>
        <v>1.6440608302507192E-3</v>
      </c>
      <c r="F60" s="21">
        <f t="shared" ref="F60:F65" si="12">C60+I60</f>
        <v>0</v>
      </c>
      <c r="G60" s="21">
        <f t="shared" si="7"/>
        <v>0</v>
      </c>
      <c r="H60" s="22">
        <f>G60/G67</f>
        <v>0</v>
      </c>
      <c r="I60" s="21">
        <f>J60/I54*B60</f>
        <v>-54.000000000000007</v>
      </c>
      <c r="J60" s="43">
        <f t="shared" si="9"/>
        <v>-16.8</v>
      </c>
      <c r="K60" s="43">
        <f>-D60</f>
        <v>-16.8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321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 t="shared" si="7"/>
        <v>0</v>
      </c>
      <c r="H61" s="22">
        <f>G61/G67</f>
        <v>0</v>
      </c>
      <c r="I61" s="21">
        <f>0</f>
        <v>0</v>
      </c>
      <c r="J61" s="43">
        <f>SUM(K61:M61)</f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322</v>
      </c>
      <c r="B62" s="61">
        <v>44</v>
      </c>
      <c r="C62" s="21">
        <f>D62/I54*B62</f>
        <v>3267</v>
      </c>
      <c r="D62" s="43">
        <f t="shared" ref="D62:D63" si="13">G24</f>
        <v>1663.2</v>
      </c>
      <c r="E62" s="22">
        <f>D62/D67</f>
        <v>0.16276202219482122</v>
      </c>
      <c r="F62" s="21">
        <f t="shared" si="12"/>
        <v>0</v>
      </c>
      <c r="G62" s="21">
        <f t="shared" si="7"/>
        <v>0</v>
      </c>
      <c r="H62" s="22">
        <f>G62/G67</f>
        <v>0</v>
      </c>
      <c r="I62" s="21">
        <f>J62/I54*B62</f>
        <v>-3267</v>
      </c>
      <c r="J62" s="43">
        <f t="shared" si="9"/>
        <v>-1663.2</v>
      </c>
      <c r="K62" s="43">
        <v>0</v>
      </c>
      <c r="L62" s="43">
        <f>L56</f>
        <v>-1663.2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323</v>
      </c>
      <c r="B63" s="61">
        <v>18</v>
      </c>
      <c r="C63" s="21">
        <f>D63/I54*B63</f>
        <v>2367.0000000000005</v>
      </c>
      <c r="D63" s="43">
        <f t="shared" si="13"/>
        <v>2945.6000000000004</v>
      </c>
      <c r="E63" s="22">
        <f>D63/D67</f>
        <v>0.28825866557062613</v>
      </c>
      <c r="F63" s="21">
        <f t="shared" si="12"/>
        <v>0</v>
      </c>
      <c r="G63" s="21">
        <f t="shared" si="7"/>
        <v>0</v>
      </c>
      <c r="H63" s="22">
        <f>G63/G67</f>
        <v>0</v>
      </c>
      <c r="I63" s="21">
        <f>J63/I54*B63</f>
        <v>-2367</v>
      </c>
      <c r="J63" s="43">
        <f t="shared" si="9"/>
        <v>-2945.6</v>
      </c>
      <c r="K63" s="43">
        <f>K60*5+K59*4+K58*3+K57*2+K56</f>
        <v>-2945.6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4">D64</f>
        <v>0</v>
      </c>
      <c r="F64" s="21">
        <f t="shared" si="12"/>
        <v>7840</v>
      </c>
      <c r="G64" s="21">
        <f t="shared" si="7"/>
        <v>6272</v>
      </c>
      <c r="H64" s="22">
        <f>G64/G67</f>
        <v>0.3226968234531441</v>
      </c>
      <c r="I64" s="21">
        <f>J64/I54*B64</f>
        <v>7840</v>
      </c>
      <c r="J64" s="43">
        <f t="shared" si="9"/>
        <v>6272</v>
      </c>
      <c r="K64" s="43">
        <f>-K60*5-K59*4-K58*3-K57*2-K56</f>
        <v>2945.6</v>
      </c>
      <c r="L64" s="43">
        <f>-L56*2</f>
        <v>3326.4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324</v>
      </c>
      <c r="B65" s="61">
        <v>2</v>
      </c>
      <c r="C65" s="21">
        <v>0</v>
      </c>
      <c r="D65" s="43">
        <v>0</v>
      </c>
      <c r="E65" s="22">
        <f t="shared" si="14"/>
        <v>0</v>
      </c>
      <c r="F65" s="21">
        <f t="shared" si="12"/>
        <v>950.00000000000011</v>
      </c>
      <c r="G65" s="21">
        <f t="shared" si="7"/>
        <v>10640</v>
      </c>
      <c r="H65" s="22">
        <f>G65/G67</f>
        <v>0.54743211121515523</v>
      </c>
      <c r="I65" s="21">
        <f>J65/I54*B65</f>
        <v>950.00000000000011</v>
      </c>
      <c r="J65" s="43">
        <f t="shared" si="9"/>
        <v>10640</v>
      </c>
      <c r="K65" s="43">
        <f>-K60*11-K59*9-K58*7-K57*5-K56*3</f>
        <v>7313.6</v>
      </c>
      <c r="L65" s="43">
        <f>-L56*2</f>
        <v>3326.4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325</v>
      </c>
      <c r="B66" s="61">
        <v>28</v>
      </c>
      <c r="C66" s="21">
        <f>D66/I54*B66</f>
        <v>538.99999999999886</v>
      </c>
      <c r="D66" s="43">
        <f>G52*L51</f>
        <v>431.19999999999914</v>
      </c>
      <c r="E66" s="22">
        <f>D66/D67</f>
        <v>4.2197561309768372E-2</v>
      </c>
      <c r="F66" s="21">
        <f>I66+C66</f>
        <v>538.99999999999886</v>
      </c>
      <c r="G66" s="21">
        <f t="shared" si="7"/>
        <v>431.19999999999914</v>
      </c>
      <c r="H66" s="22">
        <v>0</v>
      </c>
      <c r="I66" s="21">
        <v>0</v>
      </c>
      <c r="J66" s="43">
        <f t="shared" si="9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5">SUM(C56:C66)</f>
        <v>10823.999999999998</v>
      </c>
      <c r="D67" s="43">
        <f t="shared" si="15"/>
        <v>10218.6</v>
      </c>
      <c r="E67" s="22">
        <f t="shared" si="15"/>
        <v>0.99999999999999989</v>
      </c>
      <c r="F67" s="62">
        <f t="shared" si="15"/>
        <v>10823.999999999998</v>
      </c>
      <c r="G67" s="21">
        <f t="shared" si="15"/>
        <v>19436.2</v>
      </c>
      <c r="H67" s="22">
        <f t="shared" si="15"/>
        <v>0.97781459338759635</v>
      </c>
      <c r="I67" s="21">
        <f>SUM(I56:I66)</f>
        <v>1.1368683772161603E-13</v>
      </c>
      <c r="J67" s="21">
        <f>SUM(J56:J66)</f>
        <v>9217.6</v>
      </c>
      <c r="K67" s="21">
        <f>SUM(K56:K66)</f>
        <v>5891.2000000000007</v>
      </c>
      <c r="L67" s="21">
        <f>SUM(L56:L66)</f>
        <v>3326.4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1.6964285714285714</v>
      </c>
      <c r="J69" s="1"/>
      <c r="K69" s="24">
        <f>D59-D62/4</f>
        <v>-135.80000000000001</v>
      </c>
      <c r="L69" s="1"/>
      <c r="M69" s="1">
        <f>D59*4</f>
        <v>1120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326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327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18438392.395833336</v>
      </c>
      <c r="I91" s="109">
        <f>E6*(1-I6)/D13*N50*20*1000/3600</f>
        <v>56396.611111111124</v>
      </c>
      <c r="J91" s="109">
        <f>(K60/D13*C108+K59/D13*C107+K58/D13*C106+K57/D13*C105+K56/D13*C104)*1000/3600*1000</f>
        <v>-6405415.2777777789</v>
      </c>
      <c r="K91" s="109">
        <f>(L56/D13*C109)*1000/3600*1000</f>
        <v>-5095406.2499999991</v>
      </c>
      <c r="L91" s="21">
        <v>0</v>
      </c>
      <c r="M91" s="21">
        <f>H91+I91+J91+K91</f>
        <v>6993967.4791666688</v>
      </c>
      <c r="N91" s="80"/>
      <c r="O91" s="1"/>
      <c r="P91" s="1"/>
      <c r="Q91" s="1"/>
    </row>
    <row r="92" spans="1:17" ht="15.75" customHeight="1" thickTop="1" thickBot="1">
      <c r="A92" s="20" t="s">
        <v>328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329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330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999.37938098653296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331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332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333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334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335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336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337</v>
      </c>
      <c r="B102" s="104">
        <f>B91*E56+B92*E57+B93*E58+B94*E59+B95*E60+B96*E61+B97*E62+B98*E63+B99*E64+B100*E65+B101*E66</f>
        <v>38.017380463077131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338</v>
      </c>
      <c r="B103" s="105">
        <f>B91*H56+B92*H57+B93*H58+B94*H59+B95*H60+B96*H61+B97*H62+B98*H63+B99*H64+B100*H65+B101*H66</f>
        <v>29.035705539148598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>
        <f>C99+C100*3-C91-C98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827A-B796-4A5E-8520-61561F46929B}">
  <dimension ref="A1:S1000"/>
  <sheetViews>
    <sheetView topLeftCell="A64" workbookViewId="0">
      <selection activeCell="B86" sqref="B86"/>
    </sheetView>
  </sheetViews>
  <sheetFormatPr defaultColWidth="12.5703125" defaultRowHeight="12.7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0.35</v>
      </c>
      <c r="J6" t="s">
        <v>394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7"/>
      <c r="C7" s="11" t="s">
        <v>8</v>
      </c>
      <c r="D7" s="12" t="s">
        <v>9</v>
      </c>
      <c r="E7" s="10">
        <v>0.8</v>
      </c>
      <c r="F7" s="7"/>
      <c r="G7" s="8" t="s">
        <v>10</v>
      </c>
      <c r="H7" s="9"/>
      <c r="I7" s="13">
        <v>1.4</v>
      </c>
      <c r="J7" s="1" t="s">
        <v>392</v>
      </c>
      <c r="K7" s="1"/>
      <c r="L7" s="1"/>
      <c r="M7" s="127"/>
      <c r="N7" s="125"/>
      <c r="O7" s="125"/>
      <c r="P7" s="1"/>
      <c r="Q7" s="1"/>
    </row>
    <row r="8" spans="1:17" ht="15.75" customHeight="1" thickTop="1" thickBot="1">
      <c r="A8" s="1"/>
      <c r="B8" s="1"/>
      <c r="C8" s="7"/>
      <c r="D8" s="12" t="s">
        <v>11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7"/>
      <c r="D9" s="12" t="s">
        <v>13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 thickTop="1" thickBot="1">
      <c r="A10" s="1"/>
      <c r="B10" s="1"/>
      <c r="C10" s="7"/>
      <c r="D10" s="12" t="s">
        <v>15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7"/>
      <c r="D11" s="12" t="s">
        <v>17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 thickTop="1" thickBo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 thickTop="1" thickBo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-17.150000000000091</v>
      </c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1400</v>
      </c>
      <c r="D18" s="21">
        <f>F29*E7</f>
        <v>1960</v>
      </c>
      <c r="E18" s="22">
        <f>D18/D27</f>
        <v>6.8571428571428561E-2</v>
      </c>
      <c r="F18" s="21">
        <f t="shared" ref="F18:G26" si="0">C18+I18</f>
        <v>12.25</v>
      </c>
      <c r="G18" s="94">
        <f>-O16</f>
        <v>17.150000000000091</v>
      </c>
      <c r="H18" s="22">
        <f>G18/G27</f>
        <v>5.9308630817894573E-4</v>
      </c>
      <c r="I18" s="21">
        <f>J18/D13*B18</f>
        <v>-1387.75</v>
      </c>
      <c r="J18" s="21">
        <f>G18-D18</f>
        <v>-1942.85</v>
      </c>
      <c r="K18" s="1"/>
      <c r="L18" s="1" t="s">
        <v>37</v>
      </c>
      <c r="M18" s="23">
        <f t="shared" ref="M18:M22" si="1">-D18</f>
        <v>-1960</v>
      </c>
      <c r="N18" s="1">
        <f>M18/22.4*B18</f>
        <v>-1400</v>
      </c>
      <c r="O18" s="24">
        <f>M18+D18</f>
        <v>0</v>
      </c>
      <c r="Q18" s="24"/>
      <c r="R18" s="24"/>
    </row>
    <row r="19" spans="1:19" ht="15.75" customHeight="1" thickTop="1" thickBot="1">
      <c r="A19" s="20" t="s">
        <v>11</v>
      </c>
      <c r="B19" s="15">
        <v>30</v>
      </c>
      <c r="C19" s="21">
        <f>D19/D13*B19</f>
        <v>98.4375</v>
      </c>
      <c r="D19" s="21">
        <f>F29*E8</f>
        <v>73.5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-98.4375</v>
      </c>
      <c r="J19" s="21">
        <f t="shared" ref="J19:J22" si="2">-D19</f>
        <v>-73.5</v>
      </c>
      <c r="K19" s="1"/>
      <c r="L19" s="1" t="s">
        <v>39</v>
      </c>
      <c r="M19" s="23">
        <f t="shared" si="1"/>
        <v>-73.5</v>
      </c>
      <c r="N19" s="1">
        <f>M19/D13*B19</f>
        <v>-98.4375</v>
      </c>
      <c r="O19" s="24">
        <f>J19+D19</f>
        <v>0</v>
      </c>
      <c r="Q19" s="24"/>
      <c r="R19" s="24"/>
    </row>
    <row r="20" spans="1:19" ht="15.75" customHeight="1" thickTop="1" thickBot="1">
      <c r="A20" s="20" t="s">
        <v>13</v>
      </c>
      <c r="B20" s="15">
        <v>44</v>
      </c>
      <c r="C20" s="21">
        <f>D20/D13*B20</f>
        <v>192.5</v>
      </c>
      <c r="D20" s="21">
        <f>F29*E9</f>
        <v>98</v>
      </c>
      <c r="E20" s="22">
        <f>D20/D27</f>
        <v>3.4285714285714284E-3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-192.5</v>
      </c>
      <c r="J20" s="21">
        <f t="shared" si="2"/>
        <v>-98</v>
      </c>
      <c r="K20" s="1"/>
      <c r="L20" s="1" t="s">
        <v>41</v>
      </c>
      <c r="M20" s="23">
        <f t="shared" si="1"/>
        <v>-98</v>
      </c>
      <c r="N20" s="1">
        <f>M20/D13*B20</f>
        <v>-192.5</v>
      </c>
      <c r="O20" s="23">
        <f t="shared" ref="O20:O26" si="3">M20+D20</f>
        <v>0</v>
      </c>
      <c r="Q20" s="24"/>
      <c r="R20" s="24"/>
      <c r="S20" s="24"/>
    </row>
    <row r="21" spans="1:19" ht="15.75" customHeight="1" thickTop="1" thickBot="1">
      <c r="A21" s="20" t="s">
        <v>15</v>
      </c>
      <c r="B21" s="15">
        <v>58</v>
      </c>
      <c r="C21" s="21">
        <f>D21/D13*B21</f>
        <v>317.1875</v>
      </c>
      <c r="D21" s="21">
        <f>F29*E10</f>
        <v>122.5</v>
      </c>
      <c r="E21" s="22">
        <f>D21/D27</f>
        <v>4.2857142857142851E-3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-317.1875</v>
      </c>
      <c r="J21" s="21">
        <f t="shared" si="2"/>
        <v>-122.5</v>
      </c>
      <c r="K21" s="1"/>
      <c r="L21" s="4" t="s">
        <v>43</v>
      </c>
      <c r="M21" s="23">
        <f t="shared" si="1"/>
        <v>-122.5</v>
      </c>
      <c r="N21" s="1">
        <f>M21/D13*B21</f>
        <v>-317.1875</v>
      </c>
      <c r="O21" s="23">
        <f t="shared" si="3"/>
        <v>0</v>
      </c>
      <c r="Q21" s="24"/>
      <c r="R21" s="24"/>
    </row>
    <row r="22" spans="1:19" ht="15.75" customHeight="1" thickTop="1" thickBot="1">
      <c r="A22" s="20" t="s">
        <v>17</v>
      </c>
      <c r="B22" s="15">
        <v>72</v>
      </c>
      <c r="C22" s="21">
        <f>D22/D13*B22</f>
        <v>23.625000000000004</v>
      </c>
      <c r="D22" s="21">
        <f>F29*E11</f>
        <v>7.3500000000000005</v>
      </c>
      <c r="E22" s="22">
        <f>D22/D27</f>
        <v>2.5714285714285715E-4</v>
      </c>
      <c r="F22" s="21">
        <f t="shared" si="0"/>
        <v>0</v>
      </c>
      <c r="G22" s="25">
        <f t="shared" si="0"/>
        <v>0</v>
      </c>
      <c r="H22" s="22">
        <f>G22/G27</f>
        <v>0</v>
      </c>
      <c r="I22" s="21">
        <f>J22/D13*B22</f>
        <v>-23.625000000000004</v>
      </c>
      <c r="J22" s="21">
        <f t="shared" si="2"/>
        <v>-7.3500000000000005</v>
      </c>
      <c r="K22" s="7"/>
      <c r="L22" s="26" t="s">
        <v>45</v>
      </c>
      <c r="M22" s="23">
        <f t="shared" si="1"/>
        <v>-7.3500000000000005</v>
      </c>
      <c r="N22" s="1">
        <f>M22/D13*B22</f>
        <v>-23.625000000000004</v>
      </c>
      <c r="O22" s="23">
        <f t="shared" si="3"/>
        <v>0</v>
      </c>
      <c r="R22" s="24"/>
      <c r="S22" s="1"/>
    </row>
    <row r="23" spans="1:19" ht="15.75" customHeight="1" thickTop="1" thickBot="1">
      <c r="A23" s="20" t="s">
        <v>46</v>
      </c>
      <c r="B23" s="15">
        <v>32</v>
      </c>
      <c r="C23" s="21">
        <f>D23/D13*B23</f>
        <v>7840.0000000000009</v>
      </c>
      <c r="D23" s="21">
        <f>F29*E7*I7*2</f>
        <v>5488</v>
      </c>
      <c r="E23" s="22">
        <f>D23/D27</f>
        <v>0.19199999999999998</v>
      </c>
      <c r="F23" s="27">
        <f t="shared" si="0"/>
        <v>0</v>
      </c>
      <c r="G23" s="28">
        <f t="shared" si="0"/>
        <v>0</v>
      </c>
      <c r="H23" s="22">
        <f>G23/G27</f>
        <v>0</v>
      </c>
      <c r="I23" s="21">
        <f>J23/D13*B23</f>
        <v>-7840.0000000000009</v>
      </c>
      <c r="J23" s="21">
        <f>J22*8+J21*6.5+J20*5+J19*3.5+J18*2</f>
        <v>-5488</v>
      </c>
      <c r="K23" s="7"/>
      <c r="L23" s="29" t="s">
        <v>47</v>
      </c>
      <c r="M23" s="1">
        <f>(M22*8+M21*6.5+M20*5+M19*3.5+M18*2)</f>
        <v>-5522.3</v>
      </c>
      <c r="N23" s="1">
        <f>M23/D13*B23</f>
        <v>-7889.0000000000009</v>
      </c>
      <c r="O23" s="30">
        <f t="shared" si="3"/>
        <v>-34.300000000000182</v>
      </c>
      <c r="Q23" s="24"/>
      <c r="R23" s="24"/>
      <c r="S23" s="1"/>
    </row>
    <row r="24" spans="1:19" ht="15.75" customHeight="1" thickTop="1" thickBot="1">
      <c r="A24" s="20" t="s">
        <v>48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5717.25</v>
      </c>
      <c r="G24" s="21">
        <f t="shared" si="0"/>
        <v>2910.6</v>
      </c>
      <c r="H24" s="22">
        <f>G24/G27</f>
        <v>0.10065521915951198</v>
      </c>
      <c r="I24" s="21">
        <f>J24/D13*B24</f>
        <v>5717.25</v>
      </c>
      <c r="J24" s="21">
        <f>-J22*5+(-J21*4)+(-J20*3)+(-J19*2)+(-J18*1)</f>
        <v>2910.6</v>
      </c>
      <c r="K24" s="7"/>
      <c r="L24" s="31" t="s">
        <v>49</v>
      </c>
      <c r="M24" s="23">
        <f>-(M22*8+M21*4+M20*3+M19*2+M18)</f>
        <v>2949.8</v>
      </c>
      <c r="N24" s="1">
        <f>M24/D13*B24</f>
        <v>5794.2500000000009</v>
      </c>
      <c r="O24" s="23">
        <f t="shared" si="3"/>
        <v>2949.8</v>
      </c>
      <c r="Q24" s="24"/>
      <c r="R24" s="24"/>
      <c r="S24" s="1"/>
    </row>
    <row r="25" spans="1:19" ht="15.75" customHeight="1" thickTop="1" thickBot="1">
      <c r="A25" s="20" t="s">
        <v>50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4142.2499999999991</v>
      </c>
      <c r="G25" s="21">
        <f t="shared" si="0"/>
        <v>5154.7999999999993</v>
      </c>
      <c r="H25" s="22">
        <f>G25/G27</f>
        <v>0.17826479891549929</v>
      </c>
      <c r="I25" s="21">
        <f>J25/D13*B25</f>
        <v>4142.2499999999991</v>
      </c>
      <c r="J25" s="21">
        <f>-J22*6+(-J21*5)+(-J20*4)+(-J19*3)+(-J18*2)</f>
        <v>5154.7999999999993</v>
      </c>
      <c r="K25" s="7"/>
      <c r="L25" s="31" t="s">
        <v>51</v>
      </c>
      <c r="M25" s="1">
        <f>-(M22*6+M21*5+M20*4+M19*3+M18*2)</f>
        <v>5189.1000000000004</v>
      </c>
      <c r="N25" s="1">
        <f>M25/D13*B25</f>
        <v>4169.8125000000009</v>
      </c>
      <c r="O25" s="23">
        <f t="shared" si="3"/>
        <v>5189.1000000000004</v>
      </c>
      <c r="Q25" s="24"/>
      <c r="R25" s="24"/>
      <c r="S25" s="1"/>
    </row>
    <row r="26" spans="1:19" ht="15.75" customHeight="1" thickTop="1" thickBot="1">
      <c r="A26" s="20" t="s">
        <v>52</v>
      </c>
      <c r="B26" s="15">
        <v>28</v>
      </c>
      <c r="C26" s="25">
        <f>D26/D13*B26</f>
        <v>26042.479166666668</v>
      </c>
      <c r="D26" s="21">
        <f>D23*79/21+F29*(1-E7-E8-E9-E10-E11)</f>
        <v>20833.983333333334</v>
      </c>
      <c r="E26" s="32">
        <f>D26/D27</f>
        <v>0.72888571428571425</v>
      </c>
      <c r="F26" s="25">
        <f t="shared" si="0"/>
        <v>26042.479166666668</v>
      </c>
      <c r="G26" s="21">
        <f t="shared" si="0"/>
        <v>20833.983333333334</v>
      </c>
      <c r="H26" s="32">
        <f>G26/G27</f>
        <v>0.72048689561680979</v>
      </c>
      <c r="I26" s="25">
        <f>J26/D13*B26</f>
        <v>0</v>
      </c>
      <c r="J26" s="21">
        <v>0</v>
      </c>
      <c r="K26" s="1"/>
      <c r="L26" s="31" t="s">
        <v>53</v>
      </c>
      <c r="M26" s="1" t="s">
        <v>447</v>
      </c>
      <c r="N26" s="1" t="e">
        <f>M26/D13*B26</f>
        <v>#VALUE!</v>
      </c>
      <c r="O26" s="24" t="e">
        <f t="shared" si="3"/>
        <v>#VALUE!</v>
      </c>
      <c r="P26" s="24"/>
      <c r="Q26" s="24"/>
    </row>
    <row r="27" spans="1:19" ht="15.75" customHeight="1" thickTop="1" thickBot="1">
      <c r="A27" s="33" t="s">
        <v>54</v>
      </c>
      <c r="B27" s="9"/>
      <c r="C27" s="28">
        <f t="shared" ref="C27:J27" si="4">SUM(C18:C26)</f>
        <v>35914.229166666672</v>
      </c>
      <c r="D27" s="27">
        <f t="shared" si="4"/>
        <v>28583.333333333336</v>
      </c>
      <c r="E27" s="34">
        <f t="shared" si="4"/>
        <v>1</v>
      </c>
      <c r="F27" s="28">
        <f t="shared" si="4"/>
        <v>35914.229166666672</v>
      </c>
      <c r="G27" s="27">
        <f t="shared" si="4"/>
        <v>28916.533333333333</v>
      </c>
      <c r="H27" s="34">
        <f t="shared" si="4"/>
        <v>1</v>
      </c>
      <c r="I27" s="28">
        <f t="shared" si="4"/>
        <v>-9.0949470177292824E-13</v>
      </c>
      <c r="J27" s="21">
        <f t="shared" si="4"/>
        <v>333.19999999999891</v>
      </c>
      <c r="K27" s="1"/>
      <c r="L27" s="1"/>
      <c r="M27" s="35"/>
      <c r="N27" s="1" t="e">
        <f t="shared" ref="N27:O27" si="5">SUM(N18:N26)</f>
        <v>#VALUE!</v>
      </c>
      <c r="O27" s="24" t="e">
        <f t="shared" si="5"/>
        <v>#VALUE!</v>
      </c>
      <c r="P27" s="24"/>
      <c r="Q27" s="24"/>
    </row>
    <row r="28" spans="1:19" ht="15.75" customHeight="1" thickTop="1" thickBo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71"/>
      <c r="B29" s="1"/>
      <c r="C29" s="37" t="s">
        <v>55</v>
      </c>
      <c r="D29" s="1"/>
      <c r="E29" s="7"/>
      <c r="F29" s="15">
        <f>E6*I6</f>
        <v>2450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41" t="s">
        <v>26</v>
      </c>
      <c r="B31" s="42" t="s">
        <v>60</v>
      </c>
      <c r="C31" s="42" t="s">
        <v>61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4809783.3072916679</v>
      </c>
      <c r="G36" s="46">
        <f>(J22*C45/1+J21*C46/1+J20*C47/1+J19*C48/1+J18*C49/1)/22.4*(1000/3600)*1000</f>
        <v>27457403.385416672</v>
      </c>
      <c r="H36" s="47">
        <f>F36+G36</f>
        <v>32267186.69270834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46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O37" s="1"/>
      <c r="P37" s="1"/>
      <c r="Q37" s="1"/>
    </row>
    <row r="38" spans="1:17" ht="15.75" customHeight="1" thickTop="1" thickBot="1">
      <c r="A38" s="20" t="s">
        <v>48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1"/>
    </row>
    <row r="39" spans="1:17" ht="15.75" customHeight="1" thickTop="1" thickBot="1">
      <c r="A39" s="20" t="s">
        <v>50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52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9" t="s">
        <v>76</v>
      </c>
      <c r="B42" s="47">
        <f>B32*E18+B33*E19+B34*E20+B35*E21+B36*E22+B37*E23+B38*E24+B39*E25+B40*E26</f>
        <v>30.15439657142857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9" t="s">
        <v>77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 thickTop="1" thickBo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 thickTop="1" thickBo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 thickTop="1" thickBo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 thickTop="1" thickBo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 thickTop="1" thickBo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 thickTop="1" thickBo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4550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 thickTop="1" thickBo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 thickTop="1" thickBot="1">
      <c r="A56" s="20" t="s">
        <v>9</v>
      </c>
      <c r="B56" s="61">
        <v>16</v>
      </c>
      <c r="C56" s="21">
        <f>D56/I54*B56</f>
        <v>2612.2500000000005</v>
      </c>
      <c r="D56" s="43">
        <f>G52*L46+G18</f>
        <v>3657.15</v>
      </c>
      <c r="E56" s="22">
        <f>D56/D67</f>
        <v>0.28950211952456162</v>
      </c>
      <c r="F56" s="21">
        <f t="shared" ref="F56:G65" si="6">C56+I56</f>
        <v>0</v>
      </c>
      <c r="G56" s="21">
        <f t="shared" si="6"/>
        <v>0</v>
      </c>
      <c r="H56" s="22">
        <f>G56/G67</f>
        <v>0</v>
      </c>
      <c r="I56" s="21">
        <f>J56/I54*B56</f>
        <v>-2612.2500000000005</v>
      </c>
      <c r="J56" s="43">
        <f t="shared" ref="J56:J66" si="7">SUM(K56:M56)</f>
        <v>-3657.15</v>
      </c>
      <c r="K56" s="43">
        <v>-3357.55</v>
      </c>
      <c r="L56" s="43">
        <f>-D56-K56</f>
        <v>-299.59999999999991</v>
      </c>
      <c r="M56" s="43">
        <v>0</v>
      </c>
      <c r="N56" s="1"/>
      <c r="O56" s="1"/>
      <c r="P56" s="1"/>
      <c r="Q56" s="24"/>
    </row>
    <row r="57" spans="1:17" ht="15.75" customHeight="1" thickTop="1" thickBot="1">
      <c r="A57" s="20" t="s">
        <v>11</v>
      </c>
      <c r="B57" s="61">
        <v>30</v>
      </c>
      <c r="C57" s="21">
        <f>D57/I54*B57</f>
        <v>182.8125</v>
      </c>
      <c r="D57" s="43">
        <f>G52*L47</f>
        <v>136.5</v>
      </c>
      <c r="E57" s="22">
        <f>D57/D67</f>
        <v>1.0805419333388747E-2</v>
      </c>
      <c r="F57" s="21">
        <f t="shared" si="6"/>
        <v>0</v>
      </c>
      <c r="G57" s="21">
        <f t="shared" si="6"/>
        <v>0</v>
      </c>
      <c r="H57" s="22">
        <f>G57/G67</f>
        <v>0</v>
      </c>
      <c r="I57" s="21">
        <f>J57/I54*B57</f>
        <v>-182.8125</v>
      </c>
      <c r="J57" s="43">
        <f t="shared" si="7"/>
        <v>-136.5</v>
      </c>
      <c r="K57" s="43">
        <f>-D57</f>
        <v>-136.5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 thickTop="1" thickBot="1">
      <c r="A58" s="20" t="s">
        <v>13</v>
      </c>
      <c r="B58" s="61">
        <v>44</v>
      </c>
      <c r="C58" s="21">
        <f>D58/I54*B58</f>
        <v>357.5</v>
      </c>
      <c r="D58" s="43">
        <f>G52*L48</f>
        <v>182</v>
      </c>
      <c r="E58" s="22">
        <f>D58/D67</f>
        <v>1.4407225777851664E-2</v>
      </c>
      <c r="F58" s="21">
        <f t="shared" si="6"/>
        <v>0</v>
      </c>
      <c r="G58" s="21">
        <f t="shared" si="6"/>
        <v>0</v>
      </c>
      <c r="H58" s="22">
        <f>G58/G67</f>
        <v>0</v>
      </c>
      <c r="I58" s="21">
        <f>J58/I54*B58</f>
        <v>-357.5</v>
      </c>
      <c r="J58" s="43">
        <f t="shared" si="7"/>
        <v>-182</v>
      </c>
      <c r="K58" s="43">
        <f>-D58</f>
        <v>-182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 thickTop="1" thickBot="1">
      <c r="A59" s="20" t="s">
        <v>15</v>
      </c>
      <c r="B59" s="61">
        <v>58</v>
      </c>
      <c r="C59" s="21">
        <f>D59/I54*B59</f>
        <v>589.0625</v>
      </c>
      <c r="D59" s="43">
        <f>G52*L49</f>
        <v>227.5</v>
      </c>
      <c r="E59" s="22">
        <f>D59/D67</f>
        <v>1.8009032222314581E-2</v>
      </c>
      <c r="F59" s="21">
        <f t="shared" si="6"/>
        <v>0</v>
      </c>
      <c r="G59" s="21">
        <f t="shared" si="6"/>
        <v>0</v>
      </c>
      <c r="H59" s="22">
        <f>G59/G67</f>
        <v>0</v>
      </c>
      <c r="I59" s="21">
        <f>J59/I54*B59</f>
        <v>-589.0625</v>
      </c>
      <c r="J59" s="43">
        <f t="shared" si="7"/>
        <v>-227.5</v>
      </c>
      <c r="K59" s="43">
        <f>-D59</f>
        <v>-227.5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 thickTop="1" thickBot="1">
      <c r="A60" s="20" t="s">
        <v>17</v>
      </c>
      <c r="B60" s="61">
        <v>72</v>
      </c>
      <c r="C60" s="21">
        <f>D60/I54*B60</f>
        <v>43.875</v>
      </c>
      <c r="D60" s="43">
        <f>G52*L50</f>
        <v>13.65</v>
      </c>
      <c r="E60" s="22">
        <f>D60/D67</f>
        <v>1.0805419333388749E-3</v>
      </c>
      <c r="F60" s="21">
        <f t="shared" si="6"/>
        <v>0</v>
      </c>
      <c r="G60" s="21">
        <f>D60+L60</f>
        <v>13.65</v>
      </c>
      <c r="H60" s="22">
        <f>G60/G67</f>
        <v>5.8824416657868143E-4</v>
      </c>
      <c r="I60" s="21">
        <f>J60/I54*B60</f>
        <v>-43.875</v>
      </c>
      <c r="J60" s="43">
        <f t="shared" si="7"/>
        <v>-13.65</v>
      </c>
      <c r="K60" s="43">
        <f>-D60</f>
        <v>-13.65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 thickTop="1" thickBot="1">
      <c r="A61" s="20" t="s">
        <v>105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6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7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 thickTop="1" thickBot="1">
      <c r="A62" s="20" t="s">
        <v>48</v>
      </c>
      <c r="B62" s="61">
        <v>44</v>
      </c>
      <c r="C62" s="21">
        <f>D62/I54*B62</f>
        <v>5717.25</v>
      </c>
      <c r="D62" s="43">
        <f t="shared" ref="D62:D63" si="8">G24</f>
        <v>2910.6</v>
      </c>
      <c r="E62" s="22">
        <f>D62/D67</f>
        <v>0.23040478763195082</v>
      </c>
      <c r="F62" s="21">
        <f t="shared" si="6"/>
        <v>5128.75</v>
      </c>
      <c r="G62" s="21">
        <f t="shared" ref="G62:G63" si="9">J62+D62</f>
        <v>2611</v>
      </c>
      <c r="H62" s="22">
        <f>G62/G67</f>
        <v>0.11252055083787085</v>
      </c>
      <c r="I62" s="21">
        <f>J62/I54*B62</f>
        <v>-588.49999999999989</v>
      </c>
      <c r="J62" s="43">
        <f t="shared" si="7"/>
        <v>-299.59999999999991</v>
      </c>
      <c r="K62" s="43">
        <v>0</v>
      </c>
      <c r="L62" s="43">
        <f>L56</f>
        <v>-299.59999999999991</v>
      </c>
      <c r="M62" s="43">
        <v>0</v>
      </c>
      <c r="N62" s="1"/>
      <c r="O62" s="1"/>
      <c r="P62" s="1"/>
      <c r="Q62" s="24"/>
    </row>
    <row r="63" spans="1:17" ht="15.75" customHeight="1" thickTop="1" thickBot="1">
      <c r="A63" s="20" t="s">
        <v>50</v>
      </c>
      <c r="B63" s="61">
        <v>18</v>
      </c>
      <c r="C63" s="21">
        <f>D63/I54*B63</f>
        <v>4142.2499999999991</v>
      </c>
      <c r="D63" s="43">
        <f t="shared" si="8"/>
        <v>5154.7999999999993</v>
      </c>
      <c r="E63" s="22">
        <f>D63/D67</f>
        <v>0.40805696395422936</v>
      </c>
      <c r="F63" s="21">
        <f t="shared" si="6"/>
        <v>0</v>
      </c>
      <c r="G63" s="21">
        <f t="shared" si="9"/>
        <v>0</v>
      </c>
      <c r="H63" s="22">
        <f>G63/G67</f>
        <v>0</v>
      </c>
      <c r="I63" s="21">
        <f>J63/I54*B63</f>
        <v>-4142.2500000000009</v>
      </c>
      <c r="J63" s="43">
        <f t="shared" si="7"/>
        <v>-5154.8</v>
      </c>
      <c r="K63" s="43">
        <f>K60*5+K59*4+K58*3+K57*2+K56</f>
        <v>-5154.8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 thickTop="1" thickBo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0">D64</f>
        <v>0</v>
      </c>
      <c r="F64" s="21">
        <f t="shared" si="6"/>
        <v>7192.5</v>
      </c>
      <c r="G64" s="21">
        <f t="shared" ref="G64:G65" si="11">J64</f>
        <v>5754</v>
      </c>
      <c r="H64" s="22">
        <f>G64/G67</f>
        <v>0.24796754098855184</v>
      </c>
      <c r="I64" s="21">
        <f>J64/I54*B64</f>
        <v>7192.5</v>
      </c>
      <c r="J64" s="43">
        <f t="shared" si="7"/>
        <v>5754</v>
      </c>
      <c r="K64" s="43">
        <f>-K60*5-K59*4-K58*3-K57*2-K56</f>
        <v>5154.8</v>
      </c>
      <c r="L64" s="43">
        <f>-L56*2</f>
        <v>599.19999999999982</v>
      </c>
      <c r="M64" s="43">
        <v>0</v>
      </c>
      <c r="N64" s="1"/>
      <c r="O64" s="1"/>
      <c r="P64" s="1"/>
      <c r="Q64" s="24"/>
    </row>
    <row r="65" spans="1:17" ht="15.75" customHeight="1" thickTop="1" thickBot="1">
      <c r="A65" s="20" t="s">
        <v>109</v>
      </c>
      <c r="B65" s="61">
        <v>2</v>
      </c>
      <c r="C65" s="21">
        <v>0</v>
      </c>
      <c r="D65" s="43">
        <v>0</v>
      </c>
      <c r="E65" s="22">
        <f t="shared" si="10"/>
        <v>0</v>
      </c>
      <c r="F65" s="21">
        <f t="shared" si="6"/>
        <v>1323.75</v>
      </c>
      <c r="G65" s="21">
        <f t="shared" si="11"/>
        <v>14826</v>
      </c>
      <c r="H65" s="22">
        <f>G65/G67</f>
        <v>0.63892366400699852</v>
      </c>
      <c r="I65" s="21">
        <f>J65/I54*B65</f>
        <v>1323.75</v>
      </c>
      <c r="J65" s="43">
        <f t="shared" si="7"/>
        <v>14826</v>
      </c>
      <c r="K65" s="43">
        <f>-K60*11-K59*9-K58*7-K57*5-K56*3</f>
        <v>14226.800000000001</v>
      </c>
      <c r="L65" s="43">
        <f>-L56*2</f>
        <v>599.19999999999982</v>
      </c>
      <c r="M65" s="43">
        <v>0</v>
      </c>
      <c r="N65" s="1"/>
      <c r="O65" s="1"/>
      <c r="P65" s="1"/>
      <c r="Q65" s="24"/>
    </row>
    <row r="66" spans="1:17" ht="15.75" customHeight="1" thickTop="1" thickBot="1">
      <c r="A66" s="20" t="s">
        <v>52</v>
      </c>
      <c r="B66" s="61">
        <v>28</v>
      </c>
      <c r="C66" s="21">
        <f>D66/I54*B66</f>
        <v>437.93749999999915</v>
      </c>
      <c r="D66" s="43">
        <f>G52*L51</f>
        <v>350.34999999999928</v>
      </c>
      <c r="E66" s="22">
        <f>D66/D67</f>
        <v>2.7733909622364397E-2</v>
      </c>
      <c r="F66" s="21">
        <f>I66+C66</f>
        <v>437.93749999999915</v>
      </c>
      <c r="G66" s="21">
        <v>0</v>
      </c>
      <c r="H66" s="22">
        <v>0</v>
      </c>
      <c r="I66" s="21">
        <v>0</v>
      </c>
      <c r="J66" s="43">
        <f t="shared" si="7"/>
        <v>0</v>
      </c>
      <c r="K66" s="43">
        <v>0</v>
      </c>
      <c r="L66" s="43">
        <v>0</v>
      </c>
      <c r="M66" s="43">
        <v>0</v>
      </c>
      <c r="N66" s="1"/>
      <c r="O66" s="24">
        <f>D62+L62</f>
        <v>2611</v>
      </c>
      <c r="P66" s="1"/>
      <c r="Q66" s="24"/>
    </row>
    <row r="67" spans="1:17" ht="15.75" customHeight="1" thickTop="1" thickBot="1">
      <c r="A67" s="33" t="s">
        <v>54</v>
      </c>
      <c r="B67" s="15"/>
      <c r="C67" s="62">
        <f t="shared" ref="C67:H67" si="12">SUM(C56:C66)</f>
        <v>14082.9375</v>
      </c>
      <c r="D67" s="43">
        <f t="shared" si="12"/>
        <v>12632.549999999997</v>
      </c>
      <c r="E67" s="22">
        <f t="shared" si="12"/>
        <v>1</v>
      </c>
      <c r="F67" s="62">
        <f t="shared" si="12"/>
        <v>14082.9375</v>
      </c>
      <c r="G67" s="21">
        <f t="shared" si="12"/>
        <v>23204.65</v>
      </c>
      <c r="H67" s="22">
        <f t="shared" si="12"/>
        <v>0.99999999999999989</v>
      </c>
      <c r="I67" s="21">
        <f>SUM(I56:I66)</f>
        <v>0</v>
      </c>
      <c r="J67" s="21">
        <f>SUM(J56:J66)</f>
        <v>10908.8</v>
      </c>
      <c r="K67" s="21">
        <f>SUM(K56:K66)</f>
        <v>10309.600000000002</v>
      </c>
      <c r="L67" s="21">
        <v>0</v>
      </c>
      <c r="M67" s="21">
        <v>0</v>
      </c>
      <c r="N67" s="1"/>
      <c r="O67" s="1"/>
      <c r="P67" s="1"/>
      <c r="Q67" s="24"/>
    </row>
    <row r="68" spans="1:17" ht="15.75" customHeight="1" thickTop="1" thickBo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2.5766423357664232</v>
      </c>
      <c r="J69" s="1"/>
      <c r="K69" s="24">
        <f>D59-D62/4</f>
        <v>-500.15</v>
      </c>
      <c r="L69" s="1"/>
      <c r="M69" s="1">
        <f>D59*4</f>
        <v>910</v>
      </c>
      <c r="N69" s="1" t="s">
        <v>112</v>
      </c>
      <c r="O69" s="24">
        <f>D62+L57</f>
        <v>2910.6</v>
      </c>
      <c r="P69" s="1"/>
      <c r="Q69" s="1"/>
    </row>
    <row r="70" spans="1:17" ht="15.75" customHeight="1" thickTop="1" thickBo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 thickTop="1" thickBo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 thickTop="1" thickBo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 thickTop="1" thickBo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 thickTop="1" thickBo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 thickTop="1" thickBot="1">
      <c r="A86" s="7"/>
      <c r="B86" s="115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 thickTop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 thickBo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61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9</v>
      </c>
      <c r="B91" s="102">
        <v>35.700000000000003</v>
      </c>
      <c r="C91" s="102">
        <v>-74.599999999999994</v>
      </c>
      <c r="D91" s="78">
        <v>12</v>
      </c>
      <c r="E91" s="37" t="s">
        <v>115</v>
      </c>
      <c r="F91" s="7"/>
      <c r="G91" s="7"/>
      <c r="H91" s="109">
        <f>H36</f>
        <v>32267186.69270834</v>
      </c>
      <c r="I91" s="109">
        <f>E6*(1-I6)/D13*N50*20*1000/3600</f>
        <v>45822.246527777788</v>
      </c>
      <c r="J91" s="109">
        <f>(K60/D13*C108+K59/D13*C107+K58/D13*C106+K57/D13*C105+K56/D13*C104)*1000/3600*1000</f>
        <v>-12255402.517361112</v>
      </c>
      <c r="K91" s="109">
        <f>L56/D13*C109*1000/3600*1000</f>
        <v>-917859.37499999977</v>
      </c>
      <c r="L91" s="21">
        <v>0</v>
      </c>
      <c r="M91" s="21">
        <f>H91+I91+J91+K91</f>
        <v>19139747.046875004</v>
      </c>
      <c r="N91" s="80"/>
      <c r="O91" s="1"/>
      <c r="P91" s="1"/>
      <c r="Q91" s="1"/>
    </row>
    <row r="92" spans="1:17" ht="15.75" customHeight="1" thickTop="1" thickBot="1">
      <c r="A92" s="20" t="s">
        <v>11</v>
      </c>
      <c r="B92" s="102">
        <v>52.49</v>
      </c>
      <c r="C92" s="102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102">
        <v>73.599999999999994</v>
      </c>
      <c r="C93" s="102"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102">
        <v>98.49</v>
      </c>
      <c r="C94" s="102"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2224.3957328866663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102">
        <v>120.04</v>
      </c>
      <c r="C95" s="102"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105</v>
      </c>
      <c r="B96" s="102">
        <v>29.38</v>
      </c>
      <c r="C96" s="102"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48</v>
      </c>
      <c r="B97" s="102">
        <v>37.14</v>
      </c>
      <c r="C97" s="102"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50</v>
      </c>
      <c r="B98" s="102">
        <v>33.6</v>
      </c>
      <c r="C98" s="102"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102">
        <v>29.14</v>
      </c>
      <c r="C99" s="102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109</v>
      </c>
      <c r="B100" s="102">
        <v>28.84</v>
      </c>
      <c r="C100" s="102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52</v>
      </c>
      <c r="B101" s="103">
        <v>29.12</v>
      </c>
      <c r="C101" s="43"/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160</v>
      </c>
      <c r="B102" s="104">
        <f>B91*E56+B92*E57+B93*E58+B94*E59+B95*E60+B96*E61+B97*E62+B98*E63+B99*E64+B100*E65+B101*E66</f>
        <v>36.941751032056082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161</v>
      </c>
      <c r="B103" s="105">
        <f>B91*H56+B92*H57+B93*H58+B94*H59+B95*H60+B96*H61+B97*H62+B98*H63+B99*H64+B100*H65+B101*H66</f>
        <v>29.901958702242865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106">
        <f>C99-C91-C98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107">
        <f>2*C99-C92-2*C98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108">
        <f>C99*3-C93-3*C98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108">
        <f>C99*4-C94-C98*4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108">
        <f>C99*5-C95-C98*5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08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topLeftCell="A54" workbookViewId="0">
      <selection activeCell="J33" sqref="J33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0.4</v>
      </c>
      <c r="J6" t="s">
        <v>394</v>
      </c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393</v>
      </c>
      <c r="E7" s="10">
        <v>0.8</v>
      </c>
      <c r="F7" s="7"/>
      <c r="G7" s="8" t="s">
        <v>10</v>
      </c>
      <c r="H7" s="9"/>
      <c r="I7" s="13">
        <v>1.4</v>
      </c>
      <c r="J7" s="1" t="s">
        <v>392</v>
      </c>
      <c r="K7" s="1"/>
      <c r="L7" s="1"/>
      <c r="M7" s="127"/>
      <c r="N7" s="125"/>
      <c r="O7" s="125"/>
      <c r="P7" s="1"/>
      <c r="Q7" s="1"/>
    </row>
    <row r="8" spans="1:17" ht="15.75" customHeight="1">
      <c r="A8" s="1"/>
      <c r="B8" s="1"/>
      <c r="C8" s="7"/>
      <c r="D8" s="12" t="s">
        <v>395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396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7"/>
      <c r="N9" s="125"/>
      <c r="O9" s="125"/>
      <c r="P9" s="1"/>
      <c r="Q9" s="1"/>
    </row>
    <row r="10" spans="1:17" ht="15.75" customHeight="1">
      <c r="A10" s="1"/>
      <c r="B10" s="1"/>
      <c r="C10" s="7"/>
      <c r="D10" s="12" t="s">
        <v>397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398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7"/>
      <c r="N11" s="125"/>
      <c r="O11" s="125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7"/>
      <c r="N13" s="125"/>
      <c r="O13" s="125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7"/>
      <c r="N15" s="125"/>
      <c r="O15" s="125"/>
      <c r="P15" s="1"/>
      <c r="Q15" s="1"/>
    </row>
    <row r="16" spans="1:17" ht="15.75" customHeight="1">
      <c r="A16" s="17"/>
      <c r="B16" s="15"/>
      <c r="C16" s="121" t="s">
        <v>23</v>
      </c>
      <c r="D16" s="122"/>
      <c r="E16" s="123"/>
      <c r="F16" s="121" t="s">
        <v>24</v>
      </c>
      <c r="G16" s="122"/>
      <c r="H16" s="123"/>
      <c r="I16" s="8" t="s">
        <v>25</v>
      </c>
      <c r="J16" s="15"/>
      <c r="K16" s="1"/>
      <c r="L16" s="1"/>
      <c r="M16" s="1"/>
      <c r="N16" s="1"/>
      <c r="O16" s="1">
        <f>O23/2</f>
        <v>-19.599999999999909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399</v>
      </c>
      <c r="B18" s="15">
        <v>16</v>
      </c>
      <c r="C18" s="21">
        <f>D18/D13*B18</f>
        <v>1600</v>
      </c>
      <c r="D18" s="21">
        <f>F29*E7</f>
        <v>2240</v>
      </c>
      <c r="E18" s="22">
        <f>D18/D27</f>
        <v>6.8571428571428575E-2</v>
      </c>
      <c r="F18" s="21">
        <f t="shared" ref="F18:F26" si="0">C18+I18</f>
        <v>13.999999999999773</v>
      </c>
      <c r="G18" s="94">
        <f>-O16</f>
        <v>19.599999999999909</v>
      </c>
      <c r="H18" s="22">
        <f>G18/G27</f>
        <v>5.9308630817893988E-4</v>
      </c>
      <c r="I18" s="21">
        <f>J18/D13*B18</f>
        <v>-1586.0000000000002</v>
      </c>
      <c r="J18" s="21">
        <f>G18-D18</f>
        <v>-2220.4</v>
      </c>
      <c r="K18" s="1"/>
      <c r="L18" s="1" t="s">
        <v>37</v>
      </c>
      <c r="M18" s="23">
        <f t="shared" ref="M18:M22" si="1">-D18</f>
        <v>-2240</v>
      </c>
      <c r="N18" s="1">
        <f>M18/22.4*B18</f>
        <v>-1600</v>
      </c>
      <c r="O18" s="24">
        <f>M18+D18</f>
        <v>0</v>
      </c>
      <c r="Q18" s="24"/>
      <c r="R18" s="24"/>
    </row>
    <row r="19" spans="1:19" ht="15.75" customHeight="1">
      <c r="A19" s="20" t="s">
        <v>400</v>
      </c>
      <c r="B19" s="15">
        <v>30</v>
      </c>
      <c r="C19" s="21">
        <f>D19/D13*B19</f>
        <v>112.50000000000001</v>
      </c>
      <c r="D19" s="21">
        <f>F29*E8</f>
        <v>84</v>
      </c>
      <c r="E19" s="22">
        <f>D19/D27</f>
        <v>2.5714285714285717E-3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-112.50000000000001</v>
      </c>
      <c r="J19" s="21">
        <f t="shared" ref="J19:J22" si="2">-D19</f>
        <v>-84</v>
      </c>
      <c r="K19" s="1"/>
      <c r="L19" s="1" t="s">
        <v>39</v>
      </c>
      <c r="M19" s="23">
        <f t="shared" si="1"/>
        <v>-84</v>
      </c>
      <c r="N19" s="1">
        <f>M19/D13*B19</f>
        <v>-112.50000000000001</v>
      </c>
      <c r="O19" s="24">
        <f>J19+D19</f>
        <v>0</v>
      </c>
      <c r="Q19" s="24"/>
      <c r="R19" s="24"/>
    </row>
    <row r="20" spans="1:19" ht="15.75" customHeight="1">
      <c r="A20" s="20" t="s">
        <v>401</v>
      </c>
      <c r="B20" s="15">
        <v>44</v>
      </c>
      <c r="C20" s="21">
        <f>D20/D13*B20</f>
        <v>220</v>
      </c>
      <c r="D20" s="21">
        <f>F29*E9</f>
        <v>112</v>
      </c>
      <c r="E20" s="22">
        <f>D20/D27</f>
        <v>3.4285714285714288E-3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-220</v>
      </c>
      <c r="J20" s="21">
        <f t="shared" si="2"/>
        <v>-112</v>
      </c>
      <c r="K20" s="1"/>
      <c r="L20" s="1" t="s">
        <v>41</v>
      </c>
      <c r="M20" s="23">
        <f t="shared" si="1"/>
        <v>-112</v>
      </c>
      <c r="N20" s="1">
        <f>M20/D13*B20</f>
        <v>-220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402</v>
      </c>
      <c r="B21" s="15">
        <v>58</v>
      </c>
      <c r="C21" s="21">
        <f>D21/D13*B21</f>
        <v>362.5</v>
      </c>
      <c r="D21" s="21">
        <f>F29*E10</f>
        <v>140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-362.5</v>
      </c>
      <c r="J21" s="21">
        <f t="shared" si="2"/>
        <v>-140</v>
      </c>
      <c r="K21" s="1"/>
      <c r="L21" s="4" t="s">
        <v>43</v>
      </c>
      <c r="M21" s="23">
        <f t="shared" si="1"/>
        <v>-140</v>
      </c>
      <c r="N21" s="1">
        <f>M21/D13*B21</f>
        <v>-362.5</v>
      </c>
      <c r="O21" s="23">
        <f t="shared" si="4"/>
        <v>0</v>
      </c>
      <c r="Q21" s="24"/>
      <c r="R21" s="24"/>
    </row>
    <row r="22" spans="1:19" ht="15.75" customHeight="1">
      <c r="A22" s="20" t="s">
        <v>403</v>
      </c>
      <c r="B22" s="15">
        <v>72</v>
      </c>
      <c r="C22" s="21">
        <f>D22/D13*B22</f>
        <v>27.000000000000004</v>
      </c>
      <c r="D22" s="21">
        <f>F29*E11</f>
        <v>8.4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-27.000000000000004</v>
      </c>
      <c r="J22" s="21">
        <f t="shared" si="2"/>
        <v>-8.4</v>
      </c>
      <c r="K22" s="7"/>
      <c r="L22" s="26" t="s">
        <v>45</v>
      </c>
      <c r="M22" s="23">
        <f t="shared" si="1"/>
        <v>-8.4</v>
      </c>
      <c r="N22" s="1">
        <f>M22/D13*B22</f>
        <v>-27.000000000000004</v>
      </c>
      <c r="O22" s="23">
        <f t="shared" si="4"/>
        <v>0</v>
      </c>
      <c r="R22" s="24"/>
      <c r="S22" s="1"/>
    </row>
    <row r="23" spans="1:19" ht="15.75" customHeight="1">
      <c r="A23" s="20" t="s">
        <v>404</v>
      </c>
      <c r="B23" s="15">
        <v>32</v>
      </c>
      <c r="C23" s="21">
        <f>D23/D13*B23</f>
        <v>8960</v>
      </c>
      <c r="D23" s="21">
        <f>F29*E7*I7*2</f>
        <v>6272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-8960</v>
      </c>
      <c r="J23" s="21">
        <f>J22*8+J21*6.5+J20*5+J19*3.5+J18*2</f>
        <v>-6272</v>
      </c>
      <c r="K23" s="7"/>
      <c r="L23" s="29" t="s">
        <v>405</v>
      </c>
      <c r="M23" s="1">
        <f>(M22*8+M21*6.5+M20*5+M19*3.5+M18*2)</f>
        <v>-6311.2</v>
      </c>
      <c r="N23" s="1">
        <f>M23/D13*B23</f>
        <v>-9016</v>
      </c>
      <c r="O23" s="30">
        <f t="shared" si="4"/>
        <v>-39.199999999999818</v>
      </c>
      <c r="Q23" s="24"/>
      <c r="R23" s="24"/>
      <c r="S23" s="1"/>
    </row>
    <row r="24" spans="1:19" ht="15.75" customHeight="1">
      <c r="A24" s="20" t="s">
        <v>406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6534</v>
      </c>
      <c r="G24" s="21">
        <f t="shared" si="3"/>
        <v>3326.4</v>
      </c>
      <c r="H24" s="22">
        <f>G24/G27</f>
        <v>0.10065521915951198</v>
      </c>
      <c r="I24" s="21">
        <f>J24/D13*B24</f>
        <v>6534</v>
      </c>
      <c r="J24" s="21">
        <f>-J22*5+(-J21*4)+(-J20*3)+(-J19*2)+(-J18*1)</f>
        <v>3326.4</v>
      </c>
      <c r="K24" s="7"/>
      <c r="L24" s="31" t="s">
        <v>407</v>
      </c>
      <c r="M24" s="23">
        <f>-(M22*8+M21*4+M20*3+M19*2+M18)</f>
        <v>3371.2</v>
      </c>
      <c r="N24" s="1">
        <f>M24/D13*B24</f>
        <v>6622</v>
      </c>
      <c r="O24" s="23">
        <f t="shared" si="4"/>
        <v>3371.2</v>
      </c>
      <c r="Q24" s="24"/>
      <c r="R24" s="24"/>
      <c r="S24" s="1"/>
    </row>
    <row r="25" spans="1:19" ht="15.75" customHeight="1">
      <c r="A25" s="20" t="s">
        <v>408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4734.0000000000009</v>
      </c>
      <c r="G25" s="21">
        <f t="shared" si="3"/>
        <v>5891.2000000000007</v>
      </c>
      <c r="H25" s="22">
        <f>G25/G27</f>
        <v>0.17826479891549935</v>
      </c>
      <c r="I25" s="21">
        <f>J25/D13*B25</f>
        <v>4734.0000000000009</v>
      </c>
      <c r="J25" s="21">
        <f>-J22*6+(-J21*5)+(-J20*4)+(-J19*3)+(-J18*2)</f>
        <v>5891.2000000000007</v>
      </c>
      <c r="K25" s="7"/>
      <c r="L25" s="31" t="s">
        <v>409</v>
      </c>
      <c r="M25" s="1">
        <f>-(M22*6+M21*5+M20*4+M19*3+M18*2)</f>
        <v>5930.4</v>
      </c>
      <c r="N25" s="1">
        <f>M25/D13*B25</f>
        <v>4765.5</v>
      </c>
      <c r="O25" s="23">
        <f t="shared" si="4"/>
        <v>5930.4</v>
      </c>
      <c r="Q25" s="24"/>
      <c r="R25" s="24"/>
      <c r="S25" s="1"/>
    </row>
    <row r="26" spans="1:19" ht="15.75" customHeight="1">
      <c r="A26" s="20" t="s">
        <v>410</v>
      </c>
      <c r="B26" s="15">
        <v>28</v>
      </c>
      <c r="C26" s="25">
        <f>D26/D13*B26</f>
        <v>29762.833333333336</v>
      </c>
      <c r="D26" s="21">
        <f>D23*79/21+F29*(1-E7-E8-E9-E10-E11)</f>
        <v>23810.266666666666</v>
      </c>
      <c r="E26" s="32">
        <f>D26/D27</f>
        <v>0.72888571428571436</v>
      </c>
      <c r="F26" s="25">
        <f t="shared" si="0"/>
        <v>29762.833333333336</v>
      </c>
      <c r="G26" s="21">
        <f t="shared" si="3"/>
        <v>23810.266666666666</v>
      </c>
      <c r="H26" s="32">
        <f>G26/G27</f>
        <v>0.72048689561680979</v>
      </c>
      <c r="I26" s="25">
        <f>J26/D13*B26</f>
        <v>0</v>
      </c>
      <c r="J26" s="21">
        <v>0</v>
      </c>
      <c r="K26" s="1"/>
      <c r="L26" s="31" t="s">
        <v>411</v>
      </c>
      <c r="M26" s="1">
        <v>0</v>
      </c>
      <c r="N26" s="1">
        <f>M26/D13*B26</f>
        <v>0</v>
      </c>
      <c r="O26" s="24">
        <f t="shared" si="4"/>
        <v>23810.266666666666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41044.833333333336</v>
      </c>
      <c r="D27" s="27">
        <f t="shared" si="5"/>
        <v>32666.666666666664</v>
      </c>
      <c r="E27" s="34">
        <f t="shared" si="5"/>
        <v>1</v>
      </c>
      <c r="F27" s="28">
        <f t="shared" si="5"/>
        <v>41044.833333333336</v>
      </c>
      <c r="G27" s="27">
        <f t="shared" si="5"/>
        <v>33047.466666666667</v>
      </c>
      <c r="H27" s="34">
        <f t="shared" si="5"/>
        <v>1</v>
      </c>
      <c r="I27" s="28">
        <f t="shared" si="5"/>
        <v>9.0949470177292824E-13</v>
      </c>
      <c r="J27" s="21">
        <f t="shared" si="5"/>
        <v>380.80000000000109</v>
      </c>
      <c r="K27" s="1"/>
      <c r="L27" s="1"/>
      <c r="M27" s="35"/>
      <c r="N27" s="1">
        <f t="shared" ref="N27:O27" si="6">SUM(N18:N26)</f>
        <v>49.5</v>
      </c>
      <c r="O27" s="24">
        <f t="shared" si="6"/>
        <v>33072.666666666664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2800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412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413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414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415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416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417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5496895.208333334</v>
      </c>
      <c r="G36" s="46">
        <f>(J22*C45/1+J21*C46/1+J20*C47/1+J19*C48/1+J18*C49/1)/22.4*(1000/3600)*1000</f>
        <v>31379889.583333336</v>
      </c>
      <c r="H36" s="47">
        <f>F36+G36</f>
        <v>36876784.791666672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418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O37" s="1"/>
      <c r="P37" s="1"/>
      <c r="Q37" s="1"/>
    </row>
    <row r="38" spans="1:17" ht="15.75" customHeight="1">
      <c r="A38" s="20" t="s">
        <v>419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1"/>
    </row>
    <row r="39" spans="1:17" ht="15.75" customHeight="1">
      <c r="A39" s="20" t="s">
        <v>420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421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422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423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4200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26" t="s">
        <v>93</v>
      </c>
      <c r="E53" s="125"/>
      <c r="F53" s="125"/>
      <c r="G53" s="125"/>
      <c r="H53" s="125"/>
      <c r="I53" s="125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424</v>
      </c>
      <c r="B56" s="61">
        <v>16</v>
      </c>
      <c r="C56" s="21">
        <f>D56/I54*B56</f>
        <v>2414</v>
      </c>
      <c r="D56" s="43">
        <f>G52*L46+G18</f>
        <v>3379.6</v>
      </c>
      <c r="E56" s="22">
        <f>D56/D67</f>
        <v>0.25151073140237545</v>
      </c>
      <c r="F56" s="21">
        <f t="shared" ref="F56:G56" si="7">C56+I56</f>
        <v>0</v>
      </c>
      <c r="G56" s="21">
        <f t="shared" si="7"/>
        <v>0</v>
      </c>
      <c r="H56" s="22">
        <f>G56/G67</f>
        <v>0</v>
      </c>
      <c r="I56" s="21">
        <f>J56/I54*B56</f>
        <v>-2414</v>
      </c>
      <c r="J56" s="43">
        <f t="shared" ref="J56:J66" si="8">SUM(K56:M56)</f>
        <v>-3379.6</v>
      </c>
      <c r="K56" s="43">
        <f>-D56</f>
        <v>-3379.6</v>
      </c>
      <c r="L56" s="43">
        <v>0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425</v>
      </c>
      <c r="B57" s="61">
        <v>30</v>
      </c>
      <c r="C57" s="21">
        <f>D57/I54*B57</f>
        <v>168.75</v>
      </c>
      <c r="D57" s="43">
        <f>G52*L47</f>
        <v>126</v>
      </c>
      <c r="E57" s="22">
        <f>D57/D67</f>
        <v>9.376953531985829E-3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-168.75</v>
      </c>
      <c r="J57" s="43">
        <f t="shared" si="8"/>
        <v>-126</v>
      </c>
      <c r="K57" s="43">
        <f>-D57</f>
        <v>-126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426</v>
      </c>
      <c r="B58" s="61">
        <v>44</v>
      </c>
      <c r="C58" s="21">
        <f>D58/I54*B58</f>
        <v>330.00000000000006</v>
      </c>
      <c r="D58" s="43">
        <f>G52*L48</f>
        <v>168</v>
      </c>
      <c r="E58" s="22">
        <f>D58/D67</f>
        <v>1.2502604709314439E-2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-330.00000000000006</v>
      </c>
      <c r="J58" s="43">
        <f t="shared" si="8"/>
        <v>-168</v>
      </c>
      <c r="K58" s="43">
        <f>-D58</f>
        <v>-168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427</v>
      </c>
      <c r="B59" s="61">
        <v>58</v>
      </c>
      <c r="C59" s="21">
        <f>D59/I54*B59</f>
        <v>543.75</v>
      </c>
      <c r="D59" s="43">
        <f>G52*L49</f>
        <v>210</v>
      </c>
      <c r="E59" s="22">
        <f>D59/D67</f>
        <v>1.5628255886643051E-2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-543.75</v>
      </c>
      <c r="J59" s="43">
        <f t="shared" si="8"/>
        <v>-210</v>
      </c>
      <c r="K59" s="43">
        <f>-D59</f>
        <v>-210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428</v>
      </c>
      <c r="B60" s="61">
        <v>72</v>
      </c>
      <c r="C60" s="21">
        <f>D60/I54*B60</f>
        <v>40.5</v>
      </c>
      <c r="D60" s="43">
        <f>G52*L50</f>
        <v>12.6</v>
      </c>
      <c r="E60" s="22">
        <f>D60/D67</f>
        <v>9.3769535319858301E-4</v>
      </c>
      <c r="F60" s="21">
        <f t="shared" ref="F60:F65" si="12">C60+I60</f>
        <v>0</v>
      </c>
      <c r="G60" s="21">
        <f>D60+L60</f>
        <v>12.6</v>
      </c>
      <c r="H60" s="22">
        <f>G60/G67</f>
        <v>5.4301918667792935E-4</v>
      </c>
      <c r="I60" s="21">
        <f>J60/I54*B60</f>
        <v>-40.5</v>
      </c>
      <c r="J60" s="43">
        <f t="shared" si="8"/>
        <v>-12.6</v>
      </c>
      <c r="K60" s="43">
        <f>-D60</f>
        <v>-12.6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429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430</v>
      </c>
      <c r="B62" s="61">
        <v>44</v>
      </c>
      <c r="C62" s="21">
        <f>D62/I54*B62</f>
        <v>6534</v>
      </c>
      <c r="D62" s="43">
        <f t="shared" ref="D62:D63" si="13">G24</f>
        <v>3326.4</v>
      </c>
      <c r="E62" s="22">
        <f>D62/D67</f>
        <v>0.24755157324442592</v>
      </c>
      <c r="F62" s="21">
        <f t="shared" si="12"/>
        <v>6534</v>
      </c>
      <c r="G62" s="21">
        <f t="shared" ref="G62:G63" si="14">J62+D62</f>
        <v>3326.4</v>
      </c>
      <c r="H62" s="22">
        <f>G62/G67</f>
        <v>0.14335706528297334</v>
      </c>
      <c r="I62" s="21">
        <f>J62/I54*B62</f>
        <v>0</v>
      </c>
      <c r="J62" s="43">
        <f t="shared" si="8"/>
        <v>0</v>
      </c>
      <c r="K62" s="43">
        <v>0</v>
      </c>
      <c r="L62" s="43">
        <v>0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431</v>
      </c>
      <c r="B63" s="61">
        <v>18</v>
      </c>
      <c r="C63" s="21">
        <f>D63/I54*B63</f>
        <v>4734.0000000000009</v>
      </c>
      <c r="D63" s="43">
        <f t="shared" si="13"/>
        <v>5891.2000000000007</v>
      </c>
      <c r="E63" s="22">
        <f>D63/D67</f>
        <v>0.43842467180662642</v>
      </c>
      <c r="F63" s="21">
        <f t="shared" si="12"/>
        <v>685.12500000000045</v>
      </c>
      <c r="G63" s="21">
        <f t="shared" si="14"/>
        <v>852.60000000000036</v>
      </c>
      <c r="H63" s="22">
        <f>G63/G67</f>
        <v>3.6744298298539903E-2</v>
      </c>
      <c r="I63" s="21">
        <f>J63/I54*B63</f>
        <v>-4048.8750000000005</v>
      </c>
      <c r="J63" s="43">
        <f t="shared" si="8"/>
        <v>-5038.6000000000004</v>
      </c>
      <c r="K63" s="43">
        <f>K60*5+K59*4+K58*3+K57*2+K56</f>
        <v>-5038.6000000000004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6298.2500000000009</v>
      </c>
      <c r="G64" s="21">
        <f t="shared" ref="G64:G65" si="16">J64</f>
        <v>5038.6000000000004</v>
      </c>
      <c r="H64" s="22">
        <f>G64/G67</f>
        <v>0.21714733920598531</v>
      </c>
      <c r="I64" s="21">
        <f>J64/I54*B64</f>
        <v>6298.2500000000009</v>
      </c>
      <c r="J64" s="43">
        <f t="shared" si="8"/>
        <v>5038.6000000000004</v>
      </c>
      <c r="K64" s="43">
        <f>-K60*5-K59*4-K58*3-K57*2-K56*1</f>
        <v>5038.6000000000004</v>
      </c>
      <c r="L64" s="43">
        <v>0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432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1247.625</v>
      </c>
      <c r="G65" s="21">
        <f t="shared" si="16"/>
        <v>13973.4</v>
      </c>
      <c r="H65" s="22">
        <f>G65/G67</f>
        <v>0.60220827802582355</v>
      </c>
      <c r="I65" s="21">
        <f>J65/I54*B65</f>
        <v>1247.625</v>
      </c>
      <c r="J65" s="43">
        <f t="shared" si="8"/>
        <v>13973.4</v>
      </c>
      <c r="K65" s="43">
        <f>-K60*11-K59*9-K58*7-K57*5-K56*3</f>
        <v>13973.4</v>
      </c>
      <c r="L65" s="43">
        <v>0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433</v>
      </c>
      <c r="B66" s="61">
        <v>28</v>
      </c>
      <c r="C66" s="21">
        <f>D66/I54*B66</f>
        <v>404.2499999999992</v>
      </c>
      <c r="D66" s="43">
        <f>G52*L51</f>
        <v>323.39999999999935</v>
      </c>
      <c r="E66" s="22">
        <f>D66/D67</f>
        <v>2.406751406543025E-2</v>
      </c>
      <c r="F66" s="21">
        <f>I66+C66</f>
        <v>404.2499999999992</v>
      </c>
      <c r="G66" s="21">
        <v>0</v>
      </c>
      <c r="H66" s="22">
        <v>0</v>
      </c>
      <c r="I66" s="21">
        <v>0</v>
      </c>
      <c r="J66" s="43">
        <f t="shared" si="8"/>
        <v>0</v>
      </c>
      <c r="K66" s="43">
        <v>0</v>
      </c>
      <c r="L66" s="43">
        <v>0</v>
      </c>
      <c r="M66" s="43">
        <v>0</v>
      </c>
      <c r="N66" s="1"/>
      <c r="O66" s="24">
        <f>D62+L62</f>
        <v>3326.4</v>
      </c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15169.25</v>
      </c>
      <c r="D67" s="43">
        <f t="shared" si="17"/>
        <v>13437.2</v>
      </c>
      <c r="E67" s="22">
        <f t="shared" si="17"/>
        <v>1</v>
      </c>
      <c r="F67" s="62">
        <f t="shared" si="17"/>
        <v>15169.25</v>
      </c>
      <c r="G67" s="21">
        <f t="shared" si="17"/>
        <v>23203.599999999999</v>
      </c>
      <c r="H67" s="22">
        <f t="shared" si="17"/>
        <v>1</v>
      </c>
      <c r="I67" s="21">
        <f>SUM(I56:I66)</f>
        <v>9.0949470177292824E-13</v>
      </c>
      <c r="J67" s="21">
        <f>SUM(J56:J66)</f>
        <v>10077.200000000001</v>
      </c>
      <c r="K67" s="21">
        <f>SUM(K56:K66)</f>
        <v>10077.200000000001</v>
      </c>
      <c r="L67" s="21">
        <f>SUM(L56:L66)</f>
        <v>0</v>
      </c>
      <c r="M67" s="21"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2.7732703528757985</v>
      </c>
      <c r="J69" s="1"/>
      <c r="K69" s="24">
        <f>D59-D62/4</f>
        <v>-621.6</v>
      </c>
      <c r="L69" s="1"/>
      <c r="M69" s="1">
        <f>D59*4</f>
        <v>840</v>
      </c>
      <c r="N69" s="1" t="s">
        <v>112</v>
      </c>
      <c r="O69" s="24">
        <f>D62+L57</f>
        <v>3326.4</v>
      </c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12" t="s">
        <v>114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114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24" t="s">
        <v>139</v>
      </c>
      <c r="G88" s="125"/>
      <c r="H88" s="125"/>
      <c r="I88" s="125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434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435</v>
      </c>
      <c r="B91" s="102">
        <v>35.700000000000003</v>
      </c>
      <c r="C91" s="102">
        <v>-74.599999999999994</v>
      </c>
      <c r="D91" s="78">
        <v>12</v>
      </c>
      <c r="E91" s="37" t="s">
        <v>115</v>
      </c>
      <c r="F91" s="7"/>
      <c r="G91" s="7"/>
      <c r="H91" s="109">
        <f>H36</f>
        <v>36876784.791666672</v>
      </c>
      <c r="I91" s="109">
        <f>E6*(1-I6)/D13*N50*20*1000/3600</f>
        <v>42297.458333333336</v>
      </c>
      <c r="J91" s="109">
        <f>(K60/D13*C108+K59/D13*C107+K58/D13*C106+K57/D13*C105+K56/D13*C104)*1000/3600*1000</f>
        <v>-12028434.722222224</v>
      </c>
      <c r="K91" s="109">
        <f>L56/D13*C109*1000/3600*1000</f>
        <v>0</v>
      </c>
      <c r="L91" s="21">
        <v>0</v>
      </c>
      <c r="M91" s="21">
        <f>H91+I91+J91+K91</f>
        <v>24890647.527777784</v>
      </c>
      <c r="N91" s="80"/>
      <c r="O91" s="1"/>
      <c r="P91" s="1"/>
      <c r="Q91" s="1"/>
    </row>
    <row r="92" spans="1:17" ht="15.75" customHeight="1" thickTop="1" thickBot="1">
      <c r="A92" s="20" t="s">
        <v>436</v>
      </c>
      <c r="B92" s="102">
        <v>52.49</v>
      </c>
      <c r="C92" s="102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437</v>
      </c>
      <c r="B93" s="102">
        <v>73.599999999999994</v>
      </c>
      <c r="C93" s="102"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438</v>
      </c>
      <c r="B94" s="102">
        <v>98.49</v>
      </c>
      <c r="C94" s="102"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2853.0557192103797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439</v>
      </c>
      <c r="B95" s="102">
        <v>120.04</v>
      </c>
      <c r="C95" s="102"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440</v>
      </c>
      <c r="B96" s="102">
        <v>29.38</v>
      </c>
      <c r="C96" s="102"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441</v>
      </c>
      <c r="B97" s="102">
        <v>37.14</v>
      </c>
      <c r="C97" s="102"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442</v>
      </c>
      <c r="B98" s="102">
        <v>33.6</v>
      </c>
      <c r="C98" s="102"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102">
        <v>29.14</v>
      </c>
      <c r="C99" s="102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443</v>
      </c>
      <c r="B100" s="102">
        <v>28.84</v>
      </c>
      <c r="C100" s="102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444</v>
      </c>
      <c r="B101" s="103">
        <v>29.12</v>
      </c>
      <c r="C101" s="43"/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445</v>
      </c>
      <c r="B102" s="104">
        <f>B91*E56+B92*E57+B93*E58+B94*E59+B95*E60+B96*E61+B97*E62+B98*E63+B99*E64+B100*E65+B101*E66</f>
        <v>36.669089393623672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446</v>
      </c>
      <c r="B103" s="105">
        <f>B91*H56+B92*H57+B93*H58+B94*H59+B95*H60+B96*H61+B97*H62+B98*H63+B99*H64+B100*H65+B101*H66</f>
        <v>30.319434053336551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106">
        <f>C99-C91-C98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107">
        <f>2*C99-C92-2*C98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108">
        <f>C99*3-C93-3*C98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108">
        <f>C99*4-C94-C98*4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108">
        <f>C99*5-C95-C98*5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47"/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0,3; 1,4</vt:lpstr>
      <vt:lpstr>доп усл</vt:lpstr>
      <vt:lpstr>0,15-1,1</vt:lpstr>
      <vt:lpstr>0,15-1,3</vt:lpstr>
      <vt:lpstr>0,15; 1,4</vt:lpstr>
      <vt:lpstr>0,2; 1,4</vt:lpstr>
      <vt:lpstr>0,35; 1,4</vt:lpstr>
      <vt:lpstr>0,4; 1,4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Леготин Андрей Александрович</cp:lastModifiedBy>
  <dcterms:created xsi:type="dcterms:W3CDTF">2024-04-18T20:19:19Z</dcterms:created>
  <dcterms:modified xsi:type="dcterms:W3CDTF">2024-05-23T21:04:10Z</dcterms:modified>
</cp:coreProperties>
</file>