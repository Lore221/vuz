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8_{3D05E175-E88C-42D9-B77F-8AF6637D99E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0,15; 1,4(задание)" sheetId="1" r:id="rId1"/>
    <sheet name="0,15; 1,4 (исходные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J91" i="1"/>
  <c r="C104" i="1"/>
  <c r="L56" i="1"/>
  <c r="C109" i="2"/>
  <c r="C108" i="2"/>
  <c r="C107" i="2"/>
  <c r="C105" i="2"/>
  <c r="C98" i="2"/>
  <c r="C97" i="2"/>
  <c r="C110" i="2" s="1"/>
  <c r="C96" i="2"/>
  <c r="C95" i="2"/>
  <c r="C94" i="2"/>
  <c r="C93" i="2"/>
  <c r="C106" i="2" s="1"/>
  <c r="K77" i="2"/>
  <c r="N75" i="2"/>
  <c r="J66" i="2"/>
  <c r="E65" i="2"/>
  <c r="E64" i="2"/>
  <c r="J61" i="2"/>
  <c r="I61" i="2"/>
  <c r="G61" i="2"/>
  <c r="E61" i="2"/>
  <c r="C61" i="2"/>
  <c r="K57" i="2"/>
  <c r="J56" i="2"/>
  <c r="I56" i="2"/>
  <c r="L51" i="2"/>
  <c r="N50" i="2" s="1"/>
  <c r="I91" i="2" s="1"/>
  <c r="C49" i="2"/>
  <c r="C40" i="2"/>
  <c r="C39" i="2"/>
  <c r="C38" i="2"/>
  <c r="C37" i="2"/>
  <c r="C36" i="2"/>
  <c r="C35" i="2"/>
  <c r="C34" i="2"/>
  <c r="F29" i="2"/>
  <c r="N26" i="2"/>
  <c r="I26" i="2"/>
  <c r="C25" i="2"/>
  <c r="C24" i="2"/>
  <c r="D22" i="2"/>
  <c r="D21" i="2"/>
  <c r="J21" i="2" s="1"/>
  <c r="I21" i="2" s="1"/>
  <c r="C21" i="2"/>
  <c r="F21" i="2" s="1"/>
  <c r="D20" i="2"/>
  <c r="D18" i="2"/>
  <c r="E12" i="2"/>
  <c r="C109" i="1"/>
  <c r="C106" i="1"/>
  <c r="C105" i="1"/>
  <c r="C98" i="1"/>
  <c r="C97" i="1"/>
  <c r="C96" i="1"/>
  <c r="C95" i="1"/>
  <c r="C108" i="1" s="1"/>
  <c r="C94" i="1"/>
  <c r="C107" i="1" s="1"/>
  <c r="C93" i="1"/>
  <c r="N75" i="1"/>
  <c r="J66" i="1"/>
  <c r="E65" i="1"/>
  <c r="E64" i="1"/>
  <c r="J61" i="1"/>
  <c r="I61" i="1"/>
  <c r="G61" i="1"/>
  <c r="E61" i="1"/>
  <c r="C61" i="1"/>
  <c r="F61" i="1" s="1"/>
  <c r="L51" i="1"/>
  <c r="N50" i="1"/>
  <c r="I91" i="1" s="1"/>
  <c r="C49" i="1"/>
  <c r="C47" i="1"/>
  <c r="C46" i="1"/>
  <c r="C45" i="1"/>
  <c r="C40" i="1"/>
  <c r="C39" i="1"/>
  <c r="C38" i="1"/>
  <c r="C48" i="1" s="1"/>
  <c r="C37" i="1"/>
  <c r="C36" i="1"/>
  <c r="C35" i="1"/>
  <c r="C34" i="1"/>
  <c r="I29" i="1"/>
  <c r="F29" i="1"/>
  <c r="N26" i="1"/>
  <c r="I26" i="1"/>
  <c r="D25" i="1"/>
  <c r="C25" i="1"/>
  <c r="C24" i="1"/>
  <c r="D23" i="1"/>
  <c r="C23" i="1"/>
  <c r="D22" i="1"/>
  <c r="C22" i="1"/>
  <c r="D20" i="1"/>
  <c r="D19" i="1"/>
  <c r="C19" i="1"/>
  <c r="D18" i="1"/>
  <c r="C18" i="1"/>
  <c r="E12" i="1"/>
  <c r="M18" i="1" l="1"/>
  <c r="J19" i="1"/>
  <c r="M19" i="1"/>
  <c r="N19" i="1" s="1"/>
  <c r="G19" i="1"/>
  <c r="M22" i="2"/>
  <c r="C22" i="2"/>
  <c r="J22" i="2"/>
  <c r="G22" i="2" s="1"/>
  <c r="M20" i="1"/>
  <c r="C20" i="1"/>
  <c r="J20" i="1"/>
  <c r="I20" i="1" s="1"/>
  <c r="G20" i="2"/>
  <c r="C46" i="2"/>
  <c r="C45" i="2"/>
  <c r="D26" i="1"/>
  <c r="G21" i="2"/>
  <c r="F61" i="2"/>
  <c r="M18" i="2"/>
  <c r="C18" i="2"/>
  <c r="D19" i="2"/>
  <c r="D23" i="2"/>
  <c r="G52" i="2"/>
  <c r="G52" i="1"/>
  <c r="D21" i="1"/>
  <c r="J22" i="1"/>
  <c r="M21" i="2"/>
  <c r="C47" i="2"/>
  <c r="M20" i="2"/>
  <c r="C20" i="2"/>
  <c r="L30" i="1"/>
  <c r="E36" i="1" s="1"/>
  <c r="M22" i="1"/>
  <c r="J20" i="2"/>
  <c r="I20" i="2" s="1"/>
  <c r="C48" i="2"/>
  <c r="N21" i="2" l="1"/>
  <c r="O21" i="2"/>
  <c r="O22" i="2"/>
  <c r="N22" i="2"/>
  <c r="M23" i="2"/>
  <c r="M24" i="2"/>
  <c r="M25" i="2"/>
  <c r="D57" i="2"/>
  <c r="D60" i="2"/>
  <c r="D66" i="2"/>
  <c r="D59" i="2"/>
  <c r="D58" i="2"/>
  <c r="D26" i="2"/>
  <c r="C23" i="2"/>
  <c r="C19" i="2"/>
  <c r="M19" i="2"/>
  <c r="N19" i="2" s="1"/>
  <c r="J19" i="2"/>
  <c r="G19" i="2" s="1"/>
  <c r="G20" i="1"/>
  <c r="O20" i="2"/>
  <c r="N20" i="2"/>
  <c r="F20" i="1"/>
  <c r="O18" i="2"/>
  <c r="N18" i="2"/>
  <c r="N20" i="1"/>
  <c r="O20" i="1"/>
  <c r="M21" i="1"/>
  <c r="J21" i="1"/>
  <c r="I21" i="1" s="1"/>
  <c r="E21" i="1"/>
  <c r="G21" i="1"/>
  <c r="C21" i="1"/>
  <c r="F21" i="1" s="1"/>
  <c r="D27" i="2"/>
  <c r="O18" i="1"/>
  <c r="N18" i="1"/>
  <c r="E26" i="1"/>
  <c r="G26" i="1"/>
  <c r="C26" i="1"/>
  <c r="F26" i="1" s="1"/>
  <c r="O26" i="1"/>
  <c r="I22" i="1"/>
  <c r="F22" i="1" s="1"/>
  <c r="F20" i="2"/>
  <c r="O22" i="1"/>
  <c r="M23" i="1"/>
  <c r="N22" i="1"/>
  <c r="I22" i="2"/>
  <c r="F22" i="2" s="1"/>
  <c r="I19" i="1"/>
  <c r="F19" i="1" s="1"/>
  <c r="O19" i="1"/>
  <c r="G22" i="1"/>
  <c r="D57" i="1"/>
  <c r="D58" i="1"/>
  <c r="D66" i="1"/>
  <c r="D59" i="1"/>
  <c r="D60" i="1"/>
  <c r="D27" i="1"/>
  <c r="N23" i="1" l="1"/>
  <c r="O23" i="1"/>
  <c r="O16" i="1" s="1"/>
  <c r="E24" i="2"/>
  <c r="E25" i="2"/>
  <c r="E18" i="2"/>
  <c r="E22" i="2"/>
  <c r="E20" i="2"/>
  <c r="E21" i="2"/>
  <c r="E26" i="2"/>
  <c r="O26" i="2"/>
  <c r="C26" i="2"/>
  <c r="F26" i="2" s="1"/>
  <c r="G26" i="2"/>
  <c r="N25" i="2"/>
  <c r="O25" i="2"/>
  <c r="C66" i="1"/>
  <c r="F66" i="1" s="1"/>
  <c r="G72" i="1"/>
  <c r="K58" i="1"/>
  <c r="J58" i="1" s="1"/>
  <c r="I58" i="1" s="1"/>
  <c r="C58" i="1"/>
  <c r="F58" i="1" s="1"/>
  <c r="G58" i="1"/>
  <c r="N23" i="2"/>
  <c r="O23" i="2"/>
  <c r="O16" i="2" s="1"/>
  <c r="G18" i="2" s="1"/>
  <c r="G73" i="1"/>
  <c r="C59" i="1"/>
  <c r="K59" i="1"/>
  <c r="J59" i="1" s="1"/>
  <c r="I59" i="1" s="1"/>
  <c r="M69" i="1"/>
  <c r="O24" i="2"/>
  <c r="N24" i="2"/>
  <c r="F19" i="2"/>
  <c r="C27" i="2"/>
  <c r="N21" i="1"/>
  <c r="O21" i="1"/>
  <c r="K73" i="2"/>
  <c r="K60" i="2"/>
  <c r="C60" i="2"/>
  <c r="G60" i="2"/>
  <c r="O27" i="2"/>
  <c r="G72" i="2"/>
  <c r="M69" i="2"/>
  <c r="K75" i="2"/>
  <c r="K74" i="2"/>
  <c r="K59" i="2"/>
  <c r="J59" i="2" s="1"/>
  <c r="I59" i="2" s="1"/>
  <c r="J76" i="2"/>
  <c r="C59" i="2"/>
  <c r="C66" i="2"/>
  <c r="F66" i="2" s="1"/>
  <c r="E24" i="1"/>
  <c r="E18" i="1"/>
  <c r="E25" i="1"/>
  <c r="E23" i="1"/>
  <c r="E19" i="1"/>
  <c r="E20" i="1"/>
  <c r="E22" i="1"/>
  <c r="M24" i="1"/>
  <c r="E23" i="2"/>
  <c r="N27" i="2"/>
  <c r="I19" i="2"/>
  <c r="O19" i="2"/>
  <c r="J77" i="2"/>
  <c r="C58" i="2"/>
  <c r="K58" i="2"/>
  <c r="J58" i="2" s="1"/>
  <c r="I58" i="2" s="1"/>
  <c r="C57" i="1"/>
  <c r="G71" i="1"/>
  <c r="K57" i="1"/>
  <c r="E19" i="2"/>
  <c r="K60" i="1"/>
  <c r="C60" i="1"/>
  <c r="G74" i="1"/>
  <c r="H72" i="1" s="1"/>
  <c r="H71" i="1" s="1"/>
  <c r="M25" i="1"/>
  <c r="C27" i="1"/>
  <c r="L57" i="2"/>
  <c r="J78" i="2"/>
  <c r="C57" i="2"/>
  <c r="F59" i="1" l="1"/>
  <c r="N24" i="1"/>
  <c r="N27" i="1" s="1"/>
  <c r="O24" i="1"/>
  <c r="G59" i="1"/>
  <c r="G59" i="2"/>
  <c r="J60" i="1"/>
  <c r="L65" i="2"/>
  <c r="L64" i="2"/>
  <c r="L62" i="2"/>
  <c r="J62" i="2" s="1"/>
  <c r="J57" i="2"/>
  <c r="K91" i="2"/>
  <c r="K78" i="2"/>
  <c r="M77" i="2"/>
  <c r="F58" i="2"/>
  <c r="J91" i="2"/>
  <c r="K65" i="2"/>
  <c r="J65" i="2" s="1"/>
  <c r="K64" i="2"/>
  <c r="K63" i="2"/>
  <c r="J63" i="2" s="1"/>
  <c r="J60" i="2"/>
  <c r="I60" i="2" s="1"/>
  <c r="F60" i="2" s="1"/>
  <c r="J18" i="1"/>
  <c r="D56" i="1"/>
  <c r="E27" i="1"/>
  <c r="B42" i="1"/>
  <c r="F36" i="1" s="1"/>
  <c r="M74" i="2"/>
  <c r="B42" i="2"/>
  <c r="F36" i="2" s="1"/>
  <c r="E27" i="2"/>
  <c r="G58" i="2"/>
  <c r="F59" i="2"/>
  <c r="K76" i="2"/>
  <c r="J74" i="2"/>
  <c r="O25" i="1"/>
  <c r="N25" i="1"/>
  <c r="L57" i="1"/>
  <c r="J18" i="2"/>
  <c r="D56" i="2"/>
  <c r="I57" i="2" l="1"/>
  <c r="J67" i="2"/>
  <c r="G57" i="2"/>
  <c r="J57" i="1"/>
  <c r="C56" i="2"/>
  <c r="G56" i="2"/>
  <c r="J64" i="2"/>
  <c r="O27" i="1"/>
  <c r="I65" i="2"/>
  <c r="F65" i="2" s="1"/>
  <c r="G65" i="2"/>
  <c r="I60" i="1"/>
  <c r="F60" i="1" s="1"/>
  <c r="G60" i="1"/>
  <c r="H36" i="2"/>
  <c r="H91" i="2" s="1"/>
  <c r="M91" i="2" s="1"/>
  <c r="H36" i="1"/>
  <c r="H91" i="1" s="1"/>
  <c r="I18" i="2"/>
  <c r="J25" i="2"/>
  <c r="J23" i="2"/>
  <c r="G36" i="2"/>
  <c r="J24" i="2"/>
  <c r="C56" i="1"/>
  <c r="G70" i="1"/>
  <c r="I62" i="2"/>
  <c r="I63" i="2"/>
  <c r="I18" i="1"/>
  <c r="G36" i="1"/>
  <c r="J25" i="1"/>
  <c r="J23" i="1"/>
  <c r="J24" i="1"/>
  <c r="I23" i="1" l="1"/>
  <c r="F23" i="1" s="1"/>
  <c r="G23" i="1"/>
  <c r="F18" i="1"/>
  <c r="I24" i="1"/>
  <c r="F24" i="1" s="1"/>
  <c r="G24" i="1"/>
  <c r="I25" i="1"/>
  <c r="F25" i="1" s="1"/>
  <c r="G25" i="1"/>
  <c r="G24" i="2"/>
  <c r="I24" i="2"/>
  <c r="F24" i="2" s="1"/>
  <c r="I64" i="2"/>
  <c r="F64" i="2" s="1"/>
  <c r="G64" i="2"/>
  <c r="I69" i="2" s="1"/>
  <c r="I67" i="2"/>
  <c r="F57" i="2"/>
  <c r="G75" i="1"/>
  <c r="H70" i="1"/>
  <c r="G25" i="2"/>
  <c r="I25" i="2"/>
  <c r="F25" i="2" s="1"/>
  <c r="I27" i="2"/>
  <c r="F18" i="2"/>
  <c r="F27" i="2" s="1"/>
  <c r="I57" i="1"/>
  <c r="F57" i="1" s="1"/>
  <c r="G57" i="1"/>
  <c r="J27" i="1"/>
  <c r="I23" i="2"/>
  <c r="F23" i="2" s="1"/>
  <c r="G23" i="2"/>
  <c r="J27" i="2"/>
  <c r="F56" i="2"/>
  <c r="I27" i="1" l="1"/>
  <c r="F27" i="1"/>
  <c r="D63" i="2"/>
  <c r="D62" i="2"/>
  <c r="H24" i="2"/>
  <c r="G27" i="1"/>
  <c r="D63" i="1"/>
  <c r="H25" i="1"/>
  <c r="H23" i="2"/>
  <c r="G27" i="2"/>
  <c r="D62" i="1"/>
  <c r="P63" i="1" l="1"/>
  <c r="G76" i="1"/>
  <c r="I70" i="1" s="1"/>
  <c r="P59" i="1"/>
  <c r="P60" i="1" s="1"/>
  <c r="P61" i="1" s="1"/>
  <c r="E63" i="1"/>
  <c r="C63" i="1"/>
  <c r="H19" i="1"/>
  <c r="H20" i="1"/>
  <c r="H22" i="1"/>
  <c r="H26" i="1"/>
  <c r="H21" i="1"/>
  <c r="H18" i="1"/>
  <c r="H23" i="1"/>
  <c r="P63" i="2"/>
  <c r="C63" i="2"/>
  <c r="F63" i="2" s="1"/>
  <c r="P59" i="2"/>
  <c r="P60" i="2" s="1"/>
  <c r="P61" i="2" s="1"/>
  <c r="A29" i="2"/>
  <c r="G63" i="2"/>
  <c r="E62" i="1"/>
  <c r="C62" i="1"/>
  <c r="O69" i="1"/>
  <c r="K69" i="1"/>
  <c r="D67" i="1"/>
  <c r="H24" i="1"/>
  <c r="O66" i="2"/>
  <c r="C62" i="2"/>
  <c r="O69" i="2"/>
  <c r="K69" i="2"/>
  <c r="D67" i="2"/>
  <c r="G62" i="2"/>
  <c r="H22" i="2"/>
  <c r="H21" i="2"/>
  <c r="H20" i="2"/>
  <c r="H19" i="2"/>
  <c r="H18" i="2"/>
  <c r="H26" i="2"/>
  <c r="H25" i="2"/>
  <c r="E59" i="2" l="1"/>
  <c r="E58" i="2"/>
  <c r="E57" i="2"/>
  <c r="E66" i="2"/>
  <c r="E60" i="2"/>
  <c r="E56" i="2"/>
  <c r="H63" i="2"/>
  <c r="C67" i="1"/>
  <c r="H27" i="2"/>
  <c r="B43" i="2"/>
  <c r="F62" i="2"/>
  <c r="F67" i="2" s="1"/>
  <c r="C67" i="2"/>
  <c r="E63" i="2"/>
  <c r="B43" i="1"/>
  <c r="H27" i="1"/>
  <c r="E62" i="2"/>
  <c r="G67" i="2"/>
  <c r="E57" i="1"/>
  <c r="E58" i="1"/>
  <c r="E59" i="1"/>
  <c r="E66" i="1"/>
  <c r="E60" i="1"/>
  <c r="E56" i="1"/>
  <c r="E67" i="2" l="1"/>
  <c r="B102" i="2"/>
  <c r="H61" i="2"/>
  <c r="H60" i="2"/>
  <c r="H59" i="2"/>
  <c r="H58" i="2"/>
  <c r="H65" i="2"/>
  <c r="H57" i="2"/>
  <c r="H56" i="2"/>
  <c r="H64" i="2"/>
  <c r="H62" i="2"/>
  <c r="B102" i="1"/>
  <c r="E67" i="1"/>
  <c r="H67" i="2" l="1"/>
  <c r="B103" i="2"/>
  <c r="I94" i="2" s="1"/>
  <c r="K63" i="1"/>
  <c r="A29" i="1" s="1"/>
  <c r="K65" i="1"/>
  <c r="K64" i="1"/>
  <c r="J63" i="1" l="1"/>
  <c r="G63" i="1" l="1"/>
  <c r="I63" i="1"/>
  <c r="F63" i="1" s="1"/>
  <c r="K91" i="1"/>
  <c r="M91" i="1" s="1"/>
  <c r="L62" i="1"/>
  <c r="J62" i="1" s="1"/>
  <c r="I62" i="1" s="1"/>
  <c r="F62" i="1" s="1"/>
  <c r="L65" i="1"/>
  <c r="J65" i="1" s="1"/>
  <c r="L64" i="1"/>
  <c r="J64" i="1" s="1"/>
  <c r="J56" i="1"/>
  <c r="I56" i="1" s="1"/>
  <c r="O66" i="1" l="1"/>
  <c r="I65" i="1"/>
  <c r="F65" i="1" s="1"/>
  <c r="G65" i="1"/>
  <c r="F56" i="1"/>
  <c r="G64" i="1"/>
  <c r="I64" i="1"/>
  <c r="F64" i="1" s="1"/>
  <c r="G62" i="1"/>
  <c r="G56" i="1"/>
  <c r="J67" i="1"/>
  <c r="F67" i="1" l="1"/>
  <c r="I67" i="1"/>
  <c r="I69" i="1"/>
  <c r="G67" i="1"/>
  <c r="H56" i="1" s="1"/>
  <c r="H60" i="1" l="1"/>
  <c r="H61" i="1"/>
  <c r="H57" i="1"/>
  <c r="H59" i="1"/>
  <c r="H63" i="1"/>
  <c r="H58" i="1"/>
  <c r="H65" i="1"/>
  <c r="H64" i="1"/>
  <c r="H62" i="1"/>
  <c r="H67" i="1" l="1"/>
  <c r="B103" i="1"/>
  <c r="I94" i="1" s="1"/>
</calcChain>
</file>

<file path=xl/sharedStrings.xml><?xml version="1.0" encoding="utf-8"?>
<sst xmlns="http://schemas.openxmlformats.org/spreadsheetml/2006/main" count="468" uniqueCount="234">
  <si>
    <t>Половникова К.В., Смирнова Е.Е. ВАРИАНТ 14</t>
  </si>
  <si>
    <t xml:space="preserve">При доли газа на горение равной 0,15 и коэффициенте избытка 1,4 недостаток кислорода минимальный. </t>
  </si>
  <si>
    <t>Расчет зоны горения</t>
  </si>
  <si>
    <t>Исходные данные</t>
  </si>
  <si>
    <t>Расход природного газа</t>
  </si>
  <si>
    <t>м3/ч</t>
  </si>
  <si>
    <t>Доля газа на горение</t>
  </si>
  <si>
    <t>состав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</si>
  <si>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</si>
  <si>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Коэффициент избытка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</si>
  <si>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</si>
  <si>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последовательность протекания реакций в зоне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</si>
  <si>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</si>
  <si>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СН4 + 2О2 = СО2 + 2Н2О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</si>
  <si>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</si>
  <si>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С2Н6 + 3,5О2 = 2СО2 + 3Н2О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</si>
  <si>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</si>
  <si>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С3Н8 + 5О2 = 3СО2 + 4Н2О</t>
  </si>
  <si>
    <t>азот</t>
  </si>
  <si>
    <t>С4Н10 + 6,5О2 = 4СО2 + 5Н2О</t>
  </si>
  <si>
    <t>С5Н12 + 8О2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</si>
  <si>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</si>
  <si>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</si>
  <si>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</si>
  <si>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</si>
  <si>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</si>
  <si>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</si>
  <si>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</si>
  <si>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</si>
  <si>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</si>
  <si>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</si>
  <si>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</si>
  <si>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</si>
  <si>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</si>
  <si>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</si>
  <si>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</si>
  <si>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Ch4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</si>
  <si>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</si>
  <si>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c2h6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</si>
  <si>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</si>
  <si>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c3h8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</si>
  <si>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</si>
  <si>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c4h10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</si>
  <si>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</si>
  <si>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c5h12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</si>
  <si>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</si>
  <si>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</si>
  <si>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</si>
  <si>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</si>
  <si>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</si>
  <si>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</si>
  <si>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</si>
  <si>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</si>
  <si>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t>Сумма</t>
  </si>
  <si>
    <t>Расход природного газа в зону горения</t>
  </si>
  <si>
    <t>Твх=</t>
  </si>
  <si>
    <t>С</t>
  </si>
  <si>
    <t>Дж/(моль/К)</t>
  </si>
  <si>
    <t>кДж/моль</t>
  </si>
  <si>
    <t>Твод.=</t>
  </si>
  <si>
    <t>ΔTводы=</t>
  </si>
  <si>
    <t>Ср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</si>
  <si>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</si>
  <si>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</si>
  <si>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</si>
  <si>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Дж/с</t>
  </si>
  <si>
    <t>Тепловой баланс зоны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</si>
  <si>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</si>
  <si>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</si>
  <si>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Q вод. пара</t>
  </si>
  <si>
    <t>Q вх</t>
  </si>
  <si>
    <t>Q хр</t>
  </si>
  <si>
    <t>Q вых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</si>
  <si>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</si>
  <si>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</si>
  <si>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</si>
  <si>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</si>
  <si>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</si>
  <si>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</si>
  <si>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</si>
  <si>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</si>
  <si>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</si>
  <si>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</si>
  <si>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</si>
  <si>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</si>
  <si>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</si>
  <si>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</si>
  <si>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</si>
  <si>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</si>
  <si>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</si>
  <si>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</si>
  <si>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</si>
  <si>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</si>
  <si>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</si>
  <si>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</si>
  <si>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</si>
  <si>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</si>
  <si>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</si>
  <si>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</si>
  <si>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</si>
  <si>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</si>
  <si>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</si>
  <si>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</si>
  <si>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</si>
  <si>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</si>
  <si>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</si>
  <si>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</si>
  <si>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</si>
  <si>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</si>
  <si>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</si>
  <si>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t>CO</t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</si>
  <si>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</si>
  <si>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</si>
  <si>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t>Соотношение Н2/СО</t>
  </si>
  <si>
    <t>со2</t>
  </si>
  <si>
    <t>CH4+H2O=CO+3H2</t>
  </si>
  <si>
    <t>нет</t>
  </si>
  <si>
    <t>C2H6+2H2O=2CO+5H2</t>
  </si>
  <si>
    <t>да</t>
  </si>
  <si>
    <t>C3H8+3H2O=3CO+7H2</t>
  </si>
  <si>
    <t>C4H10+4H2O=4CO+9H2</t>
  </si>
  <si>
    <t>C5H12+5H2O=5CO+11H2</t>
  </si>
  <si>
    <t>надо воды</t>
  </si>
  <si>
    <t>CH4+CO2=2CO+2H2</t>
  </si>
  <si>
    <t xml:space="preserve">вода которая есть </t>
  </si>
  <si>
    <t>C2H6+2CO2=4CO+3H2</t>
  </si>
  <si>
    <t>C3H8+3CO2=6CO+4H2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</si>
  <si>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</si>
  <si>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</si>
  <si>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</si>
  <si>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</si>
  <si>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</si>
  <si>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</si>
  <si>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</si>
  <si>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</si>
  <si>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</si>
  <si>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</si>
  <si>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Q вых гор</t>
  </si>
  <si>
    <t>Q вх пг</t>
  </si>
  <si>
    <t>Q пк</t>
  </si>
  <si>
    <t>Q ук</t>
  </si>
  <si>
    <t>Q по</t>
  </si>
  <si>
    <t>Q вых кон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</si>
  <si>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</si>
  <si>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</si>
  <si>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</si>
  <si>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</si>
  <si>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Т вых</t>
  </si>
  <si>
    <t>°С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</si>
  <si>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</si>
  <si>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</si>
  <si>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</si>
  <si>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</si>
  <si>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</si>
  <si>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</si>
  <si>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</si>
  <si>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</si>
  <si>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</si>
  <si>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</si>
  <si>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</si>
  <si>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</si>
  <si>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</si>
  <si>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</si>
  <si>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</si>
  <si>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</si>
  <si>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</si>
  <si>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</si>
  <si>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</si>
  <si>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</si>
  <si>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</si>
  <si>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</si>
  <si>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</si>
  <si>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</si>
  <si>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</si>
  <si>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</si>
  <si>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</si>
  <si>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</si>
  <si>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</si>
  <si>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</si>
  <si>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</si>
  <si>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</si>
  <si>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</si>
  <si>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</si>
  <si>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</si>
  <si>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</si>
  <si>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</si>
  <si>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</si>
  <si>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</si>
  <si>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</si>
  <si>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</si>
  <si>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</si>
  <si>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</si>
  <si>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</si>
  <si>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</si>
  <si>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</si>
  <si>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</si>
  <si>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</si>
  <si>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</si>
  <si>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</si>
  <si>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</si>
  <si>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</si>
  <si>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</si>
  <si>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</si>
  <si>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</si>
  <si>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</si>
  <si>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</si>
  <si>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</si>
  <si>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</si>
  <si>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</si>
  <si>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</si>
  <si>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</si>
  <si>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</si>
  <si>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t>вода</t>
  </si>
  <si>
    <t>ПГ</t>
  </si>
  <si>
    <t>ХВАТАЕТ</t>
  </si>
  <si>
    <t>ост после пк с пент</t>
  </si>
  <si>
    <t>не хватает</t>
  </si>
  <si>
    <t>пк бутана</t>
  </si>
  <si>
    <t>хватает</t>
  </si>
  <si>
    <t>пк пропана</t>
  </si>
  <si>
    <t>пк этана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</si>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</sst>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31">
    <font>
      <sz val="10"/>
      <color rgb="FF000000"/>
      <name val="Arial"/>
      <scheme val="minor"/>
    </font>
    <font>
      <sz val="10"/>
      <color theme="1"/>
      <name val="Arial"/>
    </font>
    <font>
      <sz val="14"/>
      <color rgb="FF333333"/>
      <name val="Arial"/>
    </font>
    <font>
      <b/>
      <sz val="12"/>
      <color rgb="FF800000"/>
      <name val="Arial"/>
    </font>
    <font>
      <sz val="12"/>
      <color theme="1"/>
      <name val="Arial"/>
    </font>
    <font>
      <sz val="10"/>
      <color rgb="FF333333"/>
      <name val="Arial"/>
    </font>
    <font>
      <sz val="10"/>
      <color rgb="FF000000"/>
      <name val="Arial"/>
    </font>
    <font>
      <sz val="12"/>
      <color rgb="FF800000"/>
      <name val="Arial"/>
    </font>
    <font>
      <sz val="10"/>
      <name val="Arial"/>
    </font>
    <font>
      <b/>
      <sz val="10"/>
      <color rgb="FF333333"/>
      <name val="Arial"/>
    </font>
    <font>
      <b/>
      <sz val="10"/>
      <color rgb="FF4A86E8"/>
      <name val="Arial"/>
    </font>
    <font>
      <sz val="9"/>
      <color rgb="FF000000"/>
      <name val="Arial"/>
    </font>
    <font>
      <sz val="10"/>
      <color rgb="FF800000"/>
      <name val="Arial"/>
    </font>
    <font>
      <sz val="12"/>
      <color rgb="FF333333"/>
      <name val="Arial"/>
    </font>
    <font>
      <sz val="11"/>
      <color rgb="FF1F1F1F"/>
      <name val="Arial"/>
    </font>
    <font>
      <b/>
      <sz val="12"/>
      <color theme="1"/>
      <name val="Arial"/>
    </font>
    <font>
      <sz val="10"/>
      <color rgb="FF000000"/>
      <name val="Arial"/>
    </font>
    <font>
      <b/>
      <sz val="12"/>
      <color rgb="FF333333"/>
      <name val="Arial"/>
    </font>
    <font>
      <sz val="9"/>
      <color rgb="FF7E3794"/>
      <name val="&quot;Google Sans Mono&quot;"/>
    </font>
    <font>
      <sz val="9"/>
      <color rgb="FF1155CC"/>
      <name val="&quot;Google Sans Mono&quot;"/>
    </font>
    <font>
      <b/>
      <sz val="10"/>
      <color theme="1"/>
      <name val="Arial"/>
    </font>
    <font>
      <b/>
      <sz val="14"/>
      <color rgb="FF800000"/>
      <name val="Arial"/>
    </font>
    <font>
      <sz val="10"/>
      <color rgb="FF980000"/>
      <name val="Arial"/>
    </font>
    <font>
      <b/>
      <sz val="14"/>
      <color theme="1"/>
      <name val="Arial"/>
    </font>
    <font>
      <sz val="9"/>
      <color rgb="FF1155CC"/>
      <name val="Arial"/>
    </font>
    <font>
      <sz val="9"/>
      <color rgb="FF7E3794"/>
      <name val="Arial"/>
    </font>
    <font>
      <vertAlign val="subscript"/>
      <sz val="10"/>
      <color rgb="FF333333"/>
      <name val="Arial"/>
    </font>
    <font>
      <vertAlign val="subscript"/>
      <sz val="10"/>
      <color theme="1"/>
      <name val="Arial"/>
    </font>
    <font>
      <b/>
      <vertAlign val="subscript"/>
      <sz val="12"/>
      <color theme="1"/>
      <name val="Arial"/>
    </font>
    <font>
      <vertAlign val="subscript"/>
      <sz val="12"/>
      <color rgb="FF333333"/>
      <name val="Arial"/>
    </font>
    <font>
      <b/>
      <vertAlign val="subscript"/>
      <sz val="12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8080"/>
      </right>
      <top/>
      <bottom/>
      <diagonal/>
    </border>
    <border>
      <left/>
      <right style="thick">
        <color rgb="FF800000"/>
      </right>
      <top/>
      <bottom style="thick">
        <color rgb="FF80808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/>
      <right/>
      <top/>
      <bottom/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000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hair">
        <color rgb="FF000000"/>
      </left>
      <right/>
      <top/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 style="thick">
        <color rgb="FF808080"/>
      </left>
      <right style="thick">
        <color rgb="FF800000"/>
      </right>
      <top/>
      <bottom style="thick">
        <color rgb="FF80808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/>
      <right style="hair">
        <color rgb="FF000000"/>
      </right>
      <top/>
      <bottom style="thick">
        <color rgb="FF8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7" fillId="0" borderId="1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3" fontId="1" fillId="0" borderId="6" xfId="0" applyNumberFormat="1" applyFont="1" applyBorder="1"/>
    <xf numFmtId="164" fontId="1" fillId="0" borderId="6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3" fontId="1" fillId="0" borderId="9" xfId="0" applyNumberFormat="1" applyFont="1" applyBorder="1"/>
    <xf numFmtId="0" fontId="1" fillId="0" borderId="6" xfId="0" applyFont="1" applyBorder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0" fontId="1" fillId="0" borderId="10" xfId="0" applyFont="1" applyBorder="1" applyAlignment="1">
      <alignment horizontal="center"/>
    </xf>
    <xf numFmtId="165" fontId="1" fillId="0" borderId="0" xfId="0" applyNumberFormat="1" applyFont="1"/>
    <xf numFmtId="0" fontId="1" fillId="0" borderId="8" xfId="0" applyFont="1" applyBorder="1" applyAlignment="1">
      <alignment horizontal="center"/>
    </xf>
    <xf numFmtId="3" fontId="10" fillId="2" borderId="6" xfId="0" applyNumberFormat="1" applyFont="1" applyFill="1" applyBorder="1"/>
    <xf numFmtId="164" fontId="1" fillId="0" borderId="9" xfId="0" applyNumberFormat="1" applyFont="1" applyBorder="1"/>
    <xf numFmtId="0" fontId="5" fillId="0" borderId="8" xfId="0" applyFont="1" applyBorder="1"/>
    <xf numFmtId="164" fontId="1" fillId="0" borderId="5" xfId="0" applyNumberFormat="1" applyFont="1" applyBorder="1"/>
    <xf numFmtId="164" fontId="1" fillId="0" borderId="0" xfId="0" applyNumberFormat="1" applyFont="1"/>
    <xf numFmtId="4" fontId="11" fillId="2" borderId="7" xfId="0" applyNumberFormat="1" applyFont="1" applyFill="1" applyBorder="1"/>
    <xf numFmtId="0" fontId="12" fillId="0" borderId="0" xfId="0" applyFont="1"/>
    <xf numFmtId="0" fontId="1" fillId="0" borderId="11" xfId="0" applyFont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5" fillId="0" borderId="8" xfId="0" applyFont="1" applyBorder="1"/>
    <xf numFmtId="0" fontId="15" fillId="0" borderId="6" xfId="0" applyFont="1" applyBorder="1"/>
    <xf numFmtId="0" fontId="1" fillId="2" borderId="0" xfId="0" applyFont="1" applyFill="1"/>
    <xf numFmtId="4" fontId="1" fillId="0" borderId="6" xfId="0" applyNumberFormat="1" applyFont="1" applyBorder="1"/>
    <xf numFmtId="0" fontId="16" fillId="2" borderId="0" xfId="0" applyFont="1" applyFill="1" applyAlignment="1">
      <alignment horizontal="left"/>
    </xf>
    <xf numFmtId="0" fontId="17" fillId="0" borderId="6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4" fontId="1" fillId="0" borderId="4" xfId="0" applyNumberFormat="1" applyFont="1" applyBorder="1"/>
    <xf numFmtId="0" fontId="18" fillId="2" borderId="0" xfId="0" applyFont="1" applyFill="1"/>
    <xf numFmtId="0" fontId="19" fillId="2" borderId="0" xfId="0" applyFont="1" applyFill="1"/>
    <xf numFmtId="4" fontId="1" fillId="0" borderId="2" xfId="0" applyNumberFormat="1" applyFont="1" applyBorder="1"/>
    <xf numFmtId="0" fontId="13" fillId="0" borderId="13" xfId="0" applyFont="1" applyBorder="1" applyAlignment="1">
      <alignment horizontal="center"/>
    </xf>
    <xf numFmtId="4" fontId="1" fillId="0" borderId="5" xfId="0" applyNumberFormat="1" applyFont="1" applyBorder="1"/>
    <xf numFmtId="4" fontId="1" fillId="0" borderId="14" xfId="0" applyNumberFormat="1" applyFont="1" applyBorder="1"/>
    <xf numFmtId="4" fontId="1" fillId="0" borderId="15" xfId="0" applyNumberFormat="1" applyFont="1" applyBorder="1"/>
    <xf numFmtId="4" fontId="1" fillId="0" borderId="1" xfId="0" applyNumberFormat="1" applyFont="1" applyBorder="1"/>
    <xf numFmtId="0" fontId="13" fillId="0" borderId="4" xfId="0" applyFont="1" applyBorder="1" applyAlignment="1">
      <alignment horizontal="center"/>
    </xf>
    <xf numFmtId="0" fontId="17" fillId="0" borderId="1" xfId="0" applyFont="1" applyBorder="1"/>
    <xf numFmtId="0" fontId="5" fillId="0" borderId="6" xfId="0" applyFont="1" applyBorder="1" applyAlignment="1">
      <alignment horizontal="center"/>
    </xf>
    <xf numFmtId="2" fontId="1" fillId="0" borderId="6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1" fillId="2" borderId="7" xfId="0" applyFont="1" applyFill="1" applyBorder="1"/>
    <xf numFmtId="1" fontId="1" fillId="0" borderId="6" xfId="0" applyNumberFormat="1" applyFont="1" applyBorder="1"/>
    <xf numFmtId="3" fontId="20" fillId="0" borderId="6" xfId="0" applyNumberFormat="1" applyFont="1" applyBorder="1"/>
    <xf numFmtId="0" fontId="21" fillId="0" borderId="0" xfId="0" applyFont="1"/>
    <xf numFmtId="4" fontId="20" fillId="0" borderId="6" xfId="0" applyNumberFormat="1" applyFont="1" applyBorder="1"/>
    <xf numFmtId="0" fontId="6" fillId="0" borderId="1" xfId="0" applyFont="1" applyBorder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22" fillId="0" borderId="1" xfId="0" applyFont="1" applyBorder="1"/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3" fontId="1" fillId="0" borderId="17" xfId="0" applyNumberFormat="1" applyFont="1" applyBorder="1"/>
    <xf numFmtId="0" fontId="1" fillId="0" borderId="14" xfId="0" applyFont="1" applyBorder="1"/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7" fillId="0" borderId="6" xfId="0" applyFont="1" applyBorder="1"/>
    <xf numFmtId="3" fontId="6" fillId="0" borderId="10" xfId="0" applyNumberFormat="1" applyFont="1" applyBorder="1" applyAlignment="1">
      <alignment horizontal="center"/>
    </xf>
    <xf numFmtId="3" fontId="1" fillId="0" borderId="14" xfId="0" applyNumberFormat="1" applyFont="1" applyBorder="1"/>
    <xf numFmtId="0" fontId="6" fillId="0" borderId="0" xfId="0" applyFont="1"/>
    <xf numFmtId="0" fontId="23" fillId="0" borderId="6" xfId="0" applyFont="1" applyBorder="1"/>
    <xf numFmtId="3" fontId="21" fillId="0" borderId="10" xfId="0" applyNumberFormat="1" applyFont="1" applyBorder="1"/>
    <xf numFmtId="0" fontId="22" fillId="0" borderId="0" xfId="0" applyFont="1"/>
    <xf numFmtId="0" fontId="5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0" fontId="1" fillId="0" borderId="21" xfId="0" applyFont="1" applyBorder="1"/>
    <xf numFmtId="0" fontId="17" fillId="0" borderId="9" xfId="0" applyFont="1" applyBorder="1" applyAlignment="1">
      <alignment horizontal="center"/>
    </xf>
    <xf numFmtId="4" fontId="24" fillId="2" borderId="7" xfId="0" applyNumberFormat="1" applyFont="1" applyFill="1" applyBorder="1"/>
    <xf numFmtId="1" fontId="1" fillId="0" borderId="0" xfId="0" applyNumberFormat="1" applyFont="1"/>
    <xf numFmtId="4" fontId="25" fillId="2" borderId="7" xfId="0" applyNumberFormat="1" applyFont="1" applyFill="1" applyBorder="1"/>
    <xf numFmtId="4" fontId="1" fillId="0" borderId="20" xfId="0" applyNumberFormat="1" applyFont="1" applyBorder="1"/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64" workbookViewId="0">
      <selection activeCell="M104" sqref="M104"/>
    </sheetView>
  </sheetViews>
  <sheetFormatPr defaultColWidth="12.5703125" defaultRowHeight="15.75" customHeight="1"/>
  <cols>
    <col min="1" max="19" width="11" customWidth="1"/>
  </cols>
  <sheetData>
    <row r="1" spans="1:17" ht="15.75" customHeight="1">
      <c r="A1" s="1"/>
    </row>
    <row r="2" spans="1:17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1</v>
      </c>
      <c r="L3" s="1"/>
      <c r="M3" s="1"/>
      <c r="N3" s="1"/>
      <c r="O3" s="1"/>
      <c r="P3" s="1"/>
      <c r="Q3" s="1"/>
    </row>
    <row r="4" spans="1:17" ht="15.7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3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4</v>
      </c>
      <c r="D6" s="9"/>
      <c r="E6" s="10">
        <v>7000</v>
      </c>
      <c r="F6" s="7" t="s">
        <v>5</v>
      </c>
      <c r="G6" s="8" t="s">
        <v>6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7</v>
      </c>
      <c r="D7" s="12" t="s">
        <v>8</v>
      </c>
      <c r="E7" s="10">
        <v>0.8</v>
      </c>
      <c r="F7" s="7"/>
      <c r="G7" s="8" t="s">
        <v>9</v>
      </c>
      <c r="H7" s="9"/>
      <c r="I7" s="13">
        <v>1.4</v>
      </c>
      <c r="J7" s="1"/>
      <c r="K7" s="1"/>
      <c r="L7" s="1"/>
      <c r="M7" s="103"/>
      <c r="N7" s="101"/>
      <c r="O7" s="101"/>
      <c r="P7" s="1"/>
      <c r="Q7" s="1"/>
    </row>
    <row r="8" spans="1:17" ht="15.75" customHeight="1">
      <c r="A8" s="1"/>
      <c r="B8" s="1"/>
      <c r="C8" s="7"/>
      <c r="D8" s="12" t="s">
        <v>10</v>
      </c>
      <c r="E8" s="10">
        <v>0.03</v>
      </c>
      <c r="F8" s="1"/>
      <c r="G8" s="14" t="s">
        <v>11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12</v>
      </c>
      <c r="E9" s="10">
        <v>0.04</v>
      </c>
      <c r="F9" s="7"/>
      <c r="G9" s="4" t="s">
        <v>13</v>
      </c>
      <c r="H9" s="15"/>
      <c r="I9" s="15">
        <v>5</v>
      </c>
      <c r="J9" s="1"/>
      <c r="K9" s="1"/>
      <c r="L9" s="1"/>
      <c r="M9" s="103"/>
      <c r="N9" s="101"/>
      <c r="O9" s="101"/>
      <c r="P9" s="1"/>
      <c r="Q9" s="1"/>
    </row>
    <row r="10" spans="1:17" ht="15.75" customHeight="1">
      <c r="A10" s="1"/>
      <c r="B10" s="1"/>
      <c r="C10" s="7"/>
      <c r="D10" s="12" t="s">
        <v>14</v>
      </c>
      <c r="E10" s="10">
        <v>0.05</v>
      </c>
      <c r="F10" s="7"/>
      <c r="G10" s="4" t="s">
        <v>15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16</v>
      </c>
      <c r="E11" s="10">
        <v>3.0000000000000001E-3</v>
      </c>
      <c r="F11" s="7"/>
      <c r="G11" s="4" t="s">
        <v>17</v>
      </c>
      <c r="H11" s="15"/>
      <c r="I11" s="15">
        <v>3</v>
      </c>
      <c r="J11" s="1"/>
      <c r="K11" s="1"/>
      <c r="L11" s="1"/>
      <c r="M11" s="103"/>
      <c r="N11" s="101"/>
      <c r="O11" s="101"/>
      <c r="P11" s="1"/>
      <c r="Q11" s="1"/>
    </row>
    <row r="12" spans="1:17" ht="15.75" customHeight="1">
      <c r="A12" s="1"/>
      <c r="B12" s="1"/>
      <c r="C12" s="7"/>
      <c r="D12" s="12" t="s">
        <v>18</v>
      </c>
      <c r="E12" s="6">
        <f>1-(E7+E8+E9+E10+E11)</f>
        <v>7.6999999999999846E-2</v>
      </c>
      <c r="F12" s="7"/>
      <c r="G12" s="4" t="s">
        <v>19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20</v>
      </c>
      <c r="H13" s="15"/>
      <c r="I13" s="15">
        <v>1</v>
      </c>
      <c r="J13" s="1"/>
      <c r="K13" s="1"/>
      <c r="L13" s="1"/>
      <c r="M13" s="103"/>
      <c r="N13" s="101"/>
      <c r="O13" s="101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21</v>
      </c>
      <c r="F15" s="4"/>
      <c r="G15" s="4"/>
      <c r="H15" s="4"/>
      <c r="I15" s="4"/>
      <c r="J15" s="4"/>
      <c r="K15" s="1"/>
      <c r="L15" s="1"/>
      <c r="M15" s="103"/>
      <c r="N15" s="101"/>
      <c r="O15" s="101"/>
      <c r="P15" s="1"/>
      <c r="Q15" s="1"/>
    </row>
    <row r="16" spans="1:17" ht="15.75" customHeight="1">
      <c r="A16" s="17"/>
      <c r="B16" s="15"/>
      <c r="C16" s="104" t="s">
        <v>22</v>
      </c>
      <c r="D16" s="105"/>
      <c r="E16" s="106"/>
      <c r="F16" s="104" t="s">
        <v>23</v>
      </c>
      <c r="G16" s="105"/>
      <c r="H16" s="106"/>
      <c r="I16" s="8" t="s">
        <v>24</v>
      </c>
      <c r="J16" s="15"/>
      <c r="K16" s="1"/>
      <c r="L16" s="1"/>
      <c r="M16" s="1"/>
      <c r="N16" s="1"/>
      <c r="O16" s="1">
        <f>O23/2</f>
        <v>-7.3499999999999091</v>
      </c>
      <c r="P16" s="1"/>
      <c r="Q16" s="1"/>
    </row>
    <row r="17" spans="1:19" ht="15.75" customHeight="1">
      <c r="A17" s="18" t="s">
        <v>25</v>
      </c>
      <c r="B17" s="19" t="s">
        <v>26</v>
      </c>
      <c r="C17" s="19" t="s">
        <v>27</v>
      </c>
      <c r="D17" s="19" t="s">
        <v>28</v>
      </c>
      <c r="E17" s="19" t="s">
        <v>29</v>
      </c>
      <c r="F17" s="19" t="s">
        <v>30</v>
      </c>
      <c r="G17" s="19" t="s">
        <v>31</v>
      </c>
      <c r="H17" s="19" t="s">
        <v>32</v>
      </c>
      <c r="I17" s="19" t="s">
        <v>33</v>
      </c>
      <c r="J17" s="19" t="s">
        <v>34</v>
      </c>
      <c r="K17" s="1"/>
      <c r="L17" s="1"/>
      <c r="M17" s="1" t="s">
        <v>34</v>
      </c>
      <c r="N17" s="1" t="s">
        <v>33</v>
      </c>
      <c r="O17" s="1" t="s">
        <v>31</v>
      </c>
      <c r="P17" s="1"/>
      <c r="Q17" s="1"/>
    </row>
    <row r="18" spans="1:19" ht="15.75" customHeight="1">
      <c r="A18" s="20" t="s">
        <v>35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6.5882352941176475E-2</v>
      </c>
      <c r="F18" s="21">
        <f t="shared" ref="F18:F26" si="0">C18+I18</f>
        <v>5.2499999999998863</v>
      </c>
      <c r="G18" s="22">
        <f>-O16</f>
        <v>7.3499999999999091</v>
      </c>
      <c r="H18" s="22">
        <f>G18/G27</f>
        <v>5.7008562918837709E-4</v>
      </c>
      <c r="I18" s="21">
        <f>J18/D13*B18</f>
        <v>-594.75000000000011</v>
      </c>
      <c r="J18" s="21">
        <f>G18-D18</f>
        <v>-832.65000000000009</v>
      </c>
      <c r="K18" s="1"/>
      <c r="L18" s="1" t="s">
        <v>36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37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2.4705882352941176E-3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38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39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3.2941176470588237E-3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40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41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4.1176470588235297E-3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42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43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2.4705882352941174E-4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44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45</v>
      </c>
      <c r="B23" s="15">
        <v>32</v>
      </c>
      <c r="C23" s="21">
        <f>D23/D13*B23</f>
        <v>3360</v>
      </c>
      <c r="D23" s="21">
        <f>F29*E7*I7*2</f>
        <v>2352</v>
      </c>
      <c r="E23" s="22">
        <f>D23/D27</f>
        <v>0.18447058823529411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-3360</v>
      </c>
      <c r="J23" s="21">
        <f>J22*8+J21*6.5+J20*5+J19*3.5+J18*2</f>
        <v>-2352</v>
      </c>
      <c r="K23" s="7"/>
      <c r="L23" s="29" t="s">
        <v>46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-14.699999999999818</v>
      </c>
      <c r="Q23" s="24"/>
      <c r="R23" s="24"/>
      <c r="S23" s="1"/>
    </row>
    <row r="24" spans="1:19" ht="15.75" customHeight="1">
      <c r="A24" s="20" t="s">
        <v>47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2450.2500000000005</v>
      </c>
      <c r="G24" s="21">
        <f t="shared" si="3"/>
        <v>1247.4000000000001</v>
      </c>
      <c r="H24" s="22">
        <f>G24/G27</f>
        <v>9.675167535368577E-2</v>
      </c>
      <c r="I24" s="21">
        <f>J24/D13*B24</f>
        <v>2450.2500000000005</v>
      </c>
      <c r="J24" s="21">
        <f>-J22*5+(-J21*4)+(-J20*3)+(-J19*2)+(-J18*1)</f>
        <v>1247.4000000000001</v>
      </c>
      <c r="K24" s="7"/>
      <c r="L24" s="31" t="s">
        <v>48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49</v>
      </c>
      <c r="B25" s="15">
        <v>18</v>
      </c>
      <c r="C25" s="21">
        <f>D25/D13*B25</f>
        <v>401.78571428571433</v>
      </c>
      <c r="D25" s="32">
        <f>500</f>
        <v>500</v>
      </c>
      <c r="E25" s="22">
        <f>D25/D27</f>
        <v>3.9215686274509803E-2</v>
      </c>
      <c r="F25" s="21">
        <f t="shared" si="0"/>
        <v>2177.0357142857147</v>
      </c>
      <c r="G25" s="21">
        <f t="shared" si="3"/>
        <v>2709.2000000000003</v>
      </c>
      <c r="H25" s="22">
        <f>G25/G27</f>
        <v>0.21013278729213206</v>
      </c>
      <c r="I25" s="21">
        <f>J25/D13*B25</f>
        <v>1775.2500000000002</v>
      </c>
      <c r="J25" s="21">
        <f>-J22*6+(-J21*5)+(-J20*4)+(-J19*3)+(-J18*2)</f>
        <v>2209.2000000000003</v>
      </c>
      <c r="K25" s="7"/>
      <c r="L25" s="31" t="s">
        <v>50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2723.9</v>
      </c>
      <c r="Q25" s="24"/>
      <c r="R25" s="24"/>
      <c r="S25" s="1"/>
    </row>
    <row r="26" spans="1:19" ht="15.75" customHeight="1">
      <c r="A26" s="20" t="s">
        <v>51</v>
      </c>
      <c r="B26" s="15">
        <v>28</v>
      </c>
      <c r="C26" s="25">
        <f>D26/D13*B26</f>
        <v>11161.062500000002</v>
      </c>
      <c r="D26" s="21">
        <f>D23*79/21+F29*(1-E7-E8-E9-E10-E11)</f>
        <v>8928.85</v>
      </c>
      <c r="E26" s="33">
        <f>D26/D27</f>
        <v>0.70030196078431373</v>
      </c>
      <c r="F26" s="25">
        <f t="shared" si="0"/>
        <v>11161.062500000002</v>
      </c>
      <c r="G26" s="21">
        <f t="shared" si="3"/>
        <v>8928.85</v>
      </c>
      <c r="H26" s="33">
        <f>G26/G27</f>
        <v>0.69254545172499371</v>
      </c>
      <c r="I26" s="25">
        <f>J26/D13*B26</f>
        <v>0</v>
      </c>
      <c r="J26" s="21">
        <v>0</v>
      </c>
      <c r="K26" s="1"/>
      <c r="L26" s="31" t="s">
        <v>52</v>
      </c>
      <c r="M26" s="1">
        <v>0</v>
      </c>
      <c r="N26" s="1">
        <f>M26/D13*B26</f>
        <v>0</v>
      </c>
      <c r="O26" s="24">
        <f t="shared" si="4"/>
        <v>8928.85</v>
      </c>
      <c r="P26" s="24"/>
      <c r="Q26" s="24"/>
    </row>
    <row r="27" spans="1:19" ht="15.75" customHeight="1">
      <c r="A27" s="34" t="s">
        <v>53</v>
      </c>
      <c r="B27" s="9"/>
      <c r="C27" s="28">
        <f t="shared" ref="C27:J27" si="5">SUM(C18:C26)</f>
        <v>15793.598214285717</v>
      </c>
      <c r="D27" s="27">
        <f t="shared" si="5"/>
        <v>12750</v>
      </c>
      <c r="E27" s="35">
        <f t="shared" si="5"/>
        <v>1</v>
      </c>
      <c r="F27" s="28">
        <f t="shared" si="5"/>
        <v>15793.598214285717</v>
      </c>
      <c r="G27" s="27">
        <f t="shared" si="5"/>
        <v>12892.800000000001</v>
      </c>
      <c r="H27" s="35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6"/>
      <c r="N27" s="1">
        <f t="shared" ref="N27:O27" si="6">SUM(N18:N26)</f>
        <v>18.562500000000682</v>
      </c>
      <c r="O27" s="24">
        <f t="shared" si="6"/>
        <v>12902.25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37">
        <f>-(D63+K63)</f>
        <v>-4.5474735088646412E-13</v>
      </c>
      <c r="B29" s="1"/>
      <c r="C29" s="38" t="s">
        <v>54</v>
      </c>
      <c r="D29" s="1"/>
      <c r="E29" s="7"/>
      <c r="F29" s="15">
        <f>E6*I6</f>
        <v>1050</v>
      </c>
      <c r="G29" s="1"/>
      <c r="H29" s="1" t="s">
        <v>55</v>
      </c>
      <c r="I29" s="1">
        <f>450</f>
        <v>450</v>
      </c>
      <c r="J29" s="1" t="s">
        <v>56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9"/>
      <c r="B30" s="40" t="s">
        <v>57</v>
      </c>
      <c r="C30" s="41" t="s">
        <v>58</v>
      </c>
      <c r="D30" s="1"/>
      <c r="E30" s="1"/>
      <c r="F30" s="1"/>
      <c r="G30" s="1"/>
      <c r="H30" s="1" t="s">
        <v>59</v>
      </c>
      <c r="I30" s="1">
        <v>110</v>
      </c>
      <c r="J30" s="1" t="s">
        <v>56</v>
      </c>
      <c r="K30" s="42" t="s">
        <v>60</v>
      </c>
      <c r="L30" s="1">
        <f>I29-I30</f>
        <v>340</v>
      </c>
      <c r="M30" s="43" t="s">
        <v>56</v>
      </c>
      <c r="N30" s="1"/>
      <c r="O30" s="1"/>
      <c r="P30" s="1"/>
      <c r="Q30" s="1"/>
    </row>
    <row r="31" spans="1:19" ht="15.75" customHeight="1">
      <c r="A31" s="44" t="s">
        <v>25</v>
      </c>
      <c r="B31" s="45" t="s">
        <v>61</v>
      </c>
      <c r="C31" s="45" t="s">
        <v>62</v>
      </c>
      <c r="D31" s="1"/>
      <c r="E31" s="1"/>
      <c r="F31" s="1"/>
      <c r="G31" s="46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ht="15.75" customHeight="1">
      <c r="A32" s="20" t="s">
        <v>63</v>
      </c>
      <c r="B32" s="47">
        <v>35.700000000000003</v>
      </c>
      <c r="C32" s="47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64</v>
      </c>
      <c r="B33" s="47">
        <v>52.49</v>
      </c>
      <c r="C33" s="47">
        <v>-84</v>
      </c>
      <c r="D33" s="1"/>
      <c r="E33" s="48" t="s">
        <v>65</v>
      </c>
      <c r="F33" s="3" t="s">
        <v>66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67</v>
      </c>
      <c r="B34" s="47">
        <v>73.599999999999994</v>
      </c>
      <c r="C34" s="47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68</v>
      </c>
      <c r="B35" s="47">
        <v>98.49</v>
      </c>
      <c r="C35" s="47">
        <f>-125.77</f>
        <v>-125.77</v>
      </c>
      <c r="D35" s="1"/>
      <c r="E35" s="49" t="s">
        <v>69</v>
      </c>
      <c r="F35" s="49" t="s">
        <v>70</v>
      </c>
      <c r="G35" s="49" t="s">
        <v>71</v>
      </c>
      <c r="H35" s="49" t="s">
        <v>72</v>
      </c>
      <c r="I35" s="50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73</v>
      </c>
      <c r="B36" s="47">
        <v>120.04</v>
      </c>
      <c r="C36" s="47">
        <f>-146.36</f>
        <v>-146.36000000000001</v>
      </c>
      <c r="D36" s="1"/>
      <c r="E36" s="47">
        <f>L30*B39*D25/22.4*1000/3600</f>
        <v>70833.333333333343</v>
      </c>
      <c r="F36" s="47">
        <f>I29*B42*D27/22.4*1000/3600</f>
        <v>2155085.7031250005</v>
      </c>
      <c r="G36" s="51">
        <f>(J22*C45/1+J21*C46/1+J20*C47/1+J19*C48/1+J18*C49/1)/22.4*(1000/3600)*1000</f>
        <v>11767458.593750004</v>
      </c>
      <c r="H36" s="51">
        <f>F36+G36-E36</f>
        <v>13851710.96354167</v>
      </c>
      <c r="I36" s="52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74</v>
      </c>
      <c r="B37" s="47">
        <v>29.38</v>
      </c>
      <c r="C37" s="47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75</v>
      </c>
      <c r="B38" s="47">
        <v>37.14</v>
      </c>
      <c r="C38" s="47">
        <f>-393.51</f>
        <v>-393.51</v>
      </c>
      <c r="D38" s="1"/>
      <c r="E38" s="1"/>
      <c r="F38" s="1"/>
      <c r="G38" s="1"/>
      <c r="H38" s="53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76</v>
      </c>
      <c r="B39" s="47">
        <v>33.6</v>
      </c>
      <c r="C39" s="47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77</v>
      </c>
      <c r="B40" s="47">
        <v>29.12</v>
      </c>
      <c r="C40" s="47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54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55" t="s">
        <v>78</v>
      </c>
      <c r="B42" s="56">
        <f>B32*E18+B33*E19+B34*E20+B35*E21+B36*E22+B37*E23+B38*E24+B39*E25+B40*E26</f>
        <v>30.289518274509806</v>
      </c>
      <c r="C42" s="5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55" t="s">
        <v>79</v>
      </c>
      <c r="B43" s="56">
        <f>B32*H18+B33*H19+B34*H20+B35*H21+B36*H22+B37*H23+B38*H24+B39*H25+B40*H26</f>
        <v>30.841094486845371</v>
      </c>
      <c r="C43" s="5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9"/>
      <c r="C44" s="5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60" t="s">
        <v>80</v>
      </c>
      <c r="C45" s="56">
        <f>((5*C38+6*C39)-(C36+8*C37))</f>
        <v>-3272.1699999999996</v>
      </c>
      <c r="D45" s="1" t="s">
        <v>81</v>
      </c>
      <c r="E45" s="1"/>
      <c r="F45" s="1"/>
      <c r="G45" s="1"/>
      <c r="H45" s="1"/>
      <c r="I45" s="1"/>
      <c r="J45" s="1"/>
      <c r="K45" s="4"/>
      <c r="L45" s="61" t="s">
        <v>7</v>
      </c>
      <c r="M45" s="61" t="s">
        <v>82</v>
      </c>
      <c r="N45" s="1"/>
      <c r="O45" s="1"/>
      <c r="P45" s="1"/>
      <c r="Q45" s="1"/>
    </row>
    <row r="46" spans="1:17" ht="15.75" customHeight="1">
      <c r="A46" s="7"/>
      <c r="B46" s="60" t="s">
        <v>83</v>
      </c>
      <c r="C46" s="56">
        <f>((4*C38+5*C39)-(1*C35))</f>
        <v>-2657.42</v>
      </c>
      <c r="D46" s="1" t="s">
        <v>81</v>
      </c>
      <c r="E46" s="1"/>
      <c r="F46" s="1"/>
      <c r="G46" s="1"/>
      <c r="H46" s="1"/>
      <c r="I46" s="1"/>
      <c r="J46" s="7"/>
      <c r="K46" s="62" t="s">
        <v>84</v>
      </c>
      <c r="L46" s="10">
        <v>0.8</v>
      </c>
      <c r="M46" s="47">
        <v>35.700000000000003</v>
      </c>
      <c r="N46" s="1"/>
      <c r="O46" s="1"/>
      <c r="P46" s="1"/>
      <c r="Q46" s="1"/>
    </row>
    <row r="47" spans="1:17" ht="15.75" customHeight="1">
      <c r="A47" s="7"/>
      <c r="B47" s="60" t="s">
        <v>85</v>
      </c>
      <c r="C47" s="56">
        <f>((3*C38+4*C39)-(1*C34))</f>
        <v>-2044</v>
      </c>
      <c r="D47" s="1" t="s">
        <v>81</v>
      </c>
      <c r="E47" s="1"/>
      <c r="F47" s="1"/>
      <c r="G47" s="1"/>
      <c r="H47" s="1"/>
      <c r="I47" s="1"/>
      <c r="J47" s="7"/>
      <c r="K47" s="62" t="s">
        <v>86</v>
      </c>
      <c r="L47" s="10">
        <v>0.03</v>
      </c>
      <c r="M47" s="47">
        <v>52.49</v>
      </c>
      <c r="N47" s="1"/>
      <c r="O47" s="1"/>
      <c r="P47" s="1"/>
      <c r="Q47" s="1"/>
    </row>
    <row r="48" spans="1:17" ht="15.75" customHeight="1">
      <c r="A48" s="7"/>
      <c r="B48" s="60" t="s">
        <v>87</v>
      </c>
      <c r="C48" s="56">
        <f>((2*C38+3*C39)-(C33))</f>
        <v>-1428.51</v>
      </c>
      <c r="D48" s="1" t="s">
        <v>81</v>
      </c>
      <c r="E48" s="1"/>
      <c r="F48" s="1"/>
      <c r="G48" s="1"/>
      <c r="H48" s="1"/>
      <c r="I48" s="1"/>
      <c r="J48" s="7"/>
      <c r="K48" s="62" t="s">
        <v>88</v>
      </c>
      <c r="L48" s="10">
        <v>0.04</v>
      </c>
      <c r="M48" s="47">
        <v>73.599999999999994</v>
      </c>
      <c r="N48" s="1"/>
      <c r="O48" s="1"/>
      <c r="P48" s="1"/>
      <c r="Q48" s="1"/>
    </row>
    <row r="49" spans="1:17" ht="15.75" customHeight="1">
      <c r="A49" s="7"/>
      <c r="B49" s="60" t="s">
        <v>89</v>
      </c>
      <c r="C49" s="56">
        <f>((1*C38+2*C39)-(1*C32))</f>
        <v>-802.57</v>
      </c>
      <c r="D49" s="1" t="s">
        <v>81</v>
      </c>
      <c r="E49" s="1"/>
      <c r="F49" s="1"/>
      <c r="G49" s="1"/>
      <c r="H49" s="1"/>
      <c r="I49" s="1"/>
      <c r="J49" s="7"/>
      <c r="K49" s="62" t="s">
        <v>90</v>
      </c>
      <c r="L49" s="10">
        <v>0.05</v>
      </c>
      <c r="M49" s="47">
        <v>98.49</v>
      </c>
      <c r="N49" s="5" t="s">
        <v>91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62" t="s">
        <v>92</v>
      </c>
      <c r="L50" s="10">
        <v>3.0000000000000001E-3</v>
      </c>
      <c r="M50" s="47">
        <v>120.04</v>
      </c>
      <c r="N50" s="63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62" t="s">
        <v>18</v>
      </c>
      <c r="L51" s="6">
        <f>1-(L46+L47+L48+L49+L50)</f>
        <v>7.6999999999999846E-2</v>
      </c>
      <c r="M51" s="47">
        <v>29.12</v>
      </c>
      <c r="N51" s="1"/>
      <c r="O51" s="1"/>
      <c r="P51" s="1"/>
      <c r="Q51" s="1"/>
    </row>
    <row r="52" spans="1:17" ht="15.75" customHeight="1">
      <c r="A52" s="3" t="s">
        <v>93</v>
      </c>
      <c r="B52" s="1"/>
      <c r="C52" s="1"/>
      <c r="D52" s="1"/>
      <c r="E52" s="38" t="s">
        <v>94</v>
      </c>
      <c r="F52" s="7"/>
      <c r="G52" s="15">
        <f>E6-F29</f>
        <v>5950</v>
      </c>
      <c r="H52" s="1" t="s">
        <v>5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13.5" customHeight="1">
      <c r="A53" s="1"/>
      <c r="B53" s="1"/>
      <c r="C53" s="1"/>
      <c r="D53" s="100" t="s">
        <v>95</v>
      </c>
      <c r="E53" s="101"/>
      <c r="F53" s="101"/>
      <c r="G53" s="101"/>
      <c r="H53" s="101"/>
      <c r="I53" s="10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64">
        <v>22.4</v>
      </c>
      <c r="J54" s="4"/>
      <c r="K54" s="65" t="s">
        <v>96</v>
      </c>
      <c r="L54" s="65" t="s">
        <v>97</v>
      </c>
      <c r="M54" s="65" t="s">
        <v>98</v>
      </c>
      <c r="N54" s="1"/>
      <c r="O54" s="1"/>
      <c r="P54" s="1"/>
      <c r="Q54" s="1"/>
    </row>
    <row r="55" spans="1:17" ht="15.75" customHeight="1">
      <c r="A55" s="66" t="s">
        <v>25</v>
      </c>
      <c r="B55" s="49" t="s">
        <v>26</v>
      </c>
      <c r="C55" s="49" t="s">
        <v>27</v>
      </c>
      <c r="D55" s="49" t="s">
        <v>28</v>
      </c>
      <c r="E55" s="49" t="s">
        <v>29</v>
      </c>
      <c r="F55" s="49" t="s">
        <v>30</v>
      </c>
      <c r="G55" s="49" t="s">
        <v>31</v>
      </c>
      <c r="H55" s="49" t="s">
        <v>32</v>
      </c>
      <c r="I55" s="49" t="s">
        <v>33</v>
      </c>
      <c r="J55" s="49" t="s">
        <v>34</v>
      </c>
      <c r="K55" s="49" t="s">
        <v>99</v>
      </c>
      <c r="L55" s="49" t="s">
        <v>100</v>
      </c>
      <c r="M55" s="49" t="s">
        <v>101</v>
      </c>
      <c r="N55" s="67"/>
      <c r="O55" s="1"/>
      <c r="P55" s="1"/>
      <c r="Q55" s="1"/>
    </row>
    <row r="56" spans="1:17" ht="15.75" customHeight="1">
      <c r="A56" s="20" t="s">
        <v>102</v>
      </c>
      <c r="B56" s="68">
        <v>16</v>
      </c>
      <c r="C56" s="21">
        <f>D56/I54*B56</f>
        <v>3405.2500000000005</v>
      </c>
      <c r="D56" s="47">
        <f>G52*L46+G18</f>
        <v>4767.3500000000004</v>
      </c>
      <c r="E56" s="22">
        <f>D56/D67</f>
        <v>0.48087291140261956</v>
      </c>
      <c r="F56" s="21">
        <f t="shared" ref="F56:G56" si="7">C56+I56</f>
        <v>2257.8571428571431</v>
      </c>
      <c r="G56" s="21">
        <f t="shared" si="7"/>
        <v>3161</v>
      </c>
      <c r="H56" s="22">
        <f>G56/G67</f>
        <v>0.18199090333352524</v>
      </c>
      <c r="I56" s="21">
        <f>J56/I54*B56</f>
        <v>-1147.3928571428573</v>
      </c>
      <c r="J56" s="47">
        <f t="shared" ref="J56:J66" si="8">SUM(K56:M56)</f>
        <v>-1606.3500000000001</v>
      </c>
      <c r="K56" s="47">
        <v>-358.95</v>
      </c>
      <c r="L56" s="47">
        <f>-D62</f>
        <v>-1247.4000000000001</v>
      </c>
      <c r="M56" s="47">
        <v>0</v>
      </c>
      <c r="N56" s="1"/>
      <c r="O56" s="1"/>
      <c r="P56" s="1"/>
      <c r="Q56" s="24"/>
    </row>
    <row r="57" spans="1:17" ht="15.75" customHeight="1">
      <c r="A57" s="20" t="s">
        <v>103</v>
      </c>
      <c r="B57" s="68">
        <v>30</v>
      </c>
      <c r="C57" s="21">
        <f>D57/I54*B57</f>
        <v>239.06250000000003</v>
      </c>
      <c r="D57" s="47">
        <f>G52*L47</f>
        <v>178.5</v>
      </c>
      <c r="E57" s="22">
        <f>D57/D67</f>
        <v>1.8004932443677846E-2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-239.06250000000003</v>
      </c>
      <c r="J57" s="47">
        <f t="shared" si="8"/>
        <v>-178.5</v>
      </c>
      <c r="K57" s="47">
        <f t="shared" ref="K57:K60" si="10">-D57</f>
        <v>-178.5</v>
      </c>
      <c r="L57" s="47">
        <f t="shared" ref="L56:L57" si="11">-D57-K57</f>
        <v>0</v>
      </c>
      <c r="M57" s="47">
        <v>0</v>
      </c>
      <c r="N57" s="1"/>
      <c r="O57" s="1"/>
      <c r="P57" s="1"/>
      <c r="Q57" s="24"/>
    </row>
    <row r="58" spans="1:17" ht="15.75" customHeight="1">
      <c r="A58" s="20" t="s">
        <v>104</v>
      </c>
      <c r="B58" s="68">
        <v>44</v>
      </c>
      <c r="C58" s="21">
        <f>D58/I54*B58</f>
        <v>467.5</v>
      </c>
      <c r="D58" s="47">
        <f>G52*L48</f>
        <v>238</v>
      </c>
      <c r="E58" s="22">
        <f>D58/D67</f>
        <v>2.4006576591570461E-2</v>
      </c>
      <c r="F58" s="21">
        <f t="shared" ref="F58:G58" si="12">C58+I58</f>
        <v>0</v>
      </c>
      <c r="G58" s="21">
        <f t="shared" si="12"/>
        <v>0</v>
      </c>
      <c r="H58" s="22">
        <f>G58/G67</f>
        <v>0</v>
      </c>
      <c r="I58" s="21">
        <f>J58/I54*B58</f>
        <v>-467.5</v>
      </c>
      <c r="J58" s="47">
        <f t="shared" si="8"/>
        <v>-238</v>
      </c>
      <c r="K58" s="47">
        <f t="shared" si="10"/>
        <v>-238</v>
      </c>
      <c r="L58" s="47">
        <v>0</v>
      </c>
      <c r="M58" s="47">
        <v>0</v>
      </c>
      <c r="N58" s="1"/>
      <c r="O58" s="1"/>
      <c r="P58" s="1"/>
      <c r="Q58" s="24"/>
    </row>
    <row r="59" spans="1:17" ht="15.75" customHeight="1">
      <c r="A59" s="20" t="s">
        <v>105</v>
      </c>
      <c r="B59" s="68">
        <v>58</v>
      </c>
      <c r="C59" s="21">
        <f>D59/I54*B59</f>
        <v>770.3125</v>
      </c>
      <c r="D59" s="47">
        <f>G52*L49</f>
        <v>297.5</v>
      </c>
      <c r="E59" s="22">
        <f>D59/D67</f>
        <v>3.0008220739463076E-2</v>
      </c>
      <c r="F59" s="21">
        <f t="shared" ref="F59:G59" si="13">C59+I59</f>
        <v>0</v>
      </c>
      <c r="G59" s="21">
        <f t="shared" si="13"/>
        <v>0</v>
      </c>
      <c r="H59" s="22">
        <f>G59/G67</f>
        <v>0</v>
      </c>
      <c r="I59" s="21">
        <f>J59/I54*B59</f>
        <v>-770.3125</v>
      </c>
      <c r="J59" s="47">
        <f t="shared" si="8"/>
        <v>-297.5</v>
      </c>
      <c r="K59" s="47">
        <f t="shared" si="10"/>
        <v>-297.5</v>
      </c>
      <c r="L59" s="47">
        <v>0</v>
      </c>
      <c r="M59" s="47">
        <v>0</v>
      </c>
      <c r="N59" s="1"/>
      <c r="O59" s="1"/>
      <c r="P59" s="24">
        <f>D63+K60*5</f>
        <v>2619.9500000000003</v>
      </c>
      <c r="Q59" s="24"/>
    </row>
    <row r="60" spans="1:17" ht="15.75" customHeight="1">
      <c r="A60" s="20" t="s">
        <v>106</v>
      </c>
      <c r="B60" s="68">
        <v>72</v>
      </c>
      <c r="C60" s="21">
        <f>D60/I54*B60</f>
        <v>57.375000000000007</v>
      </c>
      <c r="D60" s="47">
        <f>G52*L50</f>
        <v>17.850000000000001</v>
      </c>
      <c r="E60" s="22">
        <f>D60/D67</f>
        <v>1.8004932443677847E-3</v>
      </c>
      <c r="F60" s="21">
        <f t="shared" ref="F60:G60" si="14">C60+I60</f>
        <v>0</v>
      </c>
      <c r="G60" s="21">
        <f t="shared" si="14"/>
        <v>0</v>
      </c>
      <c r="H60" s="22">
        <f>G60/G67</f>
        <v>0</v>
      </c>
      <c r="I60" s="21">
        <f>J60/I54*B60</f>
        <v>-57.375000000000007</v>
      </c>
      <c r="J60" s="47">
        <f t="shared" si="8"/>
        <v>-17.850000000000001</v>
      </c>
      <c r="K60" s="47">
        <f t="shared" si="10"/>
        <v>-17.850000000000001</v>
      </c>
      <c r="L60" s="47">
        <v>0</v>
      </c>
      <c r="M60" s="47">
        <v>0</v>
      </c>
      <c r="N60" s="1"/>
      <c r="O60" s="1"/>
      <c r="P60" s="24">
        <f>P59+K59*4</f>
        <v>1429.9500000000003</v>
      </c>
      <c r="Q60" s="24"/>
    </row>
    <row r="61" spans="1:17" ht="15.75" customHeight="1">
      <c r="A61" s="20" t="s">
        <v>107</v>
      </c>
      <c r="B61" s="68">
        <v>32</v>
      </c>
      <c r="C61" s="21">
        <f>D61</f>
        <v>0</v>
      </c>
      <c r="D61" s="47">
        <v>0</v>
      </c>
      <c r="E61" s="22">
        <f>D61</f>
        <v>0</v>
      </c>
      <c r="F61" s="21">
        <f t="shared" ref="F61:F65" si="15">C61+I61</f>
        <v>0</v>
      </c>
      <c r="G61" s="21">
        <f>J61</f>
        <v>0</v>
      </c>
      <c r="H61" s="22">
        <f>G61/G67</f>
        <v>0</v>
      </c>
      <c r="I61" s="21">
        <f>0</f>
        <v>0</v>
      </c>
      <c r="J61" s="47">
        <f t="shared" si="8"/>
        <v>0</v>
      </c>
      <c r="K61" s="47">
        <v>0</v>
      </c>
      <c r="L61" s="47">
        <v>0</v>
      </c>
      <c r="M61" s="47">
        <v>0</v>
      </c>
      <c r="N61" s="1"/>
      <c r="O61" s="1"/>
      <c r="P61" s="24">
        <f>P60+K58*3</f>
        <v>715.95000000000027</v>
      </c>
      <c r="Q61" s="24"/>
    </row>
    <row r="62" spans="1:17" ht="15.75" customHeight="1">
      <c r="A62" s="20" t="s">
        <v>108</v>
      </c>
      <c r="B62" s="68">
        <v>44</v>
      </c>
      <c r="C62" s="21">
        <f>D62/I54*B62</f>
        <v>2450.2500000000005</v>
      </c>
      <c r="D62" s="47">
        <f t="shared" ref="D62:D63" si="16">G24</f>
        <v>1247.4000000000001</v>
      </c>
      <c r="E62" s="22">
        <f>D62/D67</f>
        <v>0.12582270437111343</v>
      </c>
      <c r="F62" s="21">
        <f t="shared" si="15"/>
        <v>0</v>
      </c>
      <c r="G62" s="21">
        <f t="shared" ref="G62:G63" si="17">J62+D62</f>
        <v>0</v>
      </c>
      <c r="H62" s="22">
        <f>G62/G67</f>
        <v>0</v>
      </c>
      <c r="I62" s="21">
        <f>J62/I54*B62</f>
        <v>-2450.2500000000005</v>
      </c>
      <c r="J62" s="47">
        <f t="shared" si="8"/>
        <v>-1247.4000000000001</v>
      </c>
      <c r="K62" s="47">
        <v>0</v>
      </c>
      <c r="L62" s="47">
        <f>L57*2+L56</f>
        <v>-1247.4000000000001</v>
      </c>
      <c r="M62" s="47">
        <v>0</v>
      </c>
      <c r="N62" s="1"/>
      <c r="O62" s="1"/>
      <c r="P62" s="1"/>
      <c r="Q62" s="24"/>
    </row>
    <row r="63" spans="1:17" ht="15.75" customHeight="1">
      <c r="A63" s="20" t="s">
        <v>109</v>
      </c>
      <c r="B63" s="68">
        <v>18</v>
      </c>
      <c r="C63" s="21">
        <f>D63/I54*B63</f>
        <v>2177.0357142857147</v>
      </c>
      <c r="D63" s="47">
        <f t="shared" si="16"/>
        <v>2709.2000000000003</v>
      </c>
      <c r="E63" s="22">
        <f>D63/D67</f>
        <v>0.27327150126841471</v>
      </c>
      <c r="F63" s="21">
        <f t="shared" si="15"/>
        <v>0</v>
      </c>
      <c r="G63" s="21">
        <f t="shared" si="17"/>
        <v>0</v>
      </c>
      <c r="H63" s="22">
        <f>G63/G67</f>
        <v>0</v>
      </c>
      <c r="I63" s="21">
        <f>J63/I54*B63</f>
        <v>-2177.0357142857142</v>
      </c>
      <c r="J63" s="47">
        <f t="shared" si="8"/>
        <v>-2709.2</v>
      </c>
      <c r="K63" s="47">
        <f>K60*5+K59*4+K58*3+K57*2+K56</f>
        <v>-2709.2</v>
      </c>
      <c r="L63" s="47">
        <v>0</v>
      </c>
      <c r="M63" s="47">
        <v>0</v>
      </c>
      <c r="N63" s="1"/>
      <c r="O63" s="1"/>
      <c r="P63" s="1">
        <f>-(D63+K60*5+K59*4+K58*3)/2</f>
        <v>-357.97500000000014</v>
      </c>
      <c r="Q63" s="24"/>
    </row>
    <row r="64" spans="1:17" ht="15.75" customHeight="1">
      <c r="A64" s="20" t="s">
        <v>110</v>
      </c>
      <c r="B64" s="68">
        <v>28</v>
      </c>
      <c r="C64" s="21">
        <v>0</v>
      </c>
      <c r="D64" s="47">
        <v>0</v>
      </c>
      <c r="E64" s="22">
        <f t="shared" ref="E64:E65" si="18">D64</f>
        <v>0</v>
      </c>
      <c r="F64" s="21">
        <f t="shared" si="15"/>
        <v>6505</v>
      </c>
      <c r="G64" s="21">
        <f t="shared" ref="G64:G65" si="19">J64</f>
        <v>5204</v>
      </c>
      <c r="H64" s="22">
        <f>G64/G67</f>
        <v>0.29961425528239966</v>
      </c>
      <c r="I64" s="21">
        <f>J64/I54*B64</f>
        <v>6505</v>
      </c>
      <c r="J64" s="47">
        <f t="shared" si="8"/>
        <v>5204</v>
      </c>
      <c r="K64" s="47">
        <f>-K60*5-K59*4-K58*3-K57*2-K56</f>
        <v>2709.2</v>
      </c>
      <c r="L64" s="47">
        <f>-L57*4-L56*2</f>
        <v>2494.8000000000002</v>
      </c>
      <c r="M64" s="47">
        <v>0</v>
      </c>
      <c r="N64" s="1"/>
      <c r="O64" s="1"/>
      <c r="P64" s="1"/>
      <c r="Q64" s="24"/>
    </row>
    <row r="65" spans="1:17" ht="15.75" customHeight="1">
      <c r="A65" s="20" t="s">
        <v>111</v>
      </c>
      <c r="B65" s="68">
        <v>2</v>
      </c>
      <c r="C65" s="21">
        <v>0</v>
      </c>
      <c r="D65" s="47">
        <v>0</v>
      </c>
      <c r="E65" s="22">
        <f t="shared" si="18"/>
        <v>0</v>
      </c>
      <c r="F65" s="21">
        <f t="shared" si="15"/>
        <v>803.92857142857144</v>
      </c>
      <c r="G65" s="21">
        <f t="shared" si="19"/>
        <v>9004</v>
      </c>
      <c r="H65" s="22">
        <f>G65/G67</f>
        <v>0.5183948413840751</v>
      </c>
      <c r="I65" s="21">
        <f>J65/I54*B65</f>
        <v>803.92857142857144</v>
      </c>
      <c r="J65" s="47">
        <f t="shared" si="8"/>
        <v>9004</v>
      </c>
      <c r="K65" s="47">
        <f>-K60*11-K59*9-K58*7-K57*5-K56*3</f>
        <v>6509.2000000000007</v>
      </c>
      <c r="L65" s="47">
        <f>-L57*3-L56*2</f>
        <v>2494.8000000000002</v>
      </c>
      <c r="M65" s="47">
        <v>0</v>
      </c>
      <c r="N65" s="1"/>
      <c r="O65" s="1"/>
      <c r="P65" s="1"/>
      <c r="Q65" s="24"/>
    </row>
    <row r="66" spans="1:17" ht="15.75" customHeight="1">
      <c r="A66" s="20" t="s">
        <v>112</v>
      </c>
      <c r="B66" s="68">
        <v>28</v>
      </c>
      <c r="C66" s="21">
        <f>D66/I54*B66</f>
        <v>572.68749999999886</v>
      </c>
      <c r="D66" s="47">
        <f>G52*L51</f>
        <v>458.14999999999907</v>
      </c>
      <c r="E66" s="22">
        <f>D66/D67</f>
        <v>4.6212659938773049E-2</v>
      </c>
      <c r="F66" s="21">
        <f>I66+C66</f>
        <v>572.68749999999886</v>
      </c>
      <c r="G66" s="21">
        <v>0</v>
      </c>
      <c r="H66" s="22">
        <v>0</v>
      </c>
      <c r="I66" s="21">
        <v>0</v>
      </c>
      <c r="J66" s="47">
        <f t="shared" si="8"/>
        <v>0</v>
      </c>
      <c r="K66" s="47">
        <v>0</v>
      </c>
      <c r="L66" s="47">
        <v>0</v>
      </c>
      <c r="M66" s="47">
        <v>0</v>
      </c>
      <c r="N66" s="1"/>
      <c r="O66" s="24">
        <f>D62+L62</f>
        <v>0</v>
      </c>
      <c r="P66" s="1"/>
      <c r="Q66" s="24"/>
    </row>
    <row r="67" spans="1:17" ht="15.75" customHeight="1">
      <c r="A67" s="34" t="s">
        <v>53</v>
      </c>
      <c r="B67" s="15"/>
      <c r="C67" s="69">
        <f t="shared" ref="C67:J67" si="20">SUM(C56:C66)</f>
        <v>10139.473214285712</v>
      </c>
      <c r="D67" s="47">
        <f t="shared" si="20"/>
        <v>9913.9500000000007</v>
      </c>
      <c r="E67" s="22">
        <f t="shared" si="20"/>
        <v>1</v>
      </c>
      <c r="F67" s="69">
        <f t="shared" si="20"/>
        <v>10139.473214285712</v>
      </c>
      <c r="G67" s="21">
        <f t="shared" si="20"/>
        <v>17369</v>
      </c>
      <c r="H67" s="22">
        <f t="shared" si="20"/>
        <v>1</v>
      </c>
      <c r="I67" s="21">
        <f t="shared" si="20"/>
        <v>-1.0231815394945443E-12</v>
      </c>
      <c r="J67" s="21">
        <f t="shared" si="20"/>
        <v>7913.2</v>
      </c>
      <c r="K67" s="21"/>
      <c r="L67" s="21"/>
      <c r="M67" s="21"/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70" t="s">
        <v>113</v>
      </c>
      <c r="H69" s="7"/>
      <c r="I69" s="71">
        <f>G65/G64</f>
        <v>1.7302075326671791</v>
      </c>
      <c r="J69" s="1"/>
      <c r="K69" s="24">
        <f>D59-D62/4</f>
        <v>-14.350000000000023</v>
      </c>
      <c r="L69" s="1"/>
      <c r="M69" s="1">
        <f>D59*4</f>
        <v>1190</v>
      </c>
      <c r="N69" s="1" t="s">
        <v>114</v>
      </c>
      <c r="O69" s="24">
        <f>D62+L57</f>
        <v>1247.4000000000001</v>
      </c>
      <c r="P69" s="1"/>
      <c r="Q69" s="1"/>
    </row>
    <row r="70" spans="1:17" ht="15.75" customHeight="1">
      <c r="A70" s="7"/>
      <c r="B70" s="72" t="s">
        <v>115</v>
      </c>
      <c r="C70" s="15"/>
      <c r="D70" s="15">
        <v>9</v>
      </c>
      <c r="E70" s="1" t="s">
        <v>116</v>
      </c>
      <c r="F70" s="73">
        <v>9</v>
      </c>
      <c r="G70" s="24">
        <f>D56</f>
        <v>4767.3500000000004</v>
      </c>
      <c r="H70" s="24">
        <f>G70+H71</f>
        <v>7117.6</v>
      </c>
      <c r="I70" s="24">
        <f>H70-G76</f>
        <v>4408.3999999999996</v>
      </c>
      <c r="J70" s="1"/>
      <c r="K70" s="1"/>
      <c r="L70" s="1"/>
      <c r="M70" s="1">
        <v>1247</v>
      </c>
      <c r="N70" s="1"/>
      <c r="O70" s="1"/>
      <c r="P70" s="1"/>
      <c r="Q70" s="1"/>
    </row>
    <row r="71" spans="1:17" ht="15.75" customHeight="1">
      <c r="A71" s="74" t="s">
        <v>96</v>
      </c>
      <c r="B71" s="75" t="s">
        <v>117</v>
      </c>
      <c r="C71" s="4"/>
      <c r="D71" s="15">
        <v>7</v>
      </c>
      <c r="E71" s="1" t="s">
        <v>118</v>
      </c>
      <c r="F71" s="73">
        <v>7</v>
      </c>
      <c r="G71" s="1">
        <f>D57*2</f>
        <v>357</v>
      </c>
      <c r="H71" s="1">
        <f>H72+G71</f>
        <v>2350.25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75" t="s">
        <v>119</v>
      </c>
      <c r="C72" s="4"/>
      <c r="D72" s="15">
        <v>5</v>
      </c>
      <c r="E72" s="1" t="s">
        <v>118</v>
      </c>
      <c r="F72" s="73">
        <v>5</v>
      </c>
      <c r="G72" s="1">
        <f>D58*3</f>
        <v>714</v>
      </c>
      <c r="H72" s="1">
        <f>G74+G73+G72</f>
        <v>1993.25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75" t="s">
        <v>120</v>
      </c>
      <c r="C73" s="4"/>
      <c r="D73" s="15">
        <v>3</v>
      </c>
      <c r="E73" s="1" t="s">
        <v>118</v>
      </c>
      <c r="F73" s="73">
        <v>3</v>
      </c>
      <c r="G73" s="1">
        <f>4*D59</f>
        <v>1190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75" t="s">
        <v>121</v>
      </c>
      <c r="C74" s="4"/>
      <c r="D74" s="15">
        <v>1</v>
      </c>
      <c r="E74" s="1" t="s">
        <v>118</v>
      </c>
      <c r="F74" s="73">
        <v>1</v>
      </c>
      <c r="G74" s="1">
        <f>5*D60</f>
        <v>89.25</v>
      </c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73"/>
      <c r="G75" s="24">
        <f>SUM(G70:G74)</f>
        <v>7117.6</v>
      </c>
      <c r="H75" s="1" t="s">
        <v>122</v>
      </c>
      <c r="I75" s="1"/>
      <c r="J75" s="1"/>
      <c r="K75" s="24"/>
      <c r="L75" s="1"/>
      <c r="M75" s="1"/>
      <c r="N75" s="1">
        <f>2209-1190</f>
        <v>1019</v>
      </c>
      <c r="O75" s="1"/>
      <c r="P75" s="1"/>
      <c r="Q75" s="1"/>
    </row>
    <row r="76" spans="1:17" ht="15.75" customHeight="1">
      <c r="A76" s="7"/>
      <c r="B76" s="75" t="s">
        <v>123</v>
      </c>
      <c r="C76" s="4"/>
      <c r="D76" s="15">
        <v>10</v>
      </c>
      <c r="E76" s="1" t="s">
        <v>118</v>
      </c>
      <c r="F76" s="73">
        <v>10</v>
      </c>
      <c r="G76" s="24">
        <f>D63</f>
        <v>2709.2000000000003</v>
      </c>
      <c r="H76" s="24" t="s">
        <v>124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74" t="s">
        <v>97</v>
      </c>
      <c r="B77" s="75" t="s">
        <v>125</v>
      </c>
      <c r="C77" s="75"/>
      <c r="D77" s="15">
        <v>8</v>
      </c>
      <c r="E77" s="1" t="s">
        <v>118</v>
      </c>
      <c r="F77" s="73">
        <v>8</v>
      </c>
      <c r="G77" s="1"/>
      <c r="H77" s="1"/>
      <c r="I77" s="1"/>
      <c r="J77" s="1"/>
      <c r="K77" s="1"/>
      <c r="L77" s="1"/>
      <c r="M77" s="24"/>
      <c r="N77" s="1"/>
      <c r="O77" s="1"/>
      <c r="P77" s="1"/>
      <c r="Q77" s="1"/>
    </row>
    <row r="78" spans="1:17" ht="15.75" customHeight="1">
      <c r="A78" s="7"/>
      <c r="B78" s="72" t="s">
        <v>126</v>
      </c>
      <c r="C78" s="75"/>
      <c r="D78" s="15">
        <v>6</v>
      </c>
      <c r="E78" s="1" t="s">
        <v>116</v>
      </c>
      <c r="F78" s="73">
        <v>6</v>
      </c>
      <c r="G78" s="1"/>
      <c r="H78" s="1"/>
      <c r="I78" s="1"/>
      <c r="J78" s="1"/>
      <c r="K78" s="1"/>
      <c r="L78" s="1"/>
      <c r="M78" s="24"/>
      <c r="N78" s="1"/>
      <c r="O78" s="1"/>
      <c r="P78" s="1"/>
      <c r="Q78" s="1"/>
    </row>
    <row r="79" spans="1:17" ht="15.75" customHeight="1">
      <c r="A79" s="7"/>
      <c r="B79" s="72" t="s">
        <v>127</v>
      </c>
      <c r="C79" s="75"/>
      <c r="D79" s="15">
        <v>4</v>
      </c>
      <c r="E79" s="1" t="s">
        <v>116</v>
      </c>
      <c r="F79" s="73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72" t="s">
        <v>128</v>
      </c>
      <c r="C80" s="75"/>
      <c r="D80" s="15">
        <v>2</v>
      </c>
      <c r="E80" s="1" t="s">
        <v>116</v>
      </c>
      <c r="F80" s="73">
        <v>2</v>
      </c>
      <c r="G80" s="1"/>
      <c r="H80" s="1"/>
      <c r="I80" s="1"/>
      <c r="J80" s="1"/>
      <c r="K80" s="1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24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129</v>
      </c>
      <c r="C82" s="4"/>
      <c r="D82" s="15">
        <v>8</v>
      </c>
      <c r="E82" s="1" t="s">
        <v>116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74" t="s">
        <v>98</v>
      </c>
      <c r="B83" s="4" t="s">
        <v>130</v>
      </c>
      <c r="C83" s="4"/>
      <c r="D83" s="15">
        <v>6</v>
      </c>
      <c r="E83" s="1" t="s">
        <v>116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131</v>
      </c>
      <c r="C84" s="4"/>
      <c r="D84" s="15">
        <v>2</v>
      </c>
      <c r="E84" s="1" t="s">
        <v>116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132</v>
      </c>
      <c r="C85" s="4"/>
      <c r="D85" s="15">
        <v>3</v>
      </c>
      <c r="E85" s="1" t="s">
        <v>116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72" t="s">
        <v>133</v>
      </c>
      <c r="C86" s="4"/>
      <c r="D86" s="15">
        <v>1</v>
      </c>
      <c r="E86" s="1" t="s">
        <v>116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6"/>
      <c r="C87" s="76"/>
      <c r="D87" s="76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7"/>
      <c r="B88" s="77"/>
      <c r="C88" s="58"/>
      <c r="D88" s="57"/>
      <c r="E88" s="1"/>
      <c r="F88" s="102" t="s">
        <v>134</v>
      </c>
      <c r="G88" s="101"/>
      <c r="H88" s="101"/>
      <c r="I88" s="101"/>
      <c r="J88" s="76"/>
      <c r="K88" s="76"/>
      <c r="L88" s="76"/>
      <c r="M88" s="76"/>
      <c r="N88" s="76"/>
      <c r="O88" s="24"/>
      <c r="P88" s="24"/>
      <c r="Q88" s="24"/>
    </row>
    <row r="89" spans="1:17" ht="15.75" customHeight="1">
      <c r="A89" s="4"/>
      <c r="B89" s="40" t="s">
        <v>135</v>
      </c>
      <c r="C89" s="41" t="s">
        <v>58</v>
      </c>
      <c r="D89" s="57"/>
      <c r="E89" s="4"/>
      <c r="F89" s="4"/>
      <c r="G89" s="1"/>
      <c r="H89" s="78"/>
      <c r="I89" s="79"/>
      <c r="J89" s="79"/>
      <c r="K89" s="79"/>
      <c r="L89" s="79"/>
      <c r="M89" s="79"/>
      <c r="N89" s="80"/>
      <c r="O89" s="24"/>
      <c r="P89" s="24"/>
      <c r="Q89" s="24"/>
    </row>
    <row r="90" spans="1:17" ht="15.75" customHeight="1">
      <c r="A90" s="81" t="s">
        <v>25</v>
      </c>
      <c r="B90" s="82" t="s">
        <v>61</v>
      </c>
      <c r="C90" s="82" t="s">
        <v>136</v>
      </c>
      <c r="D90" s="83">
        <v>11</v>
      </c>
      <c r="E90" s="38" t="s">
        <v>115</v>
      </c>
      <c r="F90" s="7"/>
      <c r="G90" s="7"/>
      <c r="H90" s="84" t="s">
        <v>137</v>
      </c>
      <c r="I90" s="84" t="s">
        <v>138</v>
      </c>
      <c r="J90" s="84" t="s">
        <v>139</v>
      </c>
      <c r="K90" s="84" t="s">
        <v>140</v>
      </c>
      <c r="L90" s="84" t="s">
        <v>141</v>
      </c>
      <c r="M90" s="84" t="s">
        <v>142</v>
      </c>
      <c r="N90" s="76"/>
      <c r="O90" s="1"/>
      <c r="P90" s="1"/>
      <c r="Q90" s="1"/>
    </row>
    <row r="91" spans="1:17" ht="15.75" customHeight="1">
      <c r="A91" s="20" t="s">
        <v>143</v>
      </c>
      <c r="B91" s="47">
        <v>35.700000000000003</v>
      </c>
      <c r="C91" s="47">
        <v>-74.599999999999994</v>
      </c>
      <c r="D91" s="83">
        <v>12</v>
      </c>
      <c r="E91" s="38" t="s">
        <v>117</v>
      </c>
      <c r="F91" s="7"/>
      <c r="G91" s="7"/>
      <c r="H91" s="21">
        <f>H36</f>
        <v>13851710.96354167</v>
      </c>
      <c r="I91" s="85">
        <f>E6*(1-I6)/D13*N50*20*1000/3600</f>
        <v>59921.399305555555</v>
      </c>
      <c r="J91" s="85">
        <f>(K60/D13*C108+K59/D13*C107+K58/D13*C106+K57/D13*C105+K56/D13*C104)*1000/3600*1000</f>
        <v>-5732081.2375992062</v>
      </c>
      <c r="K91" s="85">
        <f>(L56/D13*C109+L57/D13*C110)*1000/3600*1000</f>
        <v>-3821554.6875000005</v>
      </c>
      <c r="L91" s="21">
        <v>0</v>
      </c>
      <c r="M91" s="21">
        <f>H91+I91+J91+K91</f>
        <v>4357996.4377480187</v>
      </c>
      <c r="N91" s="86"/>
      <c r="O91" s="1"/>
      <c r="P91" s="1"/>
      <c r="Q91" s="1"/>
    </row>
    <row r="92" spans="1:17" ht="15.75" customHeight="1">
      <c r="A92" s="20" t="s">
        <v>144</v>
      </c>
      <c r="B92" s="47">
        <v>52.49</v>
      </c>
      <c r="C92" s="47">
        <v>-84</v>
      </c>
      <c r="D92" s="83">
        <v>13</v>
      </c>
      <c r="E92" s="38" t="s">
        <v>119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20" t="s">
        <v>145</v>
      </c>
      <c r="B93" s="47">
        <v>73.599999999999994</v>
      </c>
      <c r="C93" s="47">
        <f>-103.85</f>
        <v>-103.85</v>
      </c>
      <c r="D93" s="83">
        <v>14</v>
      </c>
      <c r="E93" s="38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20" t="s">
        <v>146</v>
      </c>
      <c r="B94" s="47">
        <v>98.49</v>
      </c>
      <c r="C94" s="47">
        <f>-125.77</f>
        <v>-125.77</v>
      </c>
      <c r="D94" s="83">
        <v>15</v>
      </c>
      <c r="E94" s="87" t="s">
        <v>121</v>
      </c>
      <c r="F94" s="7"/>
      <c r="G94" s="7"/>
      <c r="H94" s="88" t="s">
        <v>147</v>
      </c>
      <c r="I94" s="89">
        <f>M91/(G67/D13*1000/3600*B103)</f>
        <v>670.45124370711835</v>
      </c>
      <c r="J94" s="1" t="s">
        <v>148</v>
      </c>
      <c r="K94" s="1"/>
      <c r="L94" s="1"/>
      <c r="M94" s="1"/>
      <c r="N94" s="1"/>
      <c r="O94" s="1"/>
      <c r="P94" s="1"/>
      <c r="Q94" s="1"/>
    </row>
    <row r="95" spans="1:17" ht="15.75" customHeight="1">
      <c r="A95" s="20" t="s">
        <v>149</v>
      </c>
      <c r="B95" s="47">
        <v>120.04</v>
      </c>
      <c r="C95" s="47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20" t="s">
        <v>150</v>
      </c>
      <c r="B96" s="47">
        <v>29.38</v>
      </c>
      <c r="C96" s="47">
        <f>0</f>
        <v>0</v>
      </c>
      <c r="D96" s="83">
        <v>21</v>
      </c>
      <c r="E96" s="87" t="s">
        <v>123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20" t="s">
        <v>151</v>
      </c>
      <c r="B97" s="47">
        <v>37.14</v>
      </c>
      <c r="C97" s="47">
        <f>-393.51</f>
        <v>-393.51</v>
      </c>
      <c r="D97" s="83">
        <v>22</v>
      </c>
      <c r="E97" s="1" t="s">
        <v>125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20" t="s">
        <v>152</v>
      </c>
      <c r="B98" s="47">
        <v>33.6</v>
      </c>
      <c r="C98" s="47">
        <f>-241.83</f>
        <v>-241.83</v>
      </c>
      <c r="D98" s="83">
        <v>23</v>
      </c>
      <c r="E98" s="1" t="s">
        <v>126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20" t="s">
        <v>110</v>
      </c>
      <c r="B99" s="47">
        <v>29.14</v>
      </c>
      <c r="C99" s="47">
        <v>-110.53</v>
      </c>
      <c r="D99" s="83">
        <v>24</v>
      </c>
      <c r="E99" s="90" t="s">
        <v>127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20" t="s">
        <v>153</v>
      </c>
      <c r="B100" s="47">
        <v>28.84</v>
      </c>
      <c r="C100" s="47">
        <v>0</v>
      </c>
      <c r="D100" s="83">
        <v>25</v>
      </c>
      <c r="E100" s="90" t="s">
        <v>128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91" t="s">
        <v>154</v>
      </c>
      <c r="B101" s="47">
        <v>29.12</v>
      </c>
      <c r="C101" s="47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92" t="s">
        <v>155</v>
      </c>
      <c r="B102" s="93">
        <f>B91*E56+B92*E57+B93*E58+B94*E59+B95*E60+B96*E61+B97*E62+B98*E63+B99*E64+B100*E65+B101*E66</f>
        <v>38.251457088244344</v>
      </c>
      <c r="C102" s="80"/>
      <c r="D102" s="83">
        <v>31</v>
      </c>
      <c r="E102" s="1" t="s">
        <v>129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92" t="s">
        <v>156</v>
      </c>
      <c r="B103" s="93">
        <f>B91*H56+B92*H57+B93*H58+B94*H59+B95*H60+B96*H61+B97*H62+B98*H63+B99*H64+B100*H65+B101*H66</f>
        <v>30.178341873452702</v>
      </c>
      <c r="C103" s="94"/>
      <c r="D103" s="83">
        <v>32</v>
      </c>
      <c r="E103" s="1" t="s">
        <v>130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7"/>
      <c r="B104" s="60" t="s">
        <v>157</v>
      </c>
      <c r="C104" s="51">
        <f>C99-C91-C98</f>
        <v>205.9</v>
      </c>
      <c r="D104" s="83">
        <v>33</v>
      </c>
      <c r="E104" s="1" t="s">
        <v>131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7"/>
      <c r="B105" s="60" t="s">
        <v>158</v>
      </c>
      <c r="C105" s="56">
        <f>C99*2+C100*5-C92-2*C98</f>
        <v>346.6</v>
      </c>
      <c r="D105" s="83">
        <v>34</v>
      </c>
      <c r="E105" s="1" t="s">
        <v>132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7"/>
      <c r="B106" s="60" t="s">
        <v>159</v>
      </c>
      <c r="C106" s="56">
        <f>3*C99+7*C100-C93-3*C98</f>
        <v>497.75</v>
      </c>
      <c r="D106" s="83">
        <v>35</v>
      </c>
      <c r="E106" s="72" t="s">
        <v>133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7"/>
      <c r="B107" s="60" t="s">
        <v>160</v>
      </c>
      <c r="C107" s="56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7"/>
      <c r="B108" s="60" t="s">
        <v>161</v>
      </c>
      <c r="C108" s="56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7"/>
      <c r="B109" s="60" t="s">
        <v>162</v>
      </c>
      <c r="C109" s="56">
        <f>2*C99-C91-C97</f>
        <v>247.04999999999998</v>
      </c>
      <c r="D109" s="1" t="s">
        <v>81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7"/>
      <c r="B110" s="60" t="s">
        <v>163</v>
      </c>
      <c r="C110" s="5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60" t="s">
        <v>164</v>
      </c>
      <c r="C111" s="5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60" t="s">
        <v>165</v>
      </c>
      <c r="C112" s="5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60" t="s">
        <v>166</v>
      </c>
      <c r="C113" s="5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60" t="s">
        <v>167</v>
      </c>
      <c r="C114" s="5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60" t="s">
        <v>168</v>
      </c>
      <c r="C115" s="5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60" t="s">
        <v>169</v>
      </c>
      <c r="C116" s="5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60" t="s">
        <v>170</v>
      </c>
      <c r="C117" s="5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60" t="s">
        <v>171</v>
      </c>
      <c r="C118" s="5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A76" workbookViewId="0"/>
  </sheetViews>
  <sheetFormatPr defaultColWidth="12.5703125" defaultRowHeight="15.75" customHeight="1"/>
  <cols>
    <col min="1" max="19" width="11" customWidth="1"/>
  </cols>
  <sheetData>
    <row r="1" spans="1:17" ht="15.75" customHeight="1">
      <c r="A1" s="1"/>
    </row>
    <row r="2" spans="1:17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1</v>
      </c>
      <c r="L3" s="1"/>
      <c r="M3" s="1"/>
      <c r="N3" s="1"/>
      <c r="O3" s="1"/>
      <c r="P3" s="1"/>
      <c r="Q3" s="1"/>
    </row>
    <row r="4" spans="1:17" ht="15.7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3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4</v>
      </c>
      <c r="D6" s="9"/>
      <c r="E6" s="10">
        <v>7000</v>
      </c>
      <c r="F6" s="7" t="s">
        <v>5</v>
      </c>
      <c r="G6" s="8" t="s">
        <v>6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7</v>
      </c>
      <c r="D7" s="12" t="s">
        <v>172</v>
      </c>
      <c r="E7" s="10">
        <v>0.8</v>
      </c>
      <c r="F7" s="7"/>
      <c r="G7" s="8" t="s">
        <v>9</v>
      </c>
      <c r="H7" s="9"/>
      <c r="I7" s="13">
        <v>1.4</v>
      </c>
      <c r="J7" s="1"/>
      <c r="K7" s="1"/>
      <c r="L7" s="1"/>
      <c r="M7" s="103"/>
      <c r="N7" s="101"/>
      <c r="O7" s="101"/>
      <c r="P7" s="1"/>
      <c r="Q7" s="1"/>
    </row>
    <row r="8" spans="1:17" ht="15.75" customHeight="1">
      <c r="A8" s="1"/>
      <c r="B8" s="1"/>
      <c r="C8" s="7"/>
      <c r="D8" s="12" t="s">
        <v>173</v>
      </c>
      <c r="E8" s="10">
        <v>0.03</v>
      </c>
      <c r="F8" s="1"/>
      <c r="G8" s="14" t="s">
        <v>11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174</v>
      </c>
      <c r="E9" s="10">
        <v>0.04</v>
      </c>
      <c r="F9" s="7"/>
      <c r="G9" s="4" t="s">
        <v>13</v>
      </c>
      <c r="H9" s="15"/>
      <c r="I9" s="15">
        <v>5</v>
      </c>
      <c r="J9" s="1"/>
      <c r="K9" s="1"/>
      <c r="L9" s="1"/>
      <c r="M9" s="103"/>
      <c r="N9" s="101"/>
      <c r="O9" s="101"/>
      <c r="P9" s="1"/>
      <c r="Q9" s="1"/>
    </row>
    <row r="10" spans="1:17" ht="15.75" customHeight="1">
      <c r="A10" s="1"/>
      <c r="B10" s="1"/>
      <c r="C10" s="7"/>
      <c r="D10" s="12" t="s">
        <v>175</v>
      </c>
      <c r="E10" s="10">
        <v>0.05</v>
      </c>
      <c r="F10" s="7"/>
      <c r="G10" s="4" t="s">
        <v>15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176</v>
      </c>
      <c r="E11" s="10">
        <v>3.0000000000000001E-3</v>
      </c>
      <c r="F11" s="7"/>
      <c r="G11" s="4" t="s">
        <v>17</v>
      </c>
      <c r="H11" s="15"/>
      <c r="I11" s="15">
        <v>3</v>
      </c>
      <c r="J11" s="1"/>
      <c r="K11" s="1"/>
      <c r="L11" s="1"/>
      <c r="M11" s="103"/>
      <c r="N11" s="101"/>
      <c r="O11" s="101"/>
      <c r="P11" s="1"/>
      <c r="Q11" s="1"/>
    </row>
    <row r="12" spans="1:17" ht="15.75" customHeight="1">
      <c r="A12" s="1"/>
      <c r="B12" s="1"/>
      <c r="C12" s="7"/>
      <c r="D12" s="12" t="s">
        <v>18</v>
      </c>
      <c r="E12" s="6">
        <f>1-(E7+E8+E9+E10+E11)</f>
        <v>7.6999999999999846E-2</v>
      </c>
      <c r="F12" s="7"/>
      <c r="G12" s="4" t="s">
        <v>19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20</v>
      </c>
      <c r="H13" s="15"/>
      <c r="I13" s="15">
        <v>1</v>
      </c>
      <c r="J13" s="1"/>
      <c r="K13" s="1"/>
      <c r="L13" s="1"/>
      <c r="M13" s="103"/>
      <c r="N13" s="101"/>
      <c r="O13" s="101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21</v>
      </c>
      <c r="F15" s="4"/>
      <c r="G15" s="4"/>
      <c r="H15" s="4"/>
      <c r="I15" s="4"/>
      <c r="J15" s="4"/>
      <c r="K15" s="1"/>
      <c r="L15" s="1"/>
      <c r="M15" s="103"/>
      <c r="N15" s="101"/>
      <c r="O15" s="101"/>
      <c r="P15" s="1"/>
      <c r="Q15" s="1"/>
    </row>
    <row r="16" spans="1:17" ht="15.75" customHeight="1">
      <c r="A16" s="17"/>
      <c r="B16" s="15"/>
      <c r="C16" s="104" t="s">
        <v>22</v>
      </c>
      <c r="D16" s="105"/>
      <c r="E16" s="106"/>
      <c r="F16" s="104" t="s">
        <v>23</v>
      </c>
      <c r="G16" s="105"/>
      <c r="H16" s="106"/>
      <c r="I16" s="8" t="s">
        <v>24</v>
      </c>
      <c r="J16" s="15"/>
      <c r="K16" s="1"/>
      <c r="L16" s="1"/>
      <c r="M16" s="1"/>
      <c r="N16" s="1"/>
      <c r="O16" s="1">
        <f>O23/2</f>
        <v>-7.3499999999999091</v>
      </c>
      <c r="P16" s="1"/>
      <c r="Q16" s="1"/>
    </row>
    <row r="17" spans="1:19" ht="15.75" customHeight="1">
      <c r="A17" s="18" t="s">
        <v>25</v>
      </c>
      <c r="B17" s="19" t="s">
        <v>26</v>
      </c>
      <c r="C17" s="19" t="s">
        <v>27</v>
      </c>
      <c r="D17" s="19" t="s">
        <v>28</v>
      </c>
      <c r="E17" s="19" t="s">
        <v>29</v>
      </c>
      <c r="F17" s="19" t="s">
        <v>30</v>
      </c>
      <c r="G17" s="19" t="s">
        <v>31</v>
      </c>
      <c r="H17" s="19" t="s">
        <v>32</v>
      </c>
      <c r="I17" s="19" t="s">
        <v>33</v>
      </c>
      <c r="J17" s="19" t="s">
        <v>34</v>
      </c>
      <c r="K17" s="1"/>
      <c r="L17" s="1"/>
      <c r="M17" s="1" t="s">
        <v>34</v>
      </c>
      <c r="N17" s="1" t="s">
        <v>33</v>
      </c>
      <c r="O17" s="1" t="s">
        <v>31</v>
      </c>
      <c r="P17" s="1"/>
      <c r="Q17" s="1"/>
    </row>
    <row r="18" spans="1:19" ht="15.75" customHeight="1">
      <c r="A18" s="20" t="s">
        <v>177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6.8571428571428575E-2</v>
      </c>
      <c r="F18" s="21">
        <f t="shared" ref="F18:F26" si="0">C18+I18</f>
        <v>5.2499999999998863</v>
      </c>
      <c r="G18" s="22">
        <f>-O16</f>
        <v>7.3499999999999091</v>
      </c>
      <c r="H18" s="22">
        <f>G18/G27</f>
        <v>5.9308630817893522E-4</v>
      </c>
      <c r="I18" s="21">
        <f>J18/D13*B18</f>
        <v>-594.75000000000011</v>
      </c>
      <c r="J18" s="21">
        <f>G18-D18</f>
        <v>-832.65000000000009</v>
      </c>
      <c r="K18" s="1"/>
      <c r="L18" s="1" t="s">
        <v>36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178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38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179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3.4285714285714284E-3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40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180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42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181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44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182</v>
      </c>
      <c r="B23" s="15">
        <v>32</v>
      </c>
      <c r="C23" s="21">
        <f>D23/D13*B23</f>
        <v>3360</v>
      </c>
      <c r="D23" s="21">
        <f>F29*E7*I7*2</f>
        <v>2352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-3360</v>
      </c>
      <c r="J23" s="21">
        <f>J22*8+J21*6.5+J20*5+J19*3.5+J18*2</f>
        <v>-2352</v>
      </c>
      <c r="K23" s="7"/>
      <c r="L23" s="29" t="s">
        <v>183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-14.699999999999818</v>
      </c>
      <c r="Q23" s="24"/>
      <c r="R23" s="24"/>
      <c r="S23" s="1"/>
    </row>
    <row r="24" spans="1:19" ht="15.75" customHeight="1">
      <c r="A24" s="20" t="s">
        <v>184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2450.2500000000005</v>
      </c>
      <c r="G24" s="21">
        <f t="shared" si="3"/>
        <v>1247.4000000000001</v>
      </c>
      <c r="H24" s="22">
        <f>G24/G27</f>
        <v>0.10065521915951198</v>
      </c>
      <c r="I24" s="21">
        <f>J24/D13*B24</f>
        <v>2450.2500000000005</v>
      </c>
      <c r="J24" s="21">
        <f>-J22*5+(-J21*4)+(-J20*3)+(-J19*2)+(-J18*1)</f>
        <v>1247.4000000000001</v>
      </c>
      <c r="K24" s="7"/>
      <c r="L24" s="31" t="s">
        <v>185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186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1775.2500000000002</v>
      </c>
      <c r="G25" s="21">
        <f t="shared" si="3"/>
        <v>2209.2000000000003</v>
      </c>
      <c r="H25" s="22">
        <f>G25/G27</f>
        <v>0.17826479891549932</v>
      </c>
      <c r="I25" s="21">
        <f>J25/D13*B25</f>
        <v>1775.2500000000002</v>
      </c>
      <c r="J25" s="21">
        <f>-J22*6+(-J21*5)+(-J20*4)+(-J19*3)+(-J18*2)</f>
        <v>2209.2000000000003</v>
      </c>
      <c r="K25" s="7"/>
      <c r="L25" s="31" t="s">
        <v>187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188</v>
      </c>
      <c r="B26" s="15">
        <v>28</v>
      </c>
      <c r="C26" s="25">
        <f>D26/D13*B26</f>
        <v>11161.062500000002</v>
      </c>
      <c r="D26" s="21">
        <f>D23*79/21+F29*(1-E7-E8-E9-E10-E11)</f>
        <v>8928.85</v>
      </c>
      <c r="E26" s="33">
        <f>D26/D27</f>
        <v>0.72888571428571436</v>
      </c>
      <c r="F26" s="25">
        <f t="shared" si="0"/>
        <v>11161.062500000002</v>
      </c>
      <c r="G26" s="21">
        <f t="shared" si="3"/>
        <v>8928.85</v>
      </c>
      <c r="H26" s="33">
        <f>G26/G27</f>
        <v>0.72048689561680967</v>
      </c>
      <c r="I26" s="25">
        <f>J26/D13*B26</f>
        <v>0</v>
      </c>
      <c r="J26" s="21">
        <v>0</v>
      </c>
      <c r="K26" s="1"/>
      <c r="L26" s="31" t="s">
        <v>189</v>
      </c>
      <c r="M26" s="1">
        <v>0</v>
      </c>
      <c r="N26" s="1">
        <f>M26/D13*B26</f>
        <v>0</v>
      </c>
      <c r="O26" s="24">
        <f t="shared" si="4"/>
        <v>8928.85</v>
      </c>
      <c r="P26" s="24"/>
      <c r="Q26" s="24"/>
    </row>
    <row r="27" spans="1:19" ht="15.75" customHeight="1">
      <c r="A27" s="34" t="s">
        <v>53</v>
      </c>
      <c r="B27" s="9"/>
      <c r="C27" s="28">
        <f t="shared" ref="C27:J27" si="5">SUM(C18:C26)</f>
        <v>15391.812500000002</v>
      </c>
      <c r="D27" s="27">
        <f t="shared" si="5"/>
        <v>12250</v>
      </c>
      <c r="E27" s="35">
        <f t="shared" si="5"/>
        <v>1</v>
      </c>
      <c r="F27" s="28">
        <f t="shared" si="5"/>
        <v>15391.812500000004</v>
      </c>
      <c r="G27" s="27">
        <f t="shared" si="5"/>
        <v>12392.800000000001</v>
      </c>
      <c r="H27" s="35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6"/>
      <c r="N27" s="1">
        <f t="shared" ref="N27:O27" si="6">SUM(N18:N26)</f>
        <v>18.562500000000682</v>
      </c>
      <c r="O27" s="24">
        <f t="shared" si="6"/>
        <v>12402.25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37">
        <f>-(D63+K63)</f>
        <v>-4.5474735088646412E-13</v>
      </c>
      <c r="B29" s="1"/>
      <c r="C29" s="38" t="s">
        <v>54</v>
      </c>
      <c r="D29" s="1"/>
      <c r="E29" s="7"/>
      <c r="F29" s="15">
        <f>E6*I6</f>
        <v>1050</v>
      </c>
      <c r="G29" s="1"/>
      <c r="H29" s="1" t="s">
        <v>55</v>
      </c>
      <c r="I29" s="1">
        <v>450</v>
      </c>
      <c r="J29" s="1" t="s">
        <v>56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9"/>
      <c r="B30" s="40" t="s">
        <v>57</v>
      </c>
      <c r="C30" s="41" t="s">
        <v>58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4" t="s">
        <v>25</v>
      </c>
      <c r="B31" s="45" t="s">
        <v>61</v>
      </c>
      <c r="C31" s="45" t="s">
        <v>190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ht="15.75" customHeight="1">
      <c r="A32" s="20" t="s">
        <v>191</v>
      </c>
      <c r="B32" s="47">
        <v>35.700000000000003</v>
      </c>
      <c r="C32" s="47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192</v>
      </c>
      <c r="B33" s="47">
        <v>52.49</v>
      </c>
      <c r="C33" s="47">
        <v>-84</v>
      </c>
      <c r="D33" s="1"/>
      <c r="E33" s="1"/>
      <c r="F33" s="3" t="s">
        <v>66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193</v>
      </c>
      <c r="B34" s="47">
        <v>73.599999999999994</v>
      </c>
      <c r="C34" s="47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194</v>
      </c>
      <c r="B35" s="47">
        <v>98.49</v>
      </c>
      <c r="C35" s="47">
        <f>-125.77</f>
        <v>-125.77</v>
      </c>
      <c r="D35" s="1"/>
      <c r="E35" s="7"/>
      <c r="F35" s="49" t="s">
        <v>70</v>
      </c>
      <c r="G35" s="49" t="s">
        <v>71</v>
      </c>
      <c r="H35" s="95" t="s">
        <v>72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195</v>
      </c>
      <c r="B36" s="47">
        <v>120.04</v>
      </c>
      <c r="C36" s="47">
        <f>-146.36</f>
        <v>-146.36000000000001</v>
      </c>
      <c r="D36" s="1"/>
      <c r="E36" s="7" t="s">
        <v>65</v>
      </c>
      <c r="F36" s="47">
        <f>I29*B42*D27/22.4*1000/3600</f>
        <v>2061335.7031250005</v>
      </c>
      <c r="G36" s="51">
        <f>(J22*C45/1+J21*C46/1+J20*C47/1+J19*C48/1+J18*C49/1)/22.4*(1000/3600)*1000</f>
        <v>11767458.593750004</v>
      </c>
      <c r="H36" s="56">
        <f>F36+G36</f>
        <v>13828794.296875004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196</v>
      </c>
      <c r="B37" s="47">
        <v>29.38</v>
      </c>
      <c r="C37" s="47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197</v>
      </c>
      <c r="B38" s="47">
        <v>37.14</v>
      </c>
      <c r="C38" s="47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198</v>
      </c>
      <c r="B39" s="47">
        <v>33.6</v>
      </c>
      <c r="C39" s="47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199</v>
      </c>
      <c r="B40" s="47">
        <v>29.12</v>
      </c>
      <c r="C40" s="47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54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55" t="s">
        <v>200</v>
      </c>
      <c r="B42" s="56">
        <f>B32*E18+B33*E19+B34*E20+B35*E21+B36*E22+B37*E23+B38*E24+B39*E25+B40*E26</f>
        <v>30.154396571428574</v>
      </c>
      <c r="C42" s="5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55" t="s">
        <v>201</v>
      </c>
      <c r="B43" s="56">
        <f>B32*H18+B33*H19+B34*H20+B35*H21+B36*H22+B37*H23+B38*H24+B39*H25+B40*H26</f>
        <v>30.729783664708538</v>
      </c>
      <c r="C43" s="5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9"/>
      <c r="C44" s="5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60" t="s">
        <v>80</v>
      </c>
      <c r="C45" s="56">
        <f>((5*C38+6*C39)-(C36+8*C37))</f>
        <v>-3272.1699999999996</v>
      </c>
      <c r="D45" s="1" t="s">
        <v>81</v>
      </c>
      <c r="E45" s="1"/>
      <c r="F45" s="1"/>
      <c r="G45" s="1"/>
      <c r="H45" s="1"/>
      <c r="I45" s="1"/>
      <c r="J45" s="1"/>
      <c r="K45" s="4"/>
      <c r="L45" s="61" t="s">
        <v>7</v>
      </c>
      <c r="M45" s="61" t="s">
        <v>82</v>
      </c>
      <c r="N45" s="1"/>
      <c r="O45" s="1"/>
      <c r="P45" s="1"/>
      <c r="Q45" s="1"/>
    </row>
    <row r="46" spans="1:17" ht="15.75" customHeight="1">
      <c r="A46" s="7"/>
      <c r="B46" s="60" t="s">
        <v>83</v>
      </c>
      <c r="C46" s="56">
        <f>((4*C38+5*C39)-(1*C35))</f>
        <v>-2657.42</v>
      </c>
      <c r="D46" s="1" t="s">
        <v>81</v>
      </c>
      <c r="E46" s="1"/>
      <c r="F46" s="1"/>
      <c r="G46" s="1"/>
      <c r="H46" s="1"/>
      <c r="I46" s="1"/>
      <c r="J46" s="7"/>
      <c r="K46" s="62" t="s">
        <v>84</v>
      </c>
      <c r="L46" s="10">
        <v>0.8</v>
      </c>
      <c r="M46" s="47">
        <v>35.700000000000003</v>
      </c>
      <c r="N46" s="1"/>
      <c r="O46" s="1"/>
      <c r="P46" s="1"/>
      <c r="Q46" s="1"/>
    </row>
    <row r="47" spans="1:17" ht="15.75" customHeight="1">
      <c r="A47" s="7"/>
      <c r="B47" s="60" t="s">
        <v>85</v>
      </c>
      <c r="C47" s="56">
        <f>((3*C38+4*C39)-(1*C34))</f>
        <v>-2044</v>
      </c>
      <c r="D47" s="1" t="s">
        <v>81</v>
      </c>
      <c r="E47" s="1"/>
      <c r="F47" s="1"/>
      <c r="G47" s="1"/>
      <c r="H47" s="1"/>
      <c r="I47" s="1"/>
      <c r="J47" s="7"/>
      <c r="K47" s="62" t="s">
        <v>86</v>
      </c>
      <c r="L47" s="10">
        <v>0.03</v>
      </c>
      <c r="M47" s="47">
        <v>52.49</v>
      </c>
      <c r="N47" s="1"/>
      <c r="O47" s="1"/>
      <c r="P47" s="1"/>
      <c r="Q47" s="1"/>
    </row>
    <row r="48" spans="1:17" ht="15.75" customHeight="1">
      <c r="A48" s="7"/>
      <c r="B48" s="60" t="s">
        <v>87</v>
      </c>
      <c r="C48" s="56">
        <f>((2*C38+3*C39)-(C33))</f>
        <v>-1428.51</v>
      </c>
      <c r="D48" s="1" t="s">
        <v>81</v>
      </c>
      <c r="E48" s="1"/>
      <c r="F48" s="1"/>
      <c r="G48" s="1"/>
      <c r="H48" s="1"/>
      <c r="I48" s="1"/>
      <c r="J48" s="7"/>
      <c r="K48" s="62" t="s">
        <v>88</v>
      </c>
      <c r="L48" s="10">
        <v>0.04</v>
      </c>
      <c r="M48" s="47">
        <v>73.599999999999994</v>
      </c>
      <c r="N48" s="1"/>
      <c r="O48" s="1"/>
      <c r="P48" s="1"/>
      <c r="Q48" s="1"/>
    </row>
    <row r="49" spans="1:17" ht="15.75" customHeight="1">
      <c r="A49" s="7"/>
      <c r="B49" s="60" t="s">
        <v>89</v>
      </c>
      <c r="C49" s="56">
        <f>((1*C38+2*C39)-(1*C32))</f>
        <v>-802.57</v>
      </c>
      <c r="D49" s="1" t="s">
        <v>81</v>
      </c>
      <c r="E49" s="1"/>
      <c r="F49" s="1"/>
      <c r="G49" s="1"/>
      <c r="H49" s="1"/>
      <c r="I49" s="1"/>
      <c r="J49" s="7"/>
      <c r="K49" s="62" t="s">
        <v>90</v>
      </c>
      <c r="L49" s="10">
        <v>0.05</v>
      </c>
      <c r="M49" s="47">
        <v>98.49</v>
      </c>
      <c r="N49" s="5" t="s">
        <v>91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62" t="s">
        <v>92</v>
      </c>
      <c r="L50" s="10">
        <v>3.0000000000000001E-3</v>
      </c>
      <c r="M50" s="47">
        <v>120.04</v>
      </c>
      <c r="N50" s="63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62" t="s">
        <v>18</v>
      </c>
      <c r="L51" s="6">
        <f>1-(L46+L47+L48+L49+L50)</f>
        <v>7.6999999999999846E-2</v>
      </c>
      <c r="M51" s="47">
        <v>29.12</v>
      </c>
      <c r="N51" s="1"/>
      <c r="O51" s="1"/>
      <c r="P51" s="1"/>
      <c r="Q51" s="1"/>
    </row>
    <row r="52" spans="1:17" ht="15.75" customHeight="1">
      <c r="A52" s="3" t="s">
        <v>93</v>
      </c>
      <c r="B52" s="1"/>
      <c r="C52" s="1"/>
      <c r="D52" s="1"/>
      <c r="E52" s="38" t="s">
        <v>94</v>
      </c>
      <c r="F52" s="7"/>
      <c r="G52" s="15">
        <f>E6-F29</f>
        <v>5950</v>
      </c>
      <c r="H52" s="1" t="s">
        <v>5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13.5" customHeight="1">
      <c r="A53" s="1"/>
      <c r="B53" s="1"/>
      <c r="C53" s="1"/>
      <c r="D53" s="100" t="s">
        <v>95</v>
      </c>
      <c r="E53" s="101"/>
      <c r="F53" s="101"/>
      <c r="G53" s="101"/>
      <c r="H53" s="101"/>
      <c r="I53" s="10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64">
        <v>22.4</v>
      </c>
      <c r="J54" s="4"/>
      <c r="K54" s="65" t="s">
        <v>96</v>
      </c>
      <c r="L54" s="65" t="s">
        <v>97</v>
      </c>
      <c r="M54" s="65" t="s">
        <v>98</v>
      </c>
      <c r="N54" s="1"/>
      <c r="O54" s="1"/>
      <c r="P54" s="1"/>
      <c r="Q54" s="1"/>
    </row>
    <row r="55" spans="1:17" ht="15.75" customHeight="1">
      <c r="A55" s="66" t="s">
        <v>25</v>
      </c>
      <c r="B55" s="49" t="s">
        <v>26</v>
      </c>
      <c r="C55" s="49" t="s">
        <v>27</v>
      </c>
      <c r="D55" s="49" t="s">
        <v>28</v>
      </c>
      <c r="E55" s="49" t="s">
        <v>29</v>
      </c>
      <c r="F55" s="49" t="s">
        <v>30</v>
      </c>
      <c r="G55" s="49" t="s">
        <v>31</v>
      </c>
      <c r="H55" s="49" t="s">
        <v>32</v>
      </c>
      <c r="I55" s="49" t="s">
        <v>33</v>
      </c>
      <c r="J55" s="49" t="s">
        <v>34</v>
      </c>
      <c r="K55" s="49" t="s">
        <v>99</v>
      </c>
      <c r="L55" s="49" t="s">
        <v>100</v>
      </c>
      <c r="M55" s="49" t="s">
        <v>101</v>
      </c>
      <c r="N55" s="67"/>
      <c r="O55" s="1"/>
      <c r="P55" s="1"/>
      <c r="Q55" s="1"/>
    </row>
    <row r="56" spans="1:17" ht="15.75" customHeight="1">
      <c r="A56" s="20" t="s">
        <v>202</v>
      </c>
      <c r="B56" s="68">
        <v>16</v>
      </c>
      <c r="C56" s="21">
        <f>D56/I54*B56</f>
        <v>3405.2500000000005</v>
      </c>
      <c r="D56" s="47">
        <f>G52*L46+G18</f>
        <v>4767.3500000000004</v>
      </c>
      <c r="E56" s="22">
        <f>D56/D67</f>
        <v>0.50641335464921744</v>
      </c>
      <c r="F56" s="21">
        <f t="shared" ref="F56:G56" si="7">C56+I56</f>
        <v>2615.0000000000005</v>
      </c>
      <c r="G56" s="21">
        <f t="shared" si="7"/>
        <v>3661.0000000000005</v>
      </c>
      <c r="H56" s="22">
        <f>G56/G67</f>
        <v>0.23044215813707566</v>
      </c>
      <c r="I56" s="21">
        <f>J56/I54*B56</f>
        <v>-790.25</v>
      </c>
      <c r="J56" s="47">
        <f t="shared" ref="J56:J66" si="8">SUM(K56:M56)</f>
        <v>-1106.3499999999999</v>
      </c>
      <c r="K56" s="47"/>
      <c r="L56" s="47">
        <v>-1106.3499999999999</v>
      </c>
      <c r="M56" s="47"/>
      <c r="N56" s="1"/>
      <c r="O56" s="1"/>
      <c r="P56" s="1"/>
      <c r="Q56" s="24"/>
    </row>
    <row r="57" spans="1:17" ht="15.75" customHeight="1">
      <c r="A57" s="20" t="s">
        <v>203</v>
      </c>
      <c r="B57" s="68">
        <v>30</v>
      </c>
      <c r="C57" s="21">
        <f>D57/I54*B57</f>
        <v>239.06250000000003</v>
      </c>
      <c r="D57" s="47">
        <f>G52*L47</f>
        <v>178.5</v>
      </c>
      <c r="E57" s="22">
        <f>D57/D67</f>
        <v>1.8961222441164442E-2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-239.06250000000003</v>
      </c>
      <c r="J57" s="47">
        <f t="shared" si="8"/>
        <v>-178.5</v>
      </c>
      <c r="K57" s="47">
        <f>-215.95/2</f>
        <v>-107.97499999999999</v>
      </c>
      <c r="L57" s="47">
        <f>-D57-K57</f>
        <v>-70.525000000000006</v>
      </c>
      <c r="M57" s="47"/>
      <c r="N57" s="1"/>
      <c r="O57" s="1"/>
      <c r="P57" s="1"/>
      <c r="Q57" s="24"/>
    </row>
    <row r="58" spans="1:17" ht="15.75" customHeight="1">
      <c r="A58" s="20" t="s">
        <v>204</v>
      </c>
      <c r="B58" s="68">
        <v>44</v>
      </c>
      <c r="C58" s="21">
        <f>D58/I54*B58</f>
        <v>467.5</v>
      </c>
      <c r="D58" s="47">
        <f>G52*L48</f>
        <v>238</v>
      </c>
      <c r="E58" s="22">
        <f>D58/D67</f>
        <v>2.5281629921552588E-2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-467.5</v>
      </c>
      <c r="J58" s="47">
        <f t="shared" si="8"/>
        <v>-238</v>
      </c>
      <c r="K58" s="47">
        <f t="shared" ref="K58:K60" si="11">-D58</f>
        <v>-238</v>
      </c>
      <c r="L58" s="47"/>
      <c r="M58" s="47"/>
      <c r="N58" s="1"/>
      <c r="O58" s="1"/>
      <c r="P58" s="1"/>
      <c r="Q58" s="24"/>
    </row>
    <row r="59" spans="1:17" ht="15.75" customHeight="1">
      <c r="A59" s="20" t="s">
        <v>205</v>
      </c>
      <c r="B59" s="68">
        <v>58</v>
      </c>
      <c r="C59" s="21">
        <f>D59/I54*B59</f>
        <v>770.3125</v>
      </c>
      <c r="D59" s="47">
        <f>G52*L49</f>
        <v>297.5</v>
      </c>
      <c r="E59" s="22">
        <f>D59/D67</f>
        <v>3.1602037401940737E-2</v>
      </c>
      <c r="F59" s="21">
        <f t="shared" ref="F59:G59" si="12">C59+I59</f>
        <v>0</v>
      </c>
      <c r="G59" s="21">
        <f t="shared" si="12"/>
        <v>0</v>
      </c>
      <c r="H59" s="22">
        <f>G59/G67</f>
        <v>0</v>
      </c>
      <c r="I59" s="21">
        <f>J59/I54*B59</f>
        <v>-770.3125</v>
      </c>
      <c r="J59" s="47">
        <f t="shared" si="8"/>
        <v>-297.5</v>
      </c>
      <c r="K59" s="47">
        <f t="shared" si="11"/>
        <v>-297.5</v>
      </c>
      <c r="L59" s="47"/>
      <c r="M59" s="47"/>
      <c r="N59" s="1"/>
      <c r="O59" s="1"/>
      <c r="P59" s="24">
        <f>D63+K60*5</f>
        <v>2119.9500000000003</v>
      </c>
      <c r="Q59" s="24"/>
    </row>
    <row r="60" spans="1:17" ht="15.75" customHeight="1">
      <c r="A60" s="20" t="s">
        <v>206</v>
      </c>
      <c r="B60" s="68">
        <v>72</v>
      </c>
      <c r="C60" s="21">
        <f>D60/I54*B60</f>
        <v>57.375000000000007</v>
      </c>
      <c r="D60" s="47">
        <f>G52*L50</f>
        <v>17.850000000000001</v>
      </c>
      <c r="E60" s="22">
        <f>D60/D67</f>
        <v>1.8961222441164442E-3</v>
      </c>
      <c r="F60" s="21">
        <f t="shared" ref="F60:F65" si="13">C60+I60</f>
        <v>0</v>
      </c>
      <c r="G60" s="21">
        <f>D60+L60</f>
        <v>17.850000000000001</v>
      </c>
      <c r="H60" s="22">
        <f>G60/G67</f>
        <v>1.1235707519111719E-3</v>
      </c>
      <c r="I60" s="21">
        <f>J60/I54*B60</f>
        <v>-57.375000000000007</v>
      </c>
      <c r="J60" s="47">
        <f t="shared" si="8"/>
        <v>-17.850000000000001</v>
      </c>
      <c r="K60" s="47">
        <f t="shared" si="11"/>
        <v>-17.850000000000001</v>
      </c>
      <c r="L60" s="47"/>
      <c r="M60" s="47"/>
      <c r="N60" s="1"/>
      <c r="O60" s="1"/>
      <c r="P60" s="24">
        <f>P59+K59*4</f>
        <v>929.95000000000027</v>
      </c>
      <c r="Q60" s="24"/>
    </row>
    <row r="61" spans="1:17" ht="15.75" customHeight="1">
      <c r="A61" s="20" t="s">
        <v>207</v>
      </c>
      <c r="B61" s="68">
        <v>32</v>
      </c>
      <c r="C61" s="21">
        <f>D61</f>
        <v>0</v>
      </c>
      <c r="D61" s="47">
        <v>0</v>
      </c>
      <c r="E61" s="22">
        <f>D61</f>
        <v>0</v>
      </c>
      <c r="F61" s="21">
        <f t="shared" si="13"/>
        <v>0</v>
      </c>
      <c r="G61" s="21">
        <f>J61</f>
        <v>0</v>
      </c>
      <c r="H61" s="22">
        <f>G61/G67</f>
        <v>0</v>
      </c>
      <c r="I61" s="21">
        <f>0</f>
        <v>0</v>
      </c>
      <c r="J61" s="47">
        <f t="shared" si="8"/>
        <v>0</v>
      </c>
      <c r="K61" s="47"/>
      <c r="L61" s="47"/>
      <c r="M61" s="47"/>
      <c r="N61" s="1"/>
      <c r="O61" s="1"/>
      <c r="P61" s="24">
        <f>P60+K58*3</f>
        <v>215.95000000000027</v>
      </c>
      <c r="Q61" s="24"/>
    </row>
    <row r="62" spans="1:17" ht="15.75" customHeight="1">
      <c r="A62" s="20" t="s">
        <v>208</v>
      </c>
      <c r="B62" s="68">
        <v>44</v>
      </c>
      <c r="C62" s="21">
        <f>D62/I54*B62</f>
        <v>2450.2500000000005</v>
      </c>
      <c r="D62" s="47">
        <f t="shared" ref="D62:D63" si="14">G24</f>
        <v>1247.4000000000001</v>
      </c>
      <c r="E62" s="22">
        <f>D62/D67</f>
        <v>0.13250548388296093</v>
      </c>
      <c r="F62" s="21">
        <f t="shared" si="13"/>
        <v>0</v>
      </c>
      <c r="G62" s="21">
        <f t="shared" ref="G62:G63" si="15">J62+D62</f>
        <v>0</v>
      </c>
      <c r="H62" s="22">
        <f>G62/G67</f>
        <v>0</v>
      </c>
      <c r="I62" s="21">
        <f>J62/I54*B62</f>
        <v>-2450.25</v>
      </c>
      <c r="J62" s="47">
        <f t="shared" si="8"/>
        <v>-1247.3999999999999</v>
      </c>
      <c r="K62" s="47"/>
      <c r="L62" s="47">
        <f>L57*2+L56</f>
        <v>-1247.3999999999999</v>
      </c>
      <c r="M62" s="47"/>
      <c r="N62" s="1"/>
      <c r="O62" s="1"/>
      <c r="P62" s="1"/>
      <c r="Q62" s="24"/>
    </row>
    <row r="63" spans="1:17" ht="15.75" customHeight="1">
      <c r="A63" s="20" t="s">
        <v>209</v>
      </c>
      <c r="B63" s="68">
        <v>18</v>
      </c>
      <c r="C63" s="21">
        <f>D63/I54*B63</f>
        <v>1775.2500000000002</v>
      </c>
      <c r="D63" s="47">
        <f t="shared" si="14"/>
        <v>2209.2000000000003</v>
      </c>
      <c r="E63" s="22">
        <f>D63/D67</f>
        <v>0.23467301186005876</v>
      </c>
      <c r="F63" s="21">
        <f t="shared" si="13"/>
        <v>0</v>
      </c>
      <c r="G63" s="21">
        <f t="shared" si="15"/>
        <v>0</v>
      </c>
      <c r="H63" s="22">
        <f>G63/G67</f>
        <v>0</v>
      </c>
      <c r="I63" s="21">
        <f>J63/I54*B63</f>
        <v>-1775.25</v>
      </c>
      <c r="J63" s="47">
        <f t="shared" si="8"/>
        <v>-2209.1999999999998</v>
      </c>
      <c r="K63" s="47">
        <f>K60*5+K59*4+K58*3+K57*2+K56</f>
        <v>-2209.1999999999998</v>
      </c>
      <c r="L63" s="47"/>
      <c r="M63" s="47"/>
      <c r="N63" s="1"/>
      <c r="O63" s="1"/>
      <c r="P63" s="1">
        <f>-(D63+K60*5+K59*4+K58*3)/2</f>
        <v>-107.97500000000014</v>
      </c>
      <c r="Q63" s="24"/>
    </row>
    <row r="64" spans="1:17" ht="15.75" customHeight="1">
      <c r="A64" s="20" t="s">
        <v>110</v>
      </c>
      <c r="B64" s="68">
        <v>28</v>
      </c>
      <c r="C64" s="21">
        <v>0</v>
      </c>
      <c r="D64" s="47">
        <v>0</v>
      </c>
      <c r="E64" s="22">
        <f t="shared" ref="E64:E65" si="16">D64</f>
        <v>0</v>
      </c>
      <c r="F64" s="21">
        <f t="shared" si="13"/>
        <v>5880</v>
      </c>
      <c r="G64" s="21">
        <f t="shared" ref="G64:G65" si="17">J64</f>
        <v>4704</v>
      </c>
      <c r="H64" s="22">
        <f>G64/G67</f>
        <v>0.29609393932717937</v>
      </c>
      <c r="I64" s="21">
        <f>J64/I54*B64</f>
        <v>5880</v>
      </c>
      <c r="J64" s="47">
        <f t="shared" si="8"/>
        <v>4704</v>
      </c>
      <c r="K64" s="47">
        <f>-K60*5-K59*4-K58*3-K57*2</f>
        <v>2209.1999999999998</v>
      </c>
      <c r="L64" s="47">
        <f>-L57*4-L56*2</f>
        <v>2494.7999999999997</v>
      </c>
      <c r="M64" s="47"/>
      <c r="N64" s="1"/>
      <c r="O64" s="1"/>
      <c r="P64" s="1"/>
      <c r="Q64" s="24"/>
    </row>
    <row r="65" spans="1:17" ht="15.75" customHeight="1">
      <c r="A65" s="20" t="s">
        <v>210</v>
      </c>
      <c r="B65" s="68">
        <v>2</v>
      </c>
      <c r="C65" s="21">
        <v>0</v>
      </c>
      <c r="D65" s="47">
        <v>0</v>
      </c>
      <c r="E65" s="22">
        <f t="shared" si="16"/>
        <v>0</v>
      </c>
      <c r="F65" s="21">
        <f t="shared" si="13"/>
        <v>670</v>
      </c>
      <c r="G65" s="21">
        <f t="shared" si="17"/>
        <v>7504</v>
      </c>
      <c r="H65" s="22">
        <f>G65/G67</f>
        <v>0.47234033178383378</v>
      </c>
      <c r="I65" s="21">
        <f>J65/I54*B65</f>
        <v>670</v>
      </c>
      <c r="J65" s="47">
        <f t="shared" si="8"/>
        <v>7504</v>
      </c>
      <c r="K65" s="47">
        <f>-K60*11-K59*9-K58*7-K57*5</f>
        <v>5079.7250000000004</v>
      </c>
      <c r="L65" s="47">
        <f>-L57*3-L56*2</f>
        <v>2424.2749999999996</v>
      </c>
      <c r="M65" s="47"/>
      <c r="N65" s="1"/>
      <c r="O65" s="1"/>
      <c r="P65" s="1"/>
      <c r="Q65" s="24"/>
    </row>
    <row r="66" spans="1:17" ht="15.75" customHeight="1">
      <c r="A66" s="20" t="s">
        <v>211</v>
      </c>
      <c r="B66" s="68">
        <v>28</v>
      </c>
      <c r="C66" s="21">
        <f>D66/I54*B66</f>
        <v>572.68749999999886</v>
      </c>
      <c r="D66" s="47">
        <f>G52*L51</f>
        <v>458.14999999999907</v>
      </c>
      <c r="E66" s="22">
        <f>D66/D67</f>
        <v>4.8667137598988629E-2</v>
      </c>
      <c r="F66" s="21">
        <f>I66+C66</f>
        <v>572.68749999999886</v>
      </c>
      <c r="G66" s="21">
        <v>0</v>
      </c>
      <c r="H66" s="22">
        <v>0</v>
      </c>
      <c r="I66" s="21">
        <v>0</v>
      </c>
      <c r="J66" s="47">
        <f t="shared" si="8"/>
        <v>0</v>
      </c>
      <c r="K66" s="47"/>
      <c r="L66" s="47"/>
      <c r="M66" s="47"/>
      <c r="N66" s="1"/>
      <c r="O66" s="24">
        <f>D62+L62</f>
        <v>0</v>
      </c>
      <c r="P66" s="1"/>
      <c r="Q66" s="24"/>
    </row>
    <row r="67" spans="1:17" ht="15.75" customHeight="1">
      <c r="A67" s="34" t="s">
        <v>53</v>
      </c>
      <c r="B67" s="15"/>
      <c r="C67" s="69">
        <f t="shared" ref="C67:J67" si="18">SUM(C56:C66)</f>
        <v>9737.6874999999982</v>
      </c>
      <c r="D67" s="47">
        <f t="shared" si="18"/>
        <v>9413.9500000000007</v>
      </c>
      <c r="E67" s="22">
        <f t="shared" si="18"/>
        <v>1</v>
      </c>
      <c r="F67" s="69">
        <f t="shared" si="18"/>
        <v>9737.6874999999982</v>
      </c>
      <c r="G67" s="21">
        <f t="shared" si="18"/>
        <v>15886.85</v>
      </c>
      <c r="H67" s="22">
        <f t="shared" si="18"/>
        <v>1</v>
      </c>
      <c r="I67" s="21">
        <f t="shared" si="18"/>
        <v>0</v>
      </c>
      <c r="J67" s="21">
        <f t="shared" si="18"/>
        <v>6913.2000000000007</v>
      </c>
      <c r="K67" s="21"/>
      <c r="L67" s="21"/>
      <c r="M67" s="21"/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70" t="s">
        <v>113</v>
      </c>
      <c r="H69" s="7"/>
      <c r="I69" s="47">
        <f>G65/G64</f>
        <v>1.5952380952380953</v>
      </c>
      <c r="J69" s="1"/>
      <c r="K69" s="24">
        <f>D59-D62/4</f>
        <v>-14.350000000000023</v>
      </c>
      <c r="L69" s="1"/>
      <c r="M69" s="1">
        <f>D59*4</f>
        <v>1190</v>
      </c>
      <c r="N69" s="1" t="s">
        <v>114</v>
      </c>
      <c r="O69" s="24">
        <f>D62+L57</f>
        <v>1176.875</v>
      </c>
      <c r="P69" s="1"/>
      <c r="Q69" s="1"/>
    </row>
    <row r="70" spans="1:17" ht="15.75" customHeight="1">
      <c r="A70" s="7"/>
      <c r="B70" s="72" t="s">
        <v>115</v>
      </c>
      <c r="C70" s="15"/>
      <c r="D70" s="15">
        <v>9</v>
      </c>
      <c r="E70" s="1" t="s">
        <v>116</v>
      </c>
      <c r="F70" s="73">
        <v>9</v>
      </c>
      <c r="G70" s="1"/>
      <c r="H70" s="1"/>
      <c r="I70" s="1"/>
      <c r="J70" s="1"/>
      <c r="K70" s="1"/>
      <c r="L70" s="1"/>
      <c r="M70" s="1">
        <v>1247</v>
      </c>
      <c r="N70" s="1"/>
      <c r="O70" s="1"/>
      <c r="P70" s="1"/>
      <c r="Q70" s="1"/>
    </row>
    <row r="71" spans="1:17" ht="15.75" customHeight="1">
      <c r="A71" s="74" t="s">
        <v>96</v>
      </c>
      <c r="B71" s="75" t="s">
        <v>117</v>
      </c>
      <c r="C71" s="4"/>
      <c r="D71" s="15">
        <v>7</v>
      </c>
      <c r="E71" s="1" t="s">
        <v>118</v>
      </c>
      <c r="F71" s="73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75" t="s">
        <v>119</v>
      </c>
      <c r="C72" s="4"/>
      <c r="D72" s="15">
        <v>5</v>
      </c>
      <c r="E72" s="1" t="s">
        <v>118</v>
      </c>
      <c r="F72" s="73">
        <v>5</v>
      </c>
      <c r="G72" s="1">
        <f>D59*4</f>
        <v>1190</v>
      </c>
      <c r="H72" s="1"/>
      <c r="I72" s="1"/>
      <c r="J72" s="1" t="s">
        <v>212</v>
      </c>
      <c r="K72" s="1" t="s">
        <v>213</v>
      </c>
      <c r="L72" s="1"/>
      <c r="M72" s="1"/>
      <c r="N72" s="1"/>
      <c r="O72" s="1"/>
      <c r="P72" s="1"/>
      <c r="Q72" s="1"/>
    </row>
    <row r="73" spans="1:17" ht="15.75" customHeight="1">
      <c r="A73" s="7"/>
      <c r="B73" s="75" t="s">
        <v>120</v>
      </c>
      <c r="C73" s="4"/>
      <c r="D73" s="15">
        <v>3</v>
      </c>
      <c r="E73" s="1" t="s">
        <v>118</v>
      </c>
      <c r="F73" s="73">
        <v>3</v>
      </c>
      <c r="G73" s="1"/>
      <c r="H73" s="1"/>
      <c r="I73" s="1"/>
      <c r="J73" s="1">
        <v>2209</v>
      </c>
      <c r="K73" s="1">
        <f>5*D60</f>
        <v>89.25</v>
      </c>
      <c r="L73" s="1" t="s">
        <v>214</v>
      </c>
      <c r="M73" s="1"/>
      <c r="N73" s="1"/>
      <c r="O73" s="1"/>
      <c r="P73" s="1"/>
      <c r="Q73" s="1"/>
    </row>
    <row r="74" spans="1:17" ht="15.75" customHeight="1">
      <c r="A74" s="7"/>
      <c r="B74" s="75" t="s">
        <v>121</v>
      </c>
      <c r="C74" s="4"/>
      <c r="D74" s="15">
        <v>1</v>
      </c>
      <c r="E74" s="1" t="s">
        <v>118</v>
      </c>
      <c r="F74" s="73">
        <v>1</v>
      </c>
      <c r="G74" s="1"/>
      <c r="H74" s="1"/>
      <c r="I74" s="1" t="s">
        <v>215</v>
      </c>
      <c r="J74" s="1">
        <f>J73-K73</f>
        <v>2119.75</v>
      </c>
      <c r="K74" s="1">
        <f>D59*4</f>
        <v>1190</v>
      </c>
      <c r="L74" s="1" t="s">
        <v>216</v>
      </c>
      <c r="M74" s="1">
        <f>K74-J74</f>
        <v>-929.75</v>
      </c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73"/>
      <c r="G75" s="1"/>
      <c r="H75" s="1"/>
      <c r="I75" s="1"/>
      <c r="J75" s="1"/>
      <c r="K75" s="24">
        <f>D59-J75</f>
        <v>297.5</v>
      </c>
      <c r="L75" s="1"/>
      <c r="M75" s="1"/>
      <c r="N75" s="1">
        <f>2209-1190</f>
        <v>1019</v>
      </c>
      <c r="O75" s="1"/>
      <c r="P75" s="1"/>
      <c r="Q75" s="1"/>
    </row>
    <row r="76" spans="1:17" ht="15.75" customHeight="1">
      <c r="A76" s="7"/>
      <c r="B76" s="75" t="s">
        <v>123</v>
      </c>
      <c r="C76" s="4"/>
      <c r="D76" s="15">
        <v>10</v>
      </c>
      <c r="E76" s="1" t="s">
        <v>118</v>
      </c>
      <c r="F76" s="73">
        <v>10</v>
      </c>
      <c r="G76" s="1"/>
      <c r="H76" s="24"/>
      <c r="I76" s="1" t="s">
        <v>217</v>
      </c>
      <c r="J76" s="1">
        <f>D59*4</f>
        <v>1190</v>
      </c>
      <c r="K76" s="1">
        <f>J73-K73</f>
        <v>2119.75</v>
      </c>
      <c r="L76" s="1" t="s">
        <v>218</v>
      </c>
      <c r="M76" s="1"/>
      <c r="N76" s="1"/>
      <c r="O76" s="1"/>
      <c r="P76" s="1"/>
      <c r="Q76" s="1"/>
    </row>
    <row r="77" spans="1:17" ht="15.75" customHeight="1">
      <c r="A77" s="74" t="s">
        <v>97</v>
      </c>
      <c r="B77" s="75" t="s">
        <v>125</v>
      </c>
      <c r="C77" s="75"/>
      <c r="D77" s="15">
        <v>8</v>
      </c>
      <c r="E77" s="1" t="s">
        <v>118</v>
      </c>
      <c r="F77" s="73">
        <v>8</v>
      </c>
      <c r="G77" s="1"/>
      <c r="H77" s="1"/>
      <c r="I77" s="1" t="s">
        <v>219</v>
      </c>
      <c r="J77" s="1">
        <f>D58*3</f>
        <v>714</v>
      </c>
      <c r="K77" s="96">
        <f>2209-1190</f>
        <v>1019</v>
      </c>
      <c r="L77" s="97" t="s">
        <v>218</v>
      </c>
      <c r="M77" s="24">
        <f>K77-J77</f>
        <v>305</v>
      </c>
      <c r="N77" s="1"/>
      <c r="O77" s="1"/>
      <c r="P77" s="1"/>
      <c r="Q77" s="1"/>
    </row>
    <row r="78" spans="1:17" ht="15.75" customHeight="1">
      <c r="A78" s="7"/>
      <c r="B78" s="72" t="s">
        <v>126</v>
      </c>
      <c r="C78" s="75"/>
      <c r="D78" s="15">
        <v>6</v>
      </c>
      <c r="E78" s="1" t="s">
        <v>116</v>
      </c>
      <c r="F78" s="73">
        <v>6</v>
      </c>
      <c r="G78" s="1"/>
      <c r="H78" s="1"/>
      <c r="I78" s="1" t="s">
        <v>220</v>
      </c>
      <c r="J78" s="1">
        <f>D57*2</f>
        <v>357</v>
      </c>
      <c r="K78" s="98">
        <f>K77-J77</f>
        <v>305</v>
      </c>
      <c r="L78" s="23" t="s">
        <v>216</v>
      </c>
      <c r="M78" s="24"/>
      <c r="N78" s="1"/>
      <c r="O78" s="1"/>
      <c r="P78" s="1"/>
      <c r="Q78" s="1"/>
    </row>
    <row r="79" spans="1:17" ht="15.75" customHeight="1">
      <c r="A79" s="7"/>
      <c r="B79" s="72" t="s">
        <v>127</v>
      </c>
      <c r="C79" s="75"/>
      <c r="D79" s="15">
        <v>4</v>
      </c>
      <c r="E79" s="1" t="s">
        <v>116</v>
      </c>
      <c r="F79" s="73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72" t="s">
        <v>128</v>
      </c>
      <c r="C80" s="75"/>
      <c r="D80" s="15">
        <v>2</v>
      </c>
      <c r="E80" s="1" t="s">
        <v>116</v>
      </c>
      <c r="F80" s="73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129</v>
      </c>
      <c r="C82" s="4"/>
      <c r="D82" s="15">
        <v>8</v>
      </c>
      <c r="E82" s="1" t="s">
        <v>116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74" t="s">
        <v>98</v>
      </c>
      <c r="B83" s="4" t="s">
        <v>130</v>
      </c>
      <c r="C83" s="4"/>
      <c r="D83" s="15">
        <v>6</v>
      </c>
      <c r="E83" s="1" t="s">
        <v>116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131</v>
      </c>
      <c r="C84" s="4"/>
      <c r="D84" s="15">
        <v>2</v>
      </c>
      <c r="E84" s="1" t="s">
        <v>116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132</v>
      </c>
      <c r="C85" s="4"/>
      <c r="D85" s="15">
        <v>3</v>
      </c>
      <c r="E85" s="1" t="s">
        <v>116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72" t="s">
        <v>133</v>
      </c>
      <c r="C86" s="4"/>
      <c r="D86" s="15">
        <v>1</v>
      </c>
      <c r="E86" s="1" t="s">
        <v>116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6"/>
      <c r="C87" s="76"/>
      <c r="D87" s="76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7"/>
      <c r="B88" s="77"/>
      <c r="C88" s="58"/>
      <c r="D88" s="57"/>
      <c r="E88" s="1"/>
      <c r="F88" s="102" t="s">
        <v>134</v>
      </c>
      <c r="G88" s="101"/>
      <c r="H88" s="101"/>
      <c r="I88" s="101"/>
      <c r="J88" s="76"/>
      <c r="K88" s="76"/>
      <c r="L88" s="76"/>
      <c r="M88" s="76"/>
      <c r="N88" s="76"/>
      <c r="O88" s="24"/>
      <c r="P88" s="24"/>
      <c r="Q88" s="24"/>
    </row>
    <row r="89" spans="1:17" ht="15.75" customHeight="1">
      <c r="A89" s="4"/>
      <c r="B89" s="40" t="s">
        <v>135</v>
      </c>
      <c r="C89" s="41" t="s">
        <v>58</v>
      </c>
      <c r="D89" s="57"/>
      <c r="E89" s="4"/>
      <c r="F89" s="4"/>
      <c r="G89" s="1"/>
      <c r="H89" s="78"/>
      <c r="I89" s="79"/>
      <c r="J89" s="79"/>
      <c r="K89" s="79"/>
      <c r="L89" s="79"/>
      <c r="M89" s="79"/>
      <c r="N89" s="80"/>
      <c r="O89" s="24"/>
      <c r="P89" s="24"/>
      <c r="Q89" s="24"/>
    </row>
    <row r="90" spans="1:17" ht="15.75" customHeight="1">
      <c r="A90" s="81" t="s">
        <v>25</v>
      </c>
      <c r="B90" s="82" t="s">
        <v>61</v>
      </c>
      <c r="C90" s="82" t="s">
        <v>221</v>
      </c>
      <c r="D90" s="83">
        <v>11</v>
      </c>
      <c r="E90" s="38" t="s">
        <v>115</v>
      </c>
      <c r="F90" s="7"/>
      <c r="G90" s="7"/>
      <c r="H90" s="84" t="s">
        <v>137</v>
      </c>
      <c r="I90" s="84" t="s">
        <v>138</v>
      </c>
      <c r="J90" s="84" t="s">
        <v>139</v>
      </c>
      <c r="K90" s="84" t="s">
        <v>140</v>
      </c>
      <c r="L90" s="84" t="s">
        <v>141</v>
      </c>
      <c r="M90" s="84" t="s">
        <v>142</v>
      </c>
      <c r="N90" s="76"/>
      <c r="O90" s="1"/>
      <c r="P90" s="1"/>
      <c r="Q90" s="1"/>
    </row>
    <row r="91" spans="1:17" ht="15.75" customHeight="1">
      <c r="A91" s="20" t="s">
        <v>222</v>
      </c>
      <c r="B91" s="47">
        <v>35.700000000000003</v>
      </c>
      <c r="C91" s="47">
        <v>-74.599999999999994</v>
      </c>
      <c r="D91" s="83">
        <v>12</v>
      </c>
      <c r="E91" s="38" t="s">
        <v>117</v>
      </c>
      <c r="F91" s="7"/>
      <c r="G91" s="7"/>
      <c r="H91" s="21">
        <f>H36</f>
        <v>13828794.296875004</v>
      </c>
      <c r="I91" s="85">
        <f>E6*(1-I6)/D13*N50*20*1000/3600</f>
        <v>59921.399305555555</v>
      </c>
      <c r="J91" s="85">
        <f>(K60/D13*C108+K59/D13*C107+K58/D13*C106+K57/D13*C105)*1000/3600*1000</f>
        <v>-4512441.232638889</v>
      </c>
      <c r="K91" s="85">
        <f>(L56/D13*C109+L57/D13*C110)*1000/3600*1000</f>
        <v>-3764532.9861111105</v>
      </c>
      <c r="L91" s="21">
        <v>0</v>
      </c>
      <c r="M91" s="21">
        <f>H91+I91+J91+K91</f>
        <v>5611741.4774305616</v>
      </c>
      <c r="N91" s="86"/>
      <c r="O91" s="1"/>
      <c r="P91" s="1"/>
      <c r="Q91" s="1"/>
    </row>
    <row r="92" spans="1:17" ht="15.75" customHeight="1">
      <c r="A92" s="20" t="s">
        <v>223</v>
      </c>
      <c r="B92" s="47">
        <v>52.49</v>
      </c>
      <c r="C92" s="47">
        <v>-84</v>
      </c>
      <c r="D92" s="83">
        <v>13</v>
      </c>
      <c r="E92" s="38" t="s">
        <v>119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20" t="s">
        <v>224</v>
      </c>
      <c r="B93" s="47">
        <v>73.599999999999994</v>
      </c>
      <c r="C93" s="47">
        <f>-103.85</f>
        <v>-103.85</v>
      </c>
      <c r="D93" s="83">
        <v>14</v>
      </c>
      <c r="E93" s="38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20" t="s">
        <v>225</v>
      </c>
      <c r="B94" s="47">
        <v>98.49</v>
      </c>
      <c r="C94" s="47">
        <f>-125.77</f>
        <v>-125.77</v>
      </c>
      <c r="D94" s="83">
        <v>15</v>
      </c>
      <c r="E94" s="87" t="s">
        <v>121</v>
      </c>
      <c r="F94" s="7"/>
      <c r="G94" s="7"/>
      <c r="H94" s="88" t="s">
        <v>147</v>
      </c>
      <c r="I94" s="89">
        <f>M91/(G67/D13*1000/3600*B103)</f>
        <v>930.50093959386948</v>
      </c>
      <c r="J94" s="1" t="s">
        <v>148</v>
      </c>
      <c r="K94" s="1"/>
      <c r="L94" s="1"/>
      <c r="M94" s="1"/>
      <c r="N94" s="1"/>
      <c r="O94" s="1"/>
      <c r="P94" s="1"/>
      <c r="Q94" s="1"/>
    </row>
    <row r="95" spans="1:17" ht="15.75" customHeight="1">
      <c r="A95" s="20" t="s">
        <v>226</v>
      </c>
      <c r="B95" s="47">
        <v>120.04</v>
      </c>
      <c r="C95" s="47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20" t="s">
        <v>227</v>
      </c>
      <c r="B96" s="47">
        <v>29.38</v>
      </c>
      <c r="C96" s="47">
        <f>0</f>
        <v>0</v>
      </c>
      <c r="D96" s="83">
        <v>21</v>
      </c>
      <c r="E96" s="87" t="s">
        <v>123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20" t="s">
        <v>228</v>
      </c>
      <c r="B97" s="47">
        <v>37.14</v>
      </c>
      <c r="C97" s="47">
        <f>-393.51</f>
        <v>-393.51</v>
      </c>
      <c r="D97" s="83">
        <v>22</v>
      </c>
      <c r="E97" s="1" t="s">
        <v>125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20" t="s">
        <v>229</v>
      </c>
      <c r="B98" s="47">
        <v>33.6</v>
      </c>
      <c r="C98" s="47">
        <f>-241.83</f>
        <v>-241.83</v>
      </c>
      <c r="D98" s="83">
        <v>23</v>
      </c>
      <c r="E98" s="1" t="s">
        <v>126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20" t="s">
        <v>110</v>
      </c>
      <c r="B99" s="47">
        <v>29.14</v>
      </c>
      <c r="C99" s="47">
        <v>-110.53</v>
      </c>
      <c r="D99" s="83">
        <v>24</v>
      </c>
      <c r="E99" s="90" t="s">
        <v>127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20" t="s">
        <v>230</v>
      </c>
      <c r="B100" s="47">
        <v>28.84</v>
      </c>
      <c r="C100" s="47">
        <v>0</v>
      </c>
      <c r="D100" s="83">
        <v>25</v>
      </c>
      <c r="E100" s="90" t="s">
        <v>128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91" t="s">
        <v>231</v>
      </c>
      <c r="B101" s="47">
        <v>29.12</v>
      </c>
      <c r="C101" s="47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92" t="s">
        <v>232</v>
      </c>
      <c r="B102" s="93">
        <f>B91*E56+B92*E57+B93*E58+B94*E59+B95*E60+B96*E61+B97*E62+B98*E63+B99*E64+B100*E65+B101*E66</f>
        <v>38.498508383834626</v>
      </c>
      <c r="C102" s="80"/>
      <c r="D102" s="83">
        <v>31</v>
      </c>
      <c r="E102" s="1" t="s">
        <v>129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92" t="s">
        <v>233</v>
      </c>
      <c r="B103" s="93">
        <f>B91*H56+B92*H57+B93*H58+B94*H59+B95*H60+B96*H61+B97*H62+B98*H63+B99*H64+B100*H65+B101*H66</f>
        <v>30.612131039192793</v>
      </c>
      <c r="C103" s="94"/>
      <c r="D103" s="83">
        <v>32</v>
      </c>
      <c r="E103" s="1" t="s">
        <v>130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7"/>
      <c r="B104" s="60" t="s">
        <v>157</v>
      </c>
      <c r="C104" s="51"/>
      <c r="D104" s="83">
        <v>33</v>
      </c>
      <c r="E104" s="1" t="s">
        <v>131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7"/>
      <c r="B105" s="60" t="s">
        <v>158</v>
      </c>
      <c r="C105" s="56">
        <f>C99*2+C100*5-C92-2*C98</f>
        <v>346.6</v>
      </c>
      <c r="D105" s="83">
        <v>34</v>
      </c>
      <c r="E105" s="1" t="s">
        <v>132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7"/>
      <c r="B106" s="60" t="s">
        <v>159</v>
      </c>
      <c r="C106" s="56">
        <f>3*C99+7*C100-C93-3*C98</f>
        <v>497.75</v>
      </c>
      <c r="D106" s="83">
        <v>35</v>
      </c>
      <c r="E106" s="72" t="s">
        <v>133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7"/>
      <c r="B107" s="60" t="s">
        <v>160</v>
      </c>
      <c r="C107" s="56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7"/>
      <c r="B108" s="60" t="s">
        <v>161</v>
      </c>
      <c r="C108" s="56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7"/>
      <c r="B109" s="60" t="s">
        <v>162</v>
      </c>
      <c r="C109" s="99">
        <f>2*C99-C91-C97</f>
        <v>247.04999999999998</v>
      </c>
      <c r="D109" s="1" t="s">
        <v>81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7"/>
      <c r="B110" s="60" t="s">
        <v>163</v>
      </c>
      <c r="C110" s="56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60" t="s">
        <v>164</v>
      </c>
      <c r="C111" s="5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60" t="s">
        <v>165</v>
      </c>
      <c r="C112" s="5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60" t="s">
        <v>166</v>
      </c>
      <c r="C113" s="5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60" t="s">
        <v>167</v>
      </c>
      <c r="C114" s="5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60" t="s">
        <v>168</v>
      </c>
      <c r="C115" s="5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60" t="s">
        <v>169</v>
      </c>
      <c r="C116" s="5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60" t="s">
        <v>170</v>
      </c>
      <c r="C117" s="5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60" t="s">
        <v>171</v>
      </c>
      <c r="C118" s="5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0,15; 1,4(задание)</vt:lpstr>
      <vt:lpstr>0,15; 1,4 (исходные)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2024-05-23T17:38:52Z</dcterms:created>
  <dcterms:modified xsi:type="dcterms:W3CDTF">2024-05-23T17:38:52Z</dcterms:modified>
</cp:coreProperties>
</file>