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13_ncr:1_{6B547A70-A5B3-4F31-8A5E-B59FA8EE094E}" xr6:coauthVersionLast="47" xr6:coauthVersionMax="47" xr10:uidLastSave="{00000000-0000-0000-0000-000000000000}"/>
  <bookViews>
    <workbookView xWindow="-120" yWindow="480" windowWidth="29040" windowHeight="15840" activeTab="4" xr2:uid="{7BAAA203-0111-4478-A542-D28880995592}"/>
  </bookViews>
  <sheets>
    <sheet name="0,25 + 1,2" sheetId="18" r:id="rId1"/>
    <sheet name="0,25 + 1,25" sheetId="19" r:id="rId2"/>
    <sheet name="0,25 + 1,3" sheetId="20" r:id="rId3"/>
    <sheet name="0,25 + 1,35" sheetId="22" r:id="rId4"/>
    <sheet name="0,25 + 1,4" sheetId="21" r:id="rId5"/>
    <sheet name="0, 25 + 1,45" sheetId="23" r:id="rId6"/>
    <sheet name="0,3+1,15" sheetId="8" r:id="rId7"/>
    <sheet name="0,3 + 1,2" sheetId="13" r:id="rId8"/>
    <sheet name="0,3 + 1,25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23" l="1"/>
  <c r="C114" i="23"/>
  <c r="C110" i="23"/>
  <c r="C107" i="23"/>
  <c r="C98" i="23"/>
  <c r="C105" i="23" s="1"/>
  <c r="C97" i="23"/>
  <c r="C109" i="23" s="1"/>
  <c r="C96" i="23"/>
  <c r="C95" i="23"/>
  <c r="C118" i="23" s="1"/>
  <c r="C94" i="23"/>
  <c r="C117" i="23" s="1"/>
  <c r="C93" i="23"/>
  <c r="C116" i="23" s="1"/>
  <c r="J66" i="23"/>
  <c r="I66" i="23"/>
  <c r="L51" i="23"/>
  <c r="N50" i="23"/>
  <c r="I91" i="23" s="1"/>
  <c r="C40" i="23"/>
  <c r="C39" i="23"/>
  <c r="C49" i="23" s="1"/>
  <c r="C38" i="23"/>
  <c r="C48" i="23" s="1"/>
  <c r="C37" i="23"/>
  <c r="C36" i="23"/>
  <c r="C35" i="23"/>
  <c r="C34" i="23"/>
  <c r="F29" i="23"/>
  <c r="G52" i="23" s="1"/>
  <c r="N26" i="23"/>
  <c r="I26" i="23"/>
  <c r="C25" i="23"/>
  <c r="C24" i="23"/>
  <c r="D23" i="23"/>
  <c r="D26" i="23" s="1"/>
  <c r="D22" i="23"/>
  <c r="M21" i="23"/>
  <c r="O21" i="23" s="1"/>
  <c r="J21" i="23"/>
  <c r="I21" i="23" s="1"/>
  <c r="D21" i="23"/>
  <c r="C21" i="23"/>
  <c r="F21" i="23" s="1"/>
  <c r="J20" i="23"/>
  <c r="I20" i="23" s="1"/>
  <c r="D20" i="23"/>
  <c r="M20" i="23" s="1"/>
  <c r="D19" i="23"/>
  <c r="D18" i="23"/>
  <c r="E12" i="23"/>
  <c r="K59" i="22"/>
  <c r="M58" i="22"/>
  <c r="C115" i="22"/>
  <c r="C114" i="22"/>
  <c r="C113" i="22"/>
  <c r="C105" i="22"/>
  <c r="C104" i="22"/>
  <c r="C98" i="22"/>
  <c r="C97" i="22"/>
  <c r="C110" i="22" s="1"/>
  <c r="C96" i="22"/>
  <c r="C95" i="22"/>
  <c r="C118" i="22" s="1"/>
  <c r="C94" i="22"/>
  <c r="C117" i="22" s="1"/>
  <c r="C93" i="22"/>
  <c r="C116" i="22" s="1"/>
  <c r="J66" i="22"/>
  <c r="I66" i="22" s="1"/>
  <c r="G52" i="22"/>
  <c r="L51" i="22"/>
  <c r="N50" i="22"/>
  <c r="I91" i="22" s="1"/>
  <c r="C40" i="22"/>
  <c r="C39" i="22"/>
  <c r="C49" i="22" s="1"/>
  <c r="C38" i="22"/>
  <c r="C48" i="22" s="1"/>
  <c r="C37" i="22"/>
  <c r="C36" i="22"/>
  <c r="C35" i="22"/>
  <c r="C46" i="22" s="1"/>
  <c r="C34" i="22"/>
  <c r="F29" i="22"/>
  <c r="N26" i="22"/>
  <c r="I26" i="22"/>
  <c r="C25" i="22"/>
  <c r="C24" i="22"/>
  <c r="D23" i="22"/>
  <c r="D26" i="22" s="1"/>
  <c r="J22" i="22"/>
  <c r="I22" i="22"/>
  <c r="D22" i="22"/>
  <c r="G22" i="22" s="1"/>
  <c r="M21" i="22"/>
  <c r="N21" i="22" s="1"/>
  <c r="D21" i="22"/>
  <c r="J21" i="22" s="1"/>
  <c r="C21" i="22"/>
  <c r="J20" i="22"/>
  <c r="I20" i="22" s="1"/>
  <c r="G20" i="22"/>
  <c r="D20" i="22"/>
  <c r="M20" i="22" s="1"/>
  <c r="M19" i="22"/>
  <c r="N19" i="22" s="1"/>
  <c r="J19" i="22"/>
  <c r="O19" i="22" s="1"/>
  <c r="I19" i="22"/>
  <c r="D19" i="22"/>
  <c r="G19" i="22" s="1"/>
  <c r="C19" i="22"/>
  <c r="F19" i="22" s="1"/>
  <c r="D18" i="22"/>
  <c r="E12" i="22"/>
  <c r="M59" i="21"/>
  <c r="J58" i="21"/>
  <c r="M58" i="21"/>
  <c r="C115" i="21"/>
  <c r="C114" i="21"/>
  <c r="C110" i="21"/>
  <c r="C104" i="21"/>
  <c r="C98" i="21"/>
  <c r="C105" i="21" s="1"/>
  <c r="C97" i="21"/>
  <c r="C109" i="21" s="1"/>
  <c r="C96" i="21"/>
  <c r="C95" i="21"/>
  <c r="C118" i="21" s="1"/>
  <c r="C94" i="21"/>
  <c r="C117" i="21" s="1"/>
  <c r="C93" i="21"/>
  <c r="C116" i="21" s="1"/>
  <c r="J66" i="21"/>
  <c r="I66" i="21"/>
  <c r="L51" i="21"/>
  <c r="N50" i="21"/>
  <c r="I91" i="21" s="1"/>
  <c r="C40" i="21"/>
  <c r="C39" i="21"/>
  <c r="C49" i="21" s="1"/>
  <c r="C38" i="21"/>
  <c r="C48" i="21" s="1"/>
  <c r="C37" i="21"/>
  <c r="C36" i="21"/>
  <c r="C35" i="21"/>
  <c r="C34" i="21"/>
  <c r="F29" i="21"/>
  <c r="G52" i="21" s="1"/>
  <c r="N26" i="21"/>
  <c r="I26" i="21"/>
  <c r="C25" i="21"/>
  <c r="C24" i="21"/>
  <c r="E12" i="21"/>
  <c r="L56" i="20"/>
  <c r="K57" i="20"/>
  <c r="K58" i="20"/>
  <c r="K59" i="20"/>
  <c r="M58" i="20"/>
  <c r="M60" i="20"/>
  <c r="G19" i="20"/>
  <c r="G18" i="20"/>
  <c r="J18" i="20"/>
  <c r="C115" i="20"/>
  <c r="C114" i="20"/>
  <c r="C98" i="20"/>
  <c r="C105" i="20" s="1"/>
  <c r="C97" i="20"/>
  <c r="C110" i="20" s="1"/>
  <c r="C96" i="20"/>
  <c r="C95" i="20"/>
  <c r="C118" i="20" s="1"/>
  <c r="C94" i="20"/>
  <c r="C117" i="20" s="1"/>
  <c r="C93" i="20"/>
  <c r="C116" i="20" s="1"/>
  <c r="J66" i="20"/>
  <c r="I66" i="20" s="1"/>
  <c r="G52" i="20"/>
  <c r="L51" i="20"/>
  <c r="N50" i="20"/>
  <c r="I91" i="20" s="1"/>
  <c r="C40" i="20"/>
  <c r="C39" i="20"/>
  <c r="C47" i="20" s="1"/>
  <c r="C38" i="20"/>
  <c r="C48" i="20" s="1"/>
  <c r="C37" i="20"/>
  <c r="C36" i="20"/>
  <c r="C35" i="20"/>
  <c r="C34" i="20"/>
  <c r="F29" i="20"/>
  <c r="D22" i="20" s="1"/>
  <c r="N26" i="20"/>
  <c r="I26" i="20"/>
  <c r="C25" i="20"/>
  <c r="C24" i="20"/>
  <c r="D20" i="20"/>
  <c r="M20" i="20" s="1"/>
  <c r="D19" i="20"/>
  <c r="C19" i="20"/>
  <c r="D18" i="20"/>
  <c r="M18" i="20" s="1"/>
  <c r="O18" i="20" s="1"/>
  <c r="E12" i="20"/>
  <c r="L56" i="19"/>
  <c r="C115" i="19"/>
  <c r="C114" i="19"/>
  <c r="C112" i="19"/>
  <c r="C104" i="19"/>
  <c r="C98" i="19"/>
  <c r="C105" i="19" s="1"/>
  <c r="C97" i="19"/>
  <c r="C110" i="19" s="1"/>
  <c r="C96" i="19"/>
  <c r="C95" i="19"/>
  <c r="C118" i="19" s="1"/>
  <c r="C94" i="19"/>
  <c r="C117" i="19" s="1"/>
  <c r="C93" i="19"/>
  <c r="C116" i="19" s="1"/>
  <c r="M67" i="19"/>
  <c r="J66" i="19"/>
  <c r="I66" i="19" s="1"/>
  <c r="M65" i="19"/>
  <c r="M64" i="19"/>
  <c r="M61" i="19"/>
  <c r="J61" i="19"/>
  <c r="I61" i="19" s="1"/>
  <c r="L51" i="19"/>
  <c r="N50" i="19"/>
  <c r="I91" i="19" s="1"/>
  <c r="C40" i="19"/>
  <c r="C39" i="19"/>
  <c r="C49" i="19" s="1"/>
  <c r="C38" i="19"/>
  <c r="C48" i="19" s="1"/>
  <c r="C37" i="19"/>
  <c r="C36" i="19"/>
  <c r="C35" i="19"/>
  <c r="C34" i="19"/>
  <c r="F29" i="19"/>
  <c r="G52" i="19" s="1"/>
  <c r="N26" i="19"/>
  <c r="I26" i="19"/>
  <c r="C25" i="19"/>
  <c r="C24" i="19"/>
  <c r="D19" i="19"/>
  <c r="D18" i="19"/>
  <c r="M18" i="19" s="1"/>
  <c r="N18" i="19" s="1"/>
  <c r="E12" i="19"/>
  <c r="C115" i="18"/>
  <c r="C114" i="18"/>
  <c r="C98" i="18"/>
  <c r="C107" i="18" s="1"/>
  <c r="C97" i="18"/>
  <c r="C110" i="18" s="1"/>
  <c r="C96" i="18"/>
  <c r="C95" i="18"/>
  <c r="C118" i="18" s="1"/>
  <c r="C94" i="18"/>
  <c r="C117" i="18" s="1"/>
  <c r="C93" i="18"/>
  <c r="C116" i="18" s="1"/>
  <c r="L91" i="18" s="1"/>
  <c r="M67" i="18"/>
  <c r="J66" i="18"/>
  <c r="I66" i="18" s="1"/>
  <c r="M65" i="18"/>
  <c r="M64" i="18"/>
  <c r="M61" i="18"/>
  <c r="J61" i="18"/>
  <c r="I61" i="18" s="1"/>
  <c r="L51" i="18"/>
  <c r="N50" i="18"/>
  <c r="I91" i="18" s="1"/>
  <c r="C40" i="18"/>
  <c r="C39" i="18"/>
  <c r="C49" i="18" s="1"/>
  <c r="C38" i="18"/>
  <c r="C48" i="18" s="1"/>
  <c r="C37" i="18"/>
  <c r="C36" i="18"/>
  <c r="C35" i="18"/>
  <c r="C34" i="18"/>
  <c r="F29" i="18"/>
  <c r="G52" i="18" s="1"/>
  <c r="N26" i="18"/>
  <c r="I26" i="18"/>
  <c r="C25" i="18"/>
  <c r="C24" i="18"/>
  <c r="E12" i="18"/>
  <c r="C115" i="14"/>
  <c r="C114" i="14"/>
  <c r="C110" i="14"/>
  <c r="C109" i="14"/>
  <c r="C98" i="14"/>
  <c r="C107" i="14" s="1"/>
  <c r="C97" i="14"/>
  <c r="C96" i="14"/>
  <c r="C95" i="14"/>
  <c r="C118" i="14" s="1"/>
  <c r="C94" i="14"/>
  <c r="C117" i="14" s="1"/>
  <c r="C93" i="14"/>
  <c r="C116" i="14" s="1"/>
  <c r="M67" i="14"/>
  <c r="J66" i="14"/>
  <c r="I66" i="14" s="1"/>
  <c r="M65" i="14"/>
  <c r="M64" i="14"/>
  <c r="M61" i="14"/>
  <c r="J61" i="14"/>
  <c r="I61" i="14" s="1"/>
  <c r="L51" i="14"/>
  <c r="N50" i="14" s="1"/>
  <c r="I91" i="14" s="1"/>
  <c r="C40" i="14"/>
  <c r="C39" i="14"/>
  <c r="C49" i="14" s="1"/>
  <c r="C38" i="14"/>
  <c r="C48" i="14" s="1"/>
  <c r="C37" i="14"/>
  <c r="C36" i="14"/>
  <c r="C35" i="14"/>
  <c r="C34" i="14"/>
  <c r="F29" i="14"/>
  <c r="G52" i="14" s="1"/>
  <c r="N26" i="14"/>
  <c r="I26" i="14"/>
  <c r="C25" i="14"/>
  <c r="C24" i="14"/>
  <c r="D23" i="14"/>
  <c r="D26" i="14" s="1"/>
  <c r="D22" i="14"/>
  <c r="J21" i="14"/>
  <c r="I21" i="14" s="1"/>
  <c r="D21" i="14"/>
  <c r="J20" i="14"/>
  <c r="I20" i="14" s="1"/>
  <c r="D20" i="14"/>
  <c r="M20" i="14" s="1"/>
  <c r="O19" i="14"/>
  <c r="J19" i="14"/>
  <c r="I19" i="14" s="1"/>
  <c r="D19" i="14"/>
  <c r="G19" i="14" s="1"/>
  <c r="M18" i="14"/>
  <c r="O18" i="14" s="1"/>
  <c r="D18" i="14"/>
  <c r="C18" i="14"/>
  <c r="E12" i="14"/>
  <c r="C115" i="13"/>
  <c r="C114" i="13"/>
  <c r="C110" i="13"/>
  <c r="C104" i="13"/>
  <c r="C98" i="13"/>
  <c r="C105" i="13" s="1"/>
  <c r="C97" i="13"/>
  <c r="C109" i="13" s="1"/>
  <c r="C96" i="13"/>
  <c r="C95" i="13"/>
  <c r="C118" i="13" s="1"/>
  <c r="C94" i="13"/>
  <c r="C117" i="13" s="1"/>
  <c r="C93" i="13"/>
  <c r="C116" i="13" s="1"/>
  <c r="M67" i="13"/>
  <c r="J66" i="13"/>
  <c r="I66" i="13"/>
  <c r="M65" i="13"/>
  <c r="M64" i="13"/>
  <c r="M61" i="13"/>
  <c r="J61" i="13"/>
  <c r="I61" i="13" s="1"/>
  <c r="L51" i="13"/>
  <c r="N50" i="13"/>
  <c r="I91" i="13" s="1"/>
  <c r="C49" i="13"/>
  <c r="C40" i="13"/>
  <c r="C39" i="13"/>
  <c r="C45" i="13" s="1"/>
  <c r="C38" i="13"/>
  <c r="C48" i="13" s="1"/>
  <c r="C37" i="13"/>
  <c r="C36" i="13"/>
  <c r="C35" i="13"/>
  <c r="C34" i="13"/>
  <c r="F29" i="13"/>
  <c r="D22" i="13" s="1"/>
  <c r="N26" i="13"/>
  <c r="I26" i="13"/>
  <c r="C25" i="13"/>
  <c r="C24" i="13"/>
  <c r="D23" i="13"/>
  <c r="D26" i="13" s="1"/>
  <c r="D20" i="13"/>
  <c r="M20" i="13" s="1"/>
  <c r="D19" i="13"/>
  <c r="M18" i="13"/>
  <c r="O18" i="13" s="1"/>
  <c r="D18" i="13"/>
  <c r="C18" i="13"/>
  <c r="E12" i="13"/>
  <c r="L56" i="8"/>
  <c r="C117" i="8"/>
  <c r="C115" i="8"/>
  <c r="C114" i="8"/>
  <c r="C109" i="8"/>
  <c r="C98" i="8"/>
  <c r="C107" i="8" s="1"/>
  <c r="C97" i="8"/>
  <c r="C110" i="8" s="1"/>
  <c r="C96" i="8"/>
  <c r="C95" i="8"/>
  <c r="C118" i="8" s="1"/>
  <c r="C94" i="8"/>
  <c r="C112" i="8" s="1"/>
  <c r="C93" i="8"/>
  <c r="C116" i="8" s="1"/>
  <c r="M67" i="8"/>
  <c r="J66" i="8"/>
  <c r="I66" i="8" s="1"/>
  <c r="M65" i="8"/>
  <c r="M64" i="8"/>
  <c r="M61" i="8"/>
  <c r="J61" i="8"/>
  <c r="I61" i="8" s="1"/>
  <c r="L51" i="8"/>
  <c r="N50" i="8" s="1"/>
  <c r="I91" i="8" s="1"/>
  <c r="C40" i="8"/>
  <c r="C39" i="8"/>
  <c r="C47" i="8" s="1"/>
  <c r="C38" i="8"/>
  <c r="C48" i="8" s="1"/>
  <c r="C37" i="8"/>
  <c r="C36" i="8"/>
  <c r="C35" i="8"/>
  <c r="C34" i="8"/>
  <c r="F29" i="8"/>
  <c r="G52" i="8" s="1"/>
  <c r="N26" i="8"/>
  <c r="I26" i="8"/>
  <c r="C25" i="8"/>
  <c r="C24" i="8"/>
  <c r="D23" i="8"/>
  <c r="D26" i="8" s="1"/>
  <c r="D21" i="8"/>
  <c r="J21" i="8" s="1"/>
  <c r="I21" i="8" s="1"/>
  <c r="M18" i="8"/>
  <c r="O18" i="8" s="1"/>
  <c r="D18" i="8"/>
  <c r="C18" i="8" s="1"/>
  <c r="E12" i="8"/>
  <c r="D27" i="23" l="1"/>
  <c r="E21" i="23"/>
  <c r="E20" i="23"/>
  <c r="E25" i="23"/>
  <c r="E19" i="23"/>
  <c r="E24" i="23"/>
  <c r="E23" i="23"/>
  <c r="E26" i="23"/>
  <c r="O26" i="23"/>
  <c r="C26" i="23"/>
  <c r="F26" i="23" s="1"/>
  <c r="G26" i="23"/>
  <c r="O20" i="23"/>
  <c r="N20" i="23"/>
  <c r="C111" i="23"/>
  <c r="E18" i="23"/>
  <c r="J19" i="23"/>
  <c r="G19" i="23" s="1"/>
  <c r="G20" i="23"/>
  <c r="D58" i="23" s="1"/>
  <c r="N21" i="23"/>
  <c r="C104" i="23"/>
  <c r="C112" i="23"/>
  <c r="C19" i="23"/>
  <c r="M19" i="23"/>
  <c r="N19" i="23" s="1"/>
  <c r="J22" i="23"/>
  <c r="G22" i="23" s="1"/>
  <c r="C113" i="23"/>
  <c r="C22" i="23"/>
  <c r="M22" i="23"/>
  <c r="C45" i="23"/>
  <c r="C106" i="23"/>
  <c r="G21" i="23"/>
  <c r="C46" i="23"/>
  <c r="C20" i="23"/>
  <c r="F20" i="23" s="1"/>
  <c r="E22" i="23"/>
  <c r="C47" i="23"/>
  <c r="C108" i="23"/>
  <c r="J18" i="23"/>
  <c r="C23" i="23"/>
  <c r="C18" i="23"/>
  <c r="M18" i="23"/>
  <c r="O20" i="22"/>
  <c r="N20" i="22"/>
  <c r="O26" i="22"/>
  <c r="C26" i="22"/>
  <c r="F26" i="22" s="1"/>
  <c r="G26" i="22"/>
  <c r="D66" i="22" s="1"/>
  <c r="D27" i="22"/>
  <c r="E18" i="22" s="1"/>
  <c r="D60" i="22"/>
  <c r="F21" i="22"/>
  <c r="I21" i="22"/>
  <c r="O21" i="22"/>
  <c r="C111" i="22"/>
  <c r="C112" i="22"/>
  <c r="C22" i="22"/>
  <c r="F22" i="22" s="1"/>
  <c r="M22" i="22"/>
  <c r="C45" i="22"/>
  <c r="G36" i="22" s="1"/>
  <c r="C106" i="22"/>
  <c r="G21" i="22"/>
  <c r="C107" i="22"/>
  <c r="C20" i="22"/>
  <c r="F20" i="22" s="1"/>
  <c r="C47" i="22"/>
  <c r="D57" i="22"/>
  <c r="C108" i="22"/>
  <c r="J18" i="22"/>
  <c r="G18" i="22" s="1"/>
  <c r="C23" i="22"/>
  <c r="D58" i="22"/>
  <c r="C109" i="22"/>
  <c r="C18" i="22"/>
  <c r="M18" i="22"/>
  <c r="D18" i="21"/>
  <c r="D19" i="21"/>
  <c r="D22" i="21"/>
  <c r="D21" i="21"/>
  <c r="D23" i="21"/>
  <c r="D26" i="21" s="1"/>
  <c r="D20" i="21"/>
  <c r="C20" i="21" s="1"/>
  <c r="G26" i="21"/>
  <c r="C111" i="21"/>
  <c r="C112" i="21"/>
  <c r="C19" i="21"/>
  <c r="M19" i="21"/>
  <c r="N19" i="21" s="1"/>
  <c r="C113" i="21"/>
  <c r="G18" i="21"/>
  <c r="D56" i="21" s="1"/>
  <c r="C22" i="21"/>
  <c r="M22" i="21"/>
  <c r="C45" i="21"/>
  <c r="C106" i="21"/>
  <c r="C46" i="21"/>
  <c r="C107" i="21"/>
  <c r="C47" i="21"/>
  <c r="C108" i="21"/>
  <c r="J18" i="21"/>
  <c r="C23" i="21"/>
  <c r="C18" i="21"/>
  <c r="M18" i="21"/>
  <c r="J22" i="20"/>
  <c r="G22" i="20" s="1"/>
  <c r="D60" i="20" s="1"/>
  <c r="C22" i="20"/>
  <c r="M22" i="20"/>
  <c r="D23" i="20"/>
  <c r="D26" i="20" s="1"/>
  <c r="C26" i="20" s="1"/>
  <c r="F26" i="20" s="1"/>
  <c r="D21" i="20"/>
  <c r="C18" i="20"/>
  <c r="O26" i="20"/>
  <c r="N20" i="20"/>
  <c r="O20" i="20"/>
  <c r="C49" i="20"/>
  <c r="C111" i="20"/>
  <c r="N18" i="20"/>
  <c r="C21" i="20"/>
  <c r="C104" i="20"/>
  <c r="C112" i="20"/>
  <c r="J19" i="20"/>
  <c r="I22" i="20"/>
  <c r="F22" i="20" s="1"/>
  <c r="C113" i="20"/>
  <c r="M19" i="20"/>
  <c r="N19" i="20" s="1"/>
  <c r="C106" i="20"/>
  <c r="C45" i="20"/>
  <c r="C107" i="20"/>
  <c r="J20" i="20"/>
  <c r="I20" i="20" s="1"/>
  <c r="N22" i="20"/>
  <c r="C46" i="20"/>
  <c r="C108" i="20"/>
  <c r="C20" i="20"/>
  <c r="O22" i="20"/>
  <c r="C109" i="20"/>
  <c r="C23" i="20"/>
  <c r="D20" i="19"/>
  <c r="M20" i="19" s="1"/>
  <c r="D23" i="19"/>
  <c r="D26" i="19" s="1"/>
  <c r="O26" i="19" s="1"/>
  <c r="D21" i="19"/>
  <c r="C18" i="19"/>
  <c r="D22" i="19"/>
  <c r="N20" i="19"/>
  <c r="O20" i="19"/>
  <c r="G19" i="19"/>
  <c r="C26" i="19"/>
  <c r="F26" i="19" s="1"/>
  <c r="L91" i="19"/>
  <c r="C111" i="19"/>
  <c r="O18" i="19"/>
  <c r="J19" i="19"/>
  <c r="C113" i="19"/>
  <c r="C19" i="19"/>
  <c r="M19" i="19"/>
  <c r="N19" i="19" s="1"/>
  <c r="J22" i="19"/>
  <c r="C106" i="19"/>
  <c r="C45" i="19"/>
  <c r="C107" i="19"/>
  <c r="D27" i="19"/>
  <c r="E18" i="19" s="1"/>
  <c r="E19" i="19"/>
  <c r="J20" i="19"/>
  <c r="C46" i="19"/>
  <c r="C108" i="19"/>
  <c r="C20" i="19"/>
  <c r="C47" i="19"/>
  <c r="C109" i="19"/>
  <c r="C23" i="19"/>
  <c r="D22" i="18"/>
  <c r="D19" i="18"/>
  <c r="D23" i="18"/>
  <c r="D26" i="18" s="1"/>
  <c r="G26" i="18" s="1"/>
  <c r="D20" i="18"/>
  <c r="D18" i="18"/>
  <c r="D21" i="18"/>
  <c r="D27" i="18" s="1"/>
  <c r="O26" i="18"/>
  <c r="C26" i="18"/>
  <c r="F26" i="18" s="1"/>
  <c r="C104" i="18"/>
  <c r="C112" i="18"/>
  <c r="J19" i="18"/>
  <c r="G19" i="18" s="1"/>
  <c r="C105" i="18"/>
  <c r="C113" i="18"/>
  <c r="C111" i="18"/>
  <c r="C19" i="18"/>
  <c r="M19" i="18"/>
  <c r="N19" i="18" s="1"/>
  <c r="J22" i="18"/>
  <c r="C106" i="18"/>
  <c r="C22" i="18"/>
  <c r="M22" i="18"/>
  <c r="C45" i="18"/>
  <c r="C46" i="18"/>
  <c r="C108" i="18"/>
  <c r="C20" i="18"/>
  <c r="C47" i="18"/>
  <c r="C109" i="18"/>
  <c r="C23" i="18"/>
  <c r="O26" i="14"/>
  <c r="C26" i="14"/>
  <c r="F26" i="14" s="1"/>
  <c r="G26" i="14"/>
  <c r="N20" i="14"/>
  <c r="O20" i="14"/>
  <c r="L91" i="14"/>
  <c r="E21" i="14"/>
  <c r="D58" i="14"/>
  <c r="D57" i="14"/>
  <c r="C111" i="14"/>
  <c r="N18" i="14"/>
  <c r="C21" i="14"/>
  <c r="F21" i="14" s="1"/>
  <c r="M21" i="14"/>
  <c r="E23" i="14"/>
  <c r="C104" i="14"/>
  <c r="C112" i="14"/>
  <c r="G20" i="14"/>
  <c r="C105" i="14"/>
  <c r="C113" i="14"/>
  <c r="C19" i="14"/>
  <c r="F19" i="14" s="1"/>
  <c r="M19" i="14"/>
  <c r="N19" i="14" s="1"/>
  <c r="J22" i="14"/>
  <c r="C106" i="14"/>
  <c r="C22" i="14"/>
  <c r="M22" i="14"/>
  <c r="C45" i="14"/>
  <c r="G21" i="14"/>
  <c r="C46" i="14"/>
  <c r="C108" i="14"/>
  <c r="D27" i="14"/>
  <c r="E26" i="14" s="1"/>
  <c r="C20" i="14"/>
  <c r="F20" i="14" s="1"/>
  <c r="C47" i="14"/>
  <c r="C23" i="14"/>
  <c r="M22" i="13"/>
  <c r="C22" i="13"/>
  <c r="J22" i="13"/>
  <c r="G22" i="13" s="1"/>
  <c r="N20" i="13"/>
  <c r="O20" i="13"/>
  <c r="L91" i="13"/>
  <c r="O26" i="13"/>
  <c r="C26" i="13"/>
  <c r="F26" i="13" s="1"/>
  <c r="G26" i="13"/>
  <c r="N18" i="13"/>
  <c r="C112" i="13"/>
  <c r="J19" i="13"/>
  <c r="D21" i="13"/>
  <c r="C113" i="13"/>
  <c r="C19" i="13"/>
  <c r="M19" i="13"/>
  <c r="N19" i="13" s="1"/>
  <c r="G52" i="13"/>
  <c r="C106" i="13"/>
  <c r="C107" i="13"/>
  <c r="C111" i="13"/>
  <c r="J20" i="13"/>
  <c r="I20" i="13" s="1"/>
  <c r="C46" i="13"/>
  <c r="C108" i="13"/>
  <c r="C20" i="13"/>
  <c r="C47" i="13"/>
  <c r="C23" i="13"/>
  <c r="D20" i="8"/>
  <c r="D22" i="8"/>
  <c r="G21" i="8"/>
  <c r="D59" i="8" s="1"/>
  <c r="D19" i="8"/>
  <c r="O26" i="8"/>
  <c r="C26" i="8"/>
  <c r="F26" i="8" s="1"/>
  <c r="G26" i="8"/>
  <c r="D66" i="8" s="1"/>
  <c r="L91" i="8"/>
  <c r="C49" i="8"/>
  <c r="C111" i="8"/>
  <c r="N18" i="8"/>
  <c r="C21" i="8"/>
  <c r="F21" i="8" s="1"/>
  <c r="M21" i="8"/>
  <c r="C104" i="8"/>
  <c r="C105" i="8"/>
  <c r="C113" i="8"/>
  <c r="C19" i="8"/>
  <c r="C106" i="8"/>
  <c r="C45" i="8"/>
  <c r="C46" i="8"/>
  <c r="C108" i="8"/>
  <c r="D27" i="8"/>
  <c r="E26" i="8" s="1"/>
  <c r="C23" i="8"/>
  <c r="D60" i="23" l="1"/>
  <c r="M58" i="23"/>
  <c r="K58" i="23"/>
  <c r="C58" i="23"/>
  <c r="D57" i="23"/>
  <c r="E27" i="23"/>
  <c r="B42" i="23"/>
  <c r="F36" i="23" s="1"/>
  <c r="H36" i="23" s="1"/>
  <c r="H91" i="23" s="1"/>
  <c r="D59" i="23"/>
  <c r="N18" i="23"/>
  <c r="O18" i="23"/>
  <c r="M23" i="23"/>
  <c r="O22" i="23"/>
  <c r="N22" i="23"/>
  <c r="M25" i="23"/>
  <c r="M24" i="23"/>
  <c r="I18" i="23"/>
  <c r="O19" i="23"/>
  <c r="I19" i="23"/>
  <c r="F19" i="23" s="1"/>
  <c r="C27" i="23"/>
  <c r="F18" i="23"/>
  <c r="G18" i="23"/>
  <c r="J24" i="23"/>
  <c r="J23" i="23"/>
  <c r="G36" i="23"/>
  <c r="J25" i="23"/>
  <c r="I22" i="23"/>
  <c r="F22" i="23" s="1"/>
  <c r="D66" i="23"/>
  <c r="E22" i="22"/>
  <c r="E19" i="22"/>
  <c r="E21" i="22"/>
  <c r="E26" i="22"/>
  <c r="D56" i="22"/>
  <c r="N18" i="22"/>
  <c r="O18" i="22"/>
  <c r="K57" i="22"/>
  <c r="C57" i="22"/>
  <c r="C27" i="22"/>
  <c r="C60" i="22"/>
  <c r="M60" i="22"/>
  <c r="C66" i="22"/>
  <c r="G66" i="22"/>
  <c r="I18" i="22"/>
  <c r="J23" i="22"/>
  <c r="J27" i="22" s="1"/>
  <c r="J24" i="22"/>
  <c r="J25" i="22"/>
  <c r="E20" i="22"/>
  <c r="E23" i="22"/>
  <c r="E25" i="22"/>
  <c r="E24" i="22"/>
  <c r="E27" i="22" s="1"/>
  <c r="D59" i="22"/>
  <c r="C58" i="22"/>
  <c r="M23" i="22"/>
  <c r="O22" i="22"/>
  <c r="M24" i="22"/>
  <c r="N22" i="22"/>
  <c r="M25" i="22"/>
  <c r="C26" i="21"/>
  <c r="F26" i="21" s="1"/>
  <c r="J21" i="21"/>
  <c r="C21" i="21"/>
  <c r="M21" i="21"/>
  <c r="M23" i="21" s="1"/>
  <c r="O26" i="21"/>
  <c r="M20" i="21"/>
  <c r="J20" i="21"/>
  <c r="I20" i="21" s="1"/>
  <c r="F20" i="21" s="1"/>
  <c r="G20" i="21"/>
  <c r="D58" i="21" s="1"/>
  <c r="K58" i="21" s="1"/>
  <c r="I58" i="21" s="1"/>
  <c r="J22" i="21"/>
  <c r="J24" i="21" s="1"/>
  <c r="E23" i="21"/>
  <c r="J19" i="21"/>
  <c r="G36" i="21" s="1"/>
  <c r="D27" i="21"/>
  <c r="C56" i="21"/>
  <c r="I18" i="21"/>
  <c r="C27" i="21"/>
  <c r="O22" i="21"/>
  <c r="N22" i="21"/>
  <c r="M25" i="21"/>
  <c r="D66" i="21"/>
  <c r="O18" i="21"/>
  <c r="N18" i="21"/>
  <c r="M21" i="20"/>
  <c r="J21" i="20"/>
  <c r="G26" i="20"/>
  <c r="D66" i="20" s="1"/>
  <c r="G66" i="20" s="1"/>
  <c r="D27" i="20"/>
  <c r="E21" i="20" s="1"/>
  <c r="G20" i="20"/>
  <c r="O19" i="20"/>
  <c r="I19" i="20"/>
  <c r="F19" i="20" s="1"/>
  <c r="F20" i="20"/>
  <c r="C60" i="20"/>
  <c r="C27" i="20"/>
  <c r="C66" i="20"/>
  <c r="M24" i="20"/>
  <c r="C22" i="19"/>
  <c r="M22" i="19"/>
  <c r="C27" i="19"/>
  <c r="G26" i="19"/>
  <c r="D66" i="19" s="1"/>
  <c r="E26" i="19"/>
  <c r="M21" i="19"/>
  <c r="J21" i="19"/>
  <c r="I21" i="19" s="1"/>
  <c r="C21" i="19"/>
  <c r="E22" i="19"/>
  <c r="I20" i="19"/>
  <c r="F20" i="19" s="1"/>
  <c r="G20" i="19"/>
  <c r="O19" i="19"/>
  <c r="I19" i="19"/>
  <c r="F19" i="19" s="1"/>
  <c r="C66" i="19"/>
  <c r="G66" i="19"/>
  <c r="D57" i="19"/>
  <c r="I22" i="19"/>
  <c r="F22" i="19" s="1"/>
  <c r="G22" i="19"/>
  <c r="E25" i="19"/>
  <c r="E20" i="19"/>
  <c r="E24" i="19"/>
  <c r="E21" i="19"/>
  <c r="E23" i="19"/>
  <c r="M23" i="19"/>
  <c r="E26" i="18"/>
  <c r="E19" i="18"/>
  <c r="C18" i="18"/>
  <c r="C27" i="18" s="1"/>
  <c r="M18" i="18"/>
  <c r="M20" i="18"/>
  <c r="J20" i="18"/>
  <c r="M21" i="18"/>
  <c r="M25" i="18" s="1"/>
  <c r="C21" i="18"/>
  <c r="J21" i="18"/>
  <c r="D57" i="18"/>
  <c r="O22" i="18"/>
  <c r="N22" i="18"/>
  <c r="E25" i="18"/>
  <c r="E24" i="18"/>
  <c r="E20" i="18"/>
  <c r="E23" i="18"/>
  <c r="E21" i="18"/>
  <c r="E22" i="18"/>
  <c r="O19" i="18"/>
  <c r="I19" i="18"/>
  <c r="F19" i="18" s="1"/>
  <c r="G22" i="18"/>
  <c r="I22" i="18"/>
  <c r="F22" i="18" s="1"/>
  <c r="D66" i="18"/>
  <c r="E18" i="18"/>
  <c r="K57" i="14"/>
  <c r="C57" i="14"/>
  <c r="O21" i="14"/>
  <c r="N21" i="14"/>
  <c r="K58" i="14"/>
  <c r="J58" i="14" s="1"/>
  <c r="I58" i="14" s="1"/>
  <c r="C58" i="14"/>
  <c r="D66" i="14"/>
  <c r="G22" i="14"/>
  <c r="I22" i="14"/>
  <c r="F22" i="14" s="1"/>
  <c r="M23" i="14"/>
  <c r="O22" i="14"/>
  <c r="N22" i="14"/>
  <c r="M25" i="14"/>
  <c r="M24" i="14"/>
  <c r="C27" i="14"/>
  <c r="E25" i="14"/>
  <c r="E19" i="14"/>
  <c r="E24" i="14"/>
  <c r="E18" i="14"/>
  <c r="E20" i="14"/>
  <c r="D59" i="14"/>
  <c r="E22" i="14"/>
  <c r="O22" i="13"/>
  <c r="N22" i="13"/>
  <c r="M25" i="13"/>
  <c r="M24" i="13"/>
  <c r="J21" i="13"/>
  <c r="I21" i="13" s="1"/>
  <c r="C21" i="13"/>
  <c r="F21" i="13" s="1"/>
  <c r="M21" i="13"/>
  <c r="D27" i="13"/>
  <c r="E21" i="13" s="1"/>
  <c r="G20" i="13"/>
  <c r="F20" i="13"/>
  <c r="D66" i="13"/>
  <c r="D58" i="13"/>
  <c r="D60" i="13"/>
  <c r="O19" i="13"/>
  <c r="I19" i="13"/>
  <c r="F19" i="13" s="1"/>
  <c r="I22" i="13"/>
  <c r="F22" i="13" s="1"/>
  <c r="G19" i="13"/>
  <c r="D57" i="13" s="1"/>
  <c r="E19" i="8"/>
  <c r="J19" i="8"/>
  <c r="E23" i="8"/>
  <c r="M22" i="8"/>
  <c r="M24" i="8" s="1"/>
  <c r="J22" i="8"/>
  <c r="I22" i="8" s="1"/>
  <c r="G22" i="8"/>
  <c r="D60" i="8" s="1"/>
  <c r="C60" i="8" s="1"/>
  <c r="C22" i="8"/>
  <c r="M19" i="8"/>
  <c r="N19" i="8" s="1"/>
  <c r="M20" i="8"/>
  <c r="J20" i="8"/>
  <c r="I20" i="8" s="1"/>
  <c r="G20" i="8"/>
  <c r="D58" i="8" s="1"/>
  <c r="C20" i="8"/>
  <c r="F20" i="8" s="1"/>
  <c r="C66" i="8"/>
  <c r="G66" i="8"/>
  <c r="O21" i="8"/>
  <c r="N21" i="8"/>
  <c r="E22" i="8"/>
  <c r="E25" i="8"/>
  <c r="E24" i="8"/>
  <c r="E18" i="8"/>
  <c r="E20" i="8"/>
  <c r="K59" i="8"/>
  <c r="J59" i="8" s="1"/>
  <c r="I59" i="8" s="1"/>
  <c r="C59" i="8"/>
  <c r="G59" i="8"/>
  <c r="C27" i="8"/>
  <c r="K58" i="8"/>
  <c r="J58" i="8" s="1"/>
  <c r="I58" i="8" s="1"/>
  <c r="C58" i="8"/>
  <c r="E21" i="8"/>
  <c r="C66" i="23" l="1"/>
  <c r="G66" i="23"/>
  <c r="O25" i="23"/>
  <c r="N25" i="23"/>
  <c r="G27" i="23"/>
  <c r="D56" i="23"/>
  <c r="J58" i="23"/>
  <c r="O24" i="23"/>
  <c r="N24" i="23"/>
  <c r="G25" i="23"/>
  <c r="I25" i="23"/>
  <c r="F25" i="23" s="1"/>
  <c r="N23" i="23"/>
  <c r="O23" i="23"/>
  <c r="I24" i="23"/>
  <c r="F24" i="23" s="1"/>
  <c r="G24" i="23"/>
  <c r="M60" i="23"/>
  <c r="C60" i="23"/>
  <c r="J27" i="23"/>
  <c r="M59" i="23"/>
  <c r="J59" i="23" s="1"/>
  <c r="I59" i="23" s="1"/>
  <c r="C59" i="23"/>
  <c r="G59" i="23"/>
  <c r="I23" i="23"/>
  <c r="F23" i="23" s="1"/>
  <c r="F27" i="23" s="1"/>
  <c r="G23" i="23"/>
  <c r="C57" i="23"/>
  <c r="J59" i="22"/>
  <c r="I59" i="22" s="1"/>
  <c r="C59" i="22"/>
  <c r="N23" i="22"/>
  <c r="O23" i="22"/>
  <c r="B42" i="22"/>
  <c r="F36" i="22" s="1"/>
  <c r="H36" i="22" s="1"/>
  <c r="H91" i="22" s="1"/>
  <c r="F18" i="22"/>
  <c r="J57" i="22"/>
  <c r="O25" i="22"/>
  <c r="N25" i="22"/>
  <c r="G25" i="22"/>
  <c r="I25" i="22"/>
  <c r="F25" i="22" s="1"/>
  <c r="F66" i="22"/>
  <c r="C56" i="22"/>
  <c r="I23" i="22"/>
  <c r="F23" i="22" s="1"/>
  <c r="G23" i="22"/>
  <c r="J60" i="22"/>
  <c r="N24" i="22"/>
  <c r="O24" i="22"/>
  <c r="I24" i="22"/>
  <c r="F24" i="22" s="1"/>
  <c r="G24" i="22"/>
  <c r="G19" i="21"/>
  <c r="D57" i="21" s="1"/>
  <c r="M24" i="21"/>
  <c r="I21" i="21"/>
  <c r="F21" i="21" s="1"/>
  <c r="G21" i="21"/>
  <c r="D59" i="21" s="1"/>
  <c r="O19" i="21"/>
  <c r="I19" i="21"/>
  <c r="F19" i="21" s="1"/>
  <c r="J23" i="21"/>
  <c r="J27" i="21" s="1"/>
  <c r="I22" i="21"/>
  <c r="F22" i="21" s="1"/>
  <c r="C58" i="21"/>
  <c r="J25" i="21"/>
  <c r="E25" i="21"/>
  <c r="E18" i="21"/>
  <c r="E19" i="21"/>
  <c r="E24" i="21"/>
  <c r="E22" i="21"/>
  <c r="E20" i="21"/>
  <c r="O20" i="21"/>
  <c r="N20" i="21"/>
  <c r="G22" i="21"/>
  <c r="D60" i="21" s="1"/>
  <c r="O21" i="21"/>
  <c r="N21" i="21"/>
  <c r="E21" i="21"/>
  <c r="E26" i="21"/>
  <c r="I24" i="21"/>
  <c r="F24" i="21" s="1"/>
  <c r="G24" i="21"/>
  <c r="O24" i="21"/>
  <c r="N24" i="21"/>
  <c r="O25" i="21"/>
  <c r="N25" i="21"/>
  <c r="C66" i="21"/>
  <c r="G66" i="21"/>
  <c r="N23" i="21"/>
  <c r="O23" i="21"/>
  <c r="G25" i="21"/>
  <c r="I25" i="21"/>
  <c r="F25" i="21" s="1"/>
  <c r="G58" i="21"/>
  <c r="F18" i="21"/>
  <c r="E26" i="20"/>
  <c r="E18" i="20"/>
  <c r="E22" i="20"/>
  <c r="E19" i="20"/>
  <c r="E23" i="20"/>
  <c r="E24" i="20"/>
  <c r="I21" i="20"/>
  <c r="F21" i="20" s="1"/>
  <c r="G21" i="20"/>
  <c r="D59" i="20" s="1"/>
  <c r="J59" i="20" s="1"/>
  <c r="I59" i="20" s="1"/>
  <c r="E20" i="20"/>
  <c r="O21" i="20"/>
  <c r="N21" i="20"/>
  <c r="M25" i="20"/>
  <c r="M23" i="20"/>
  <c r="E25" i="20"/>
  <c r="J60" i="20"/>
  <c r="F66" i="20"/>
  <c r="D58" i="20"/>
  <c r="D57" i="20"/>
  <c r="O24" i="20"/>
  <c r="N24" i="20"/>
  <c r="O21" i="19"/>
  <c r="N21" i="19"/>
  <c r="G21" i="19"/>
  <c r="D59" i="19" s="1"/>
  <c r="E27" i="19"/>
  <c r="M25" i="19"/>
  <c r="O25" i="19" s="1"/>
  <c r="N22" i="19"/>
  <c r="O22" i="19"/>
  <c r="M24" i="19"/>
  <c r="O24" i="19" s="1"/>
  <c r="F21" i="19"/>
  <c r="K57" i="19"/>
  <c r="C57" i="19"/>
  <c r="N25" i="19"/>
  <c r="F66" i="19"/>
  <c r="B42" i="19"/>
  <c r="F36" i="19" s="1"/>
  <c r="D58" i="19"/>
  <c r="D60" i="19"/>
  <c r="O23" i="19"/>
  <c r="G18" i="19" s="1"/>
  <c r="N23" i="19"/>
  <c r="I20" i="18"/>
  <c r="F20" i="18" s="1"/>
  <c r="G20" i="18"/>
  <c r="D58" i="18" s="1"/>
  <c r="O18" i="18"/>
  <c r="N18" i="18"/>
  <c r="O21" i="18"/>
  <c r="N21" i="18"/>
  <c r="F21" i="18"/>
  <c r="N20" i="18"/>
  <c r="O20" i="18"/>
  <c r="M23" i="18"/>
  <c r="M24" i="18"/>
  <c r="I21" i="18"/>
  <c r="G21" i="18"/>
  <c r="D59" i="18" s="1"/>
  <c r="B42" i="18"/>
  <c r="F36" i="18" s="1"/>
  <c r="E27" i="18"/>
  <c r="K57" i="18"/>
  <c r="C57" i="18"/>
  <c r="C66" i="18"/>
  <c r="G66" i="18"/>
  <c r="D60" i="18"/>
  <c r="N23" i="18"/>
  <c r="O23" i="18"/>
  <c r="G18" i="18" s="1"/>
  <c r="O25" i="18"/>
  <c r="N25" i="18"/>
  <c r="O24" i="18"/>
  <c r="N24" i="18"/>
  <c r="B42" i="14"/>
  <c r="F36" i="14" s="1"/>
  <c r="E27" i="14"/>
  <c r="D60" i="14"/>
  <c r="O23" i="14"/>
  <c r="G18" i="14" s="1"/>
  <c r="N23" i="14"/>
  <c r="C66" i="14"/>
  <c r="G66" i="14"/>
  <c r="O25" i="14"/>
  <c r="N25" i="14"/>
  <c r="K59" i="14"/>
  <c r="J59" i="14" s="1"/>
  <c r="I59" i="14" s="1"/>
  <c r="C59" i="14"/>
  <c r="G59" i="14"/>
  <c r="G58" i="14"/>
  <c r="J57" i="14"/>
  <c r="O24" i="14"/>
  <c r="N24" i="14"/>
  <c r="K57" i="13"/>
  <c r="C57" i="13"/>
  <c r="K60" i="13"/>
  <c r="C60" i="13"/>
  <c r="O21" i="13"/>
  <c r="N21" i="13"/>
  <c r="O24" i="13"/>
  <c r="N24" i="13"/>
  <c r="K58" i="13"/>
  <c r="J58" i="13" s="1"/>
  <c r="I58" i="13" s="1"/>
  <c r="C58" i="13"/>
  <c r="G58" i="13"/>
  <c r="M23" i="13"/>
  <c r="C66" i="13"/>
  <c r="G66" i="13"/>
  <c r="G21" i="13"/>
  <c r="O25" i="13"/>
  <c r="N25" i="13"/>
  <c r="E25" i="13"/>
  <c r="E20" i="13"/>
  <c r="E24" i="13"/>
  <c r="E26" i="13"/>
  <c r="E18" i="13"/>
  <c r="E22" i="13"/>
  <c r="E19" i="13"/>
  <c r="E23" i="13"/>
  <c r="C27" i="13"/>
  <c r="M25" i="8"/>
  <c r="K60" i="8"/>
  <c r="O19" i="8"/>
  <c r="I19" i="8"/>
  <c r="F19" i="8" s="1"/>
  <c r="N20" i="8"/>
  <c r="O20" i="8"/>
  <c r="G19" i="8"/>
  <c r="D57" i="8" s="1"/>
  <c r="O22" i="8"/>
  <c r="N22" i="8"/>
  <c r="M23" i="8"/>
  <c r="F22" i="8"/>
  <c r="F59" i="8"/>
  <c r="N23" i="8"/>
  <c r="O23" i="8"/>
  <c r="G18" i="8" s="1"/>
  <c r="G58" i="8"/>
  <c r="O25" i="8"/>
  <c r="N25" i="8"/>
  <c r="F66" i="8"/>
  <c r="O24" i="8"/>
  <c r="N24" i="8"/>
  <c r="J60" i="8"/>
  <c r="B42" i="8"/>
  <c r="F36" i="8" s="1"/>
  <c r="E27" i="8"/>
  <c r="H22" i="23" l="1"/>
  <c r="H21" i="23"/>
  <c r="H19" i="23"/>
  <c r="H20" i="23"/>
  <c r="H26" i="23"/>
  <c r="H18" i="23"/>
  <c r="I27" i="23"/>
  <c r="H24" i="23"/>
  <c r="D62" i="23"/>
  <c r="H23" i="23"/>
  <c r="D61" i="23"/>
  <c r="J60" i="23"/>
  <c r="F66" i="23"/>
  <c r="H25" i="23"/>
  <c r="D63" i="23"/>
  <c r="I58" i="23"/>
  <c r="G58" i="23"/>
  <c r="F59" i="23"/>
  <c r="C56" i="23"/>
  <c r="G59" i="22"/>
  <c r="D62" i="22"/>
  <c r="D63" i="22"/>
  <c r="F59" i="22"/>
  <c r="I57" i="22"/>
  <c r="G57" i="22"/>
  <c r="I60" i="22"/>
  <c r="G60" i="22"/>
  <c r="D61" i="22"/>
  <c r="G27" i="22"/>
  <c r="H25" i="22" s="1"/>
  <c r="I27" i="22"/>
  <c r="F27" i="22"/>
  <c r="G23" i="21"/>
  <c r="E27" i="21"/>
  <c r="B42" i="21"/>
  <c r="F36" i="21" s="1"/>
  <c r="H36" i="21" s="1"/>
  <c r="H91" i="21" s="1"/>
  <c r="I23" i="21"/>
  <c r="F23" i="21" s="1"/>
  <c r="M60" i="21"/>
  <c r="C60" i="21"/>
  <c r="C59" i="21"/>
  <c r="C57" i="21"/>
  <c r="J59" i="21"/>
  <c r="F66" i="21"/>
  <c r="F27" i="21"/>
  <c r="D63" i="21"/>
  <c r="H24" i="21"/>
  <c r="D62" i="21"/>
  <c r="F58" i="21"/>
  <c r="D61" i="21"/>
  <c r="G27" i="21"/>
  <c r="G59" i="20"/>
  <c r="O23" i="20"/>
  <c r="N23" i="20"/>
  <c r="C59" i="20"/>
  <c r="O25" i="20"/>
  <c r="N25" i="20"/>
  <c r="B42" i="20"/>
  <c r="F36" i="20" s="1"/>
  <c r="E27" i="20"/>
  <c r="F59" i="20"/>
  <c r="C57" i="20"/>
  <c r="C58" i="20"/>
  <c r="I60" i="20"/>
  <c r="G60" i="20"/>
  <c r="N24" i="19"/>
  <c r="C59" i="19"/>
  <c r="K59" i="19"/>
  <c r="J59" i="19" s="1"/>
  <c r="I59" i="19" s="1"/>
  <c r="J57" i="19"/>
  <c r="J18" i="19"/>
  <c r="D56" i="19"/>
  <c r="K58" i="19"/>
  <c r="J58" i="19" s="1"/>
  <c r="I58" i="19" s="1"/>
  <c r="C58" i="19"/>
  <c r="C60" i="19"/>
  <c r="K60" i="19"/>
  <c r="K58" i="18"/>
  <c r="J58" i="18" s="1"/>
  <c r="I58" i="18" s="1"/>
  <c r="C58" i="18"/>
  <c r="K59" i="18"/>
  <c r="J59" i="18" s="1"/>
  <c r="I59" i="18" s="1"/>
  <c r="C59" i="18"/>
  <c r="J18" i="18"/>
  <c r="D56" i="18"/>
  <c r="J57" i="18"/>
  <c r="K60" i="18"/>
  <c r="C60" i="18"/>
  <c r="F66" i="18"/>
  <c r="F59" i="14"/>
  <c r="J18" i="14"/>
  <c r="D56" i="14"/>
  <c r="K60" i="14"/>
  <c r="C60" i="14"/>
  <c r="I57" i="14"/>
  <c r="G57" i="14"/>
  <c r="F58" i="14"/>
  <c r="F66" i="14"/>
  <c r="J60" i="13"/>
  <c r="F66" i="13"/>
  <c r="E27" i="13"/>
  <c r="B42" i="13"/>
  <c r="F36" i="13" s="1"/>
  <c r="J57" i="13"/>
  <c r="F58" i="13"/>
  <c r="D59" i="13"/>
  <c r="O23" i="13"/>
  <c r="G18" i="13" s="1"/>
  <c r="N23" i="13"/>
  <c r="K57" i="8"/>
  <c r="C57" i="8"/>
  <c r="F58" i="8"/>
  <c r="J18" i="8"/>
  <c r="D56" i="8"/>
  <c r="I60" i="8"/>
  <c r="G60" i="8"/>
  <c r="C62" i="23" l="1"/>
  <c r="C61" i="23"/>
  <c r="I60" i="23"/>
  <c r="G60" i="23"/>
  <c r="D67" i="23"/>
  <c r="E61" i="23" s="1"/>
  <c r="F58" i="23"/>
  <c r="C63" i="23"/>
  <c r="H27" i="23"/>
  <c r="B43" i="23"/>
  <c r="H23" i="22"/>
  <c r="F60" i="22"/>
  <c r="F57" i="22"/>
  <c r="H19" i="22"/>
  <c r="H20" i="22"/>
  <c r="H22" i="22"/>
  <c r="H18" i="22"/>
  <c r="H21" i="22"/>
  <c r="H26" i="22"/>
  <c r="C62" i="22"/>
  <c r="C61" i="22"/>
  <c r="C67" i="22" s="1"/>
  <c r="D67" i="22"/>
  <c r="E62" i="22" s="1"/>
  <c r="C63" i="22"/>
  <c r="H24" i="22"/>
  <c r="J60" i="21"/>
  <c r="I27" i="21"/>
  <c r="H19" i="21"/>
  <c r="H20" i="21"/>
  <c r="H21" i="21"/>
  <c r="H22" i="21"/>
  <c r="H26" i="21"/>
  <c r="H18" i="21"/>
  <c r="E63" i="21"/>
  <c r="C63" i="21"/>
  <c r="C61" i="21"/>
  <c r="D67" i="21"/>
  <c r="I59" i="21"/>
  <c r="G59" i="21"/>
  <c r="H23" i="21"/>
  <c r="H25" i="21"/>
  <c r="E62" i="21"/>
  <c r="C62" i="21"/>
  <c r="D56" i="20"/>
  <c r="J57" i="20"/>
  <c r="F60" i="20"/>
  <c r="G59" i="19"/>
  <c r="F59" i="19" s="1"/>
  <c r="J60" i="19"/>
  <c r="I57" i="19"/>
  <c r="G57" i="19"/>
  <c r="J27" i="19"/>
  <c r="I18" i="19"/>
  <c r="J25" i="19"/>
  <c r="J24" i="19"/>
  <c r="J23" i="19"/>
  <c r="G36" i="19"/>
  <c r="H36" i="19" s="1"/>
  <c r="H91" i="19" s="1"/>
  <c r="C56" i="19"/>
  <c r="G58" i="19"/>
  <c r="G58" i="18"/>
  <c r="F58" i="18" s="1"/>
  <c r="G59" i="18"/>
  <c r="F59" i="18" s="1"/>
  <c r="I57" i="18"/>
  <c r="G57" i="18"/>
  <c r="C56" i="18"/>
  <c r="J60" i="18"/>
  <c r="I18" i="18"/>
  <c r="J25" i="18"/>
  <c r="J24" i="18"/>
  <c r="J23" i="18"/>
  <c r="J27" i="18" s="1"/>
  <c r="G36" i="18"/>
  <c r="H36" i="18" s="1"/>
  <c r="H91" i="18" s="1"/>
  <c r="C56" i="14"/>
  <c r="F57" i="14"/>
  <c r="I18" i="14"/>
  <c r="G36" i="14"/>
  <c r="H36" i="14" s="1"/>
  <c r="H91" i="14" s="1"/>
  <c r="J25" i="14"/>
  <c r="J24" i="14"/>
  <c r="J27" i="14" s="1"/>
  <c r="J23" i="14"/>
  <c r="J60" i="14"/>
  <c r="J18" i="13"/>
  <c r="D56" i="13"/>
  <c r="K59" i="13"/>
  <c r="C59" i="13"/>
  <c r="I57" i="13"/>
  <c r="G57" i="13"/>
  <c r="I60" i="13"/>
  <c r="G60" i="13"/>
  <c r="J57" i="8"/>
  <c r="C56" i="8"/>
  <c r="J27" i="8"/>
  <c r="I18" i="8"/>
  <c r="J24" i="8"/>
  <c r="J23" i="8"/>
  <c r="J25" i="8"/>
  <c r="G36" i="8"/>
  <c r="H36" i="8" s="1"/>
  <c r="H91" i="8" s="1"/>
  <c r="F60" i="8"/>
  <c r="C67" i="23" l="1"/>
  <c r="E63" i="23"/>
  <c r="E65" i="23"/>
  <c r="E64" i="23"/>
  <c r="E58" i="23"/>
  <c r="E59" i="23"/>
  <c r="E66" i="23"/>
  <c r="E60" i="23"/>
  <c r="E57" i="23"/>
  <c r="E56" i="23"/>
  <c r="F60" i="23"/>
  <c r="E62" i="23"/>
  <c r="E61" i="22"/>
  <c r="E63" i="22"/>
  <c r="E65" i="22"/>
  <c r="E64" i="22"/>
  <c r="E66" i="22"/>
  <c r="E58" i="22"/>
  <c r="E57" i="22"/>
  <c r="E60" i="22"/>
  <c r="E56" i="22"/>
  <c r="E59" i="22"/>
  <c r="H27" i="22"/>
  <c r="B43" i="22"/>
  <c r="G60" i="21"/>
  <c r="F60" i="21" s="1"/>
  <c r="I60" i="21"/>
  <c r="C67" i="21"/>
  <c r="F59" i="21"/>
  <c r="H27" i="21"/>
  <c r="B43" i="21"/>
  <c r="E65" i="21"/>
  <c r="E64" i="21"/>
  <c r="E56" i="21"/>
  <c r="E58" i="21"/>
  <c r="E60" i="21"/>
  <c r="E57" i="21"/>
  <c r="E59" i="21"/>
  <c r="E66" i="21"/>
  <c r="E61" i="21"/>
  <c r="C56" i="20"/>
  <c r="I18" i="20"/>
  <c r="J25" i="20"/>
  <c r="G36" i="20"/>
  <c r="H36" i="20" s="1"/>
  <c r="H91" i="20" s="1"/>
  <c r="J23" i="20"/>
  <c r="J24" i="20"/>
  <c r="I57" i="20"/>
  <c r="G57" i="20"/>
  <c r="F18" i="19"/>
  <c r="F57" i="19"/>
  <c r="I24" i="19"/>
  <c r="F24" i="19" s="1"/>
  <c r="G24" i="19"/>
  <c r="F58" i="19"/>
  <c r="I23" i="19"/>
  <c r="F23" i="19" s="1"/>
  <c r="G23" i="19"/>
  <c r="G25" i="19"/>
  <c r="I25" i="19"/>
  <c r="F25" i="19" s="1"/>
  <c r="I60" i="19"/>
  <c r="G60" i="19"/>
  <c r="I24" i="18"/>
  <c r="F24" i="18" s="1"/>
  <c r="G24" i="18"/>
  <c r="F18" i="18"/>
  <c r="I60" i="18"/>
  <c r="G60" i="18"/>
  <c r="I23" i="18"/>
  <c r="F23" i="18" s="1"/>
  <c r="G23" i="18"/>
  <c r="G25" i="18"/>
  <c r="I25" i="18"/>
  <c r="F25" i="18" s="1"/>
  <c r="F57" i="18"/>
  <c r="I60" i="14"/>
  <c r="G60" i="14"/>
  <c r="I24" i="14"/>
  <c r="F24" i="14" s="1"/>
  <c r="G24" i="14"/>
  <c r="G25" i="14"/>
  <c r="I25" i="14"/>
  <c r="F25" i="14" s="1"/>
  <c r="I23" i="14"/>
  <c r="F23" i="14" s="1"/>
  <c r="G23" i="14"/>
  <c r="F18" i="14"/>
  <c r="C56" i="13"/>
  <c r="J59" i="13"/>
  <c r="F57" i="13"/>
  <c r="F60" i="13"/>
  <c r="I18" i="13"/>
  <c r="J23" i="13"/>
  <c r="J27" i="13" s="1"/>
  <c r="J25" i="13"/>
  <c r="J24" i="13"/>
  <c r="G36" i="13"/>
  <c r="H36" i="13" s="1"/>
  <c r="H91" i="13" s="1"/>
  <c r="I57" i="8"/>
  <c r="G57" i="8"/>
  <c r="F57" i="8" s="1"/>
  <c r="G25" i="8"/>
  <c r="I25" i="8"/>
  <c r="F25" i="8" s="1"/>
  <c r="F18" i="8"/>
  <c r="I23" i="8"/>
  <c r="F23" i="8" s="1"/>
  <c r="G23" i="8"/>
  <c r="I24" i="8"/>
  <c r="F24" i="8" s="1"/>
  <c r="G24" i="8"/>
  <c r="B102" i="23" l="1"/>
  <c r="E67" i="23"/>
  <c r="B102" i="22"/>
  <c r="E67" i="22"/>
  <c r="B102" i="21"/>
  <c r="E67" i="21"/>
  <c r="G25" i="20"/>
  <c r="D63" i="20" s="1"/>
  <c r="I25" i="20"/>
  <c r="F25" i="20" s="1"/>
  <c r="I24" i="20"/>
  <c r="F24" i="20" s="1"/>
  <c r="G24" i="20"/>
  <c r="J27" i="20"/>
  <c r="G23" i="20"/>
  <c r="I23" i="20"/>
  <c r="F23" i="20" s="1"/>
  <c r="F18" i="20"/>
  <c r="K91" i="20"/>
  <c r="L65" i="20"/>
  <c r="L62" i="20"/>
  <c r="C63" i="20"/>
  <c r="F57" i="20"/>
  <c r="D63" i="19"/>
  <c r="F27" i="19"/>
  <c r="F60" i="19"/>
  <c r="D61" i="19"/>
  <c r="G27" i="19"/>
  <c r="H23" i="19" s="1"/>
  <c r="H24" i="19"/>
  <c r="D62" i="19"/>
  <c r="I27" i="19"/>
  <c r="D61" i="18"/>
  <c r="G27" i="18"/>
  <c r="F60" i="18"/>
  <c r="I27" i="18"/>
  <c r="D62" i="18"/>
  <c r="D63" i="18"/>
  <c r="F27" i="18"/>
  <c r="D62" i="14"/>
  <c r="I27" i="14"/>
  <c r="D63" i="14"/>
  <c r="D61" i="14"/>
  <c r="G27" i="14"/>
  <c r="H25" i="14" s="1"/>
  <c r="F27" i="14"/>
  <c r="F60" i="14"/>
  <c r="I24" i="13"/>
  <c r="F24" i="13" s="1"/>
  <c r="G24" i="13"/>
  <c r="I59" i="13"/>
  <c r="G59" i="13"/>
  <c r="G25" i="13"/>
  <c r="I25" i="13"/>
  <c r="F25" i="13" s="1"/>
  <c r="F18" i="13"/>
  <c r="I23" i="13"/>
  <c r="F23" i="13" s="1"/>
  <c r="G23" i="13"/>
  <c r="F27" i="8"/>
  <c r="I27" i="8"/>
  <c r="D61" i="8"/>
  <c r="G27" i="8"/>
  <c r="H24" i="8"/>
  <c r="D62" i="8"/>
  <c r="H25" i="8"/>
  <c r="D63" i="8"/>
  <c r="J62" i="20" l="1"/>
  <c r="I62" i="20" s="1"/>
  <c r="L64" i="20"/>
  <c r="D62" i="20"/>
  <c r="G27" i="20"/>
  <c r="H24" i="20" s="1"/>
  <c r="H23" i="20"/>
  <c r="D61" i="20"/>
  <c r="I27" i="20"/>
  <c r="F27" i="20"/>
  <c r="C62" i="19"/>
  <c r="H21" i="19"/>
  <c r="H19" i="19"/>
  <c r="H26" i="19"/>
  <c r="H20" i="19"/>
  <c r="H22" i="19"/>
  <c r="H18" i="19"/>
  <c r="H25" i="19"/>
  <c r="G61" i="19"/>
  <c r="C61" i="19"/>
  <c r="D67" i="19"/>
  <c r="C63" i="19"/>
  <c r="H21" i="18"/>
  <c r="H26" i="18"/>
  <c r="H20" i="18"/>
  <c r="H19" i="18"/>
  <c r="H22" i="18"/>
  <c r="H18" i="18"/>
  <c r="E63" i="18"/>
  <c r="C63" i="18"/>
  <c r="G61" i="18"/>
  <c r="C61" i="18"/>
  <c r="D67" i="18"/>
  <c r="E61" i="18" s="1"/>
  <c r="H23" i="18"/>
  <c r="H24" i="18"/>
  <c r="H25" i="18"/>
  <c r="E62" i="18"/>
  <c r="C62" i="18"/>
  <c r="H19" i="14"/>
  <c r="H26" i="14"/>
  <c r="H20" i="14"/>
  <c r="H21" i="14"/>
  <c r="H22" i="14"/>
  <c r="H18" i="14"/>
  <c r="E63" i="14"/>
  <c r="C63" i="14"/>
  <c r="H23" i="14"/>
  <c r="E62" i="14"/>
  <c r="C62" i="14"/>
  <c r="G61" i="14"/>
  <c r="E61" i="14"/>
  <c r="C61" i="14"/>
  <c r="D67" i="14"/>
  <c r="H24" i="14"/>
  <c r="I27" i="13"/>
  <c r="D62" i="13"/>
  <c r="D61" i="13"/>
  <c r="G27" i="13"/>
  <c r="D63" i="13"/>
  <c r="F59" i="13"/>
  <c r="F27" i="13"/>
  <c r="H20" i="8"/>
  <c r="H21" i="8"/>
  <c r="H22" i="8"/>
  <c r="H19" i="8"/>
  <c r="H26" i="8"/>
  <c r="H18" i="8"/>
  <c r="H23" i="8"/>
  <c r="C62" i="8"/>
  <c r="G61" i="8"/>
  <c r="C61" i="8"/>
  <c r="D67" i="8"/>
  <c r="C63" i="8"/>
  <c r="G62" i="20" l="1"/>
  <c r="F62" i="20" s="1"/>
  <c r="C62" i="20"/>
  <c r="H25" i="20"/>
  <c r="H21" i="20"/>
  <c r="H26" i="20"/>
  <c r="H19" i="20"/>
  <c r="H22" i="20"/>
  <c r="H18" i="20"/>
  <c r="H20" i="20"/>
  <c r="L67" i="20"/>
  <c r="C61" i="20"/>
  <c r="C67" i="20" s="1"/>
  <c r="D67" i="20"/>
  <c r="E65" i="19"/>
  <c r="E64" i="19"/>
  <c r="E66" i="19"/>
  <c r="E59" i="19"/>
  <c r="E57" i="19"/>
  <c r="E58" i="19"/>
  <c r="E60" i="19"/>
  <c r="E56" i="19"/>
  <c r="E62" i="19"/>
  <c r="E61" i="19"/>
  <c r="H27" i="19"/>
  <c r="B43" i="19"/>
  <c r="C67" i="19"/>
  <c r="E63" i="19"/>
  <c r="F61" i="19"/>
  <c r="H27" i="18"/>
  <c r="B43" i="18"/>
  <c r="C67" i="18"/>
  <c r="F61" i="18"/>
  <c r="E65" i="18"/>
  <c r="E64" i="18"/>
  <c r="E59" i="18"/>
  <c r="E58" i="18"/>
  <c r="E57" i="18"/>
  <c r="E66" i="18"/>
  <c r="E60" i="18"/>
  <c r="E56" i="18"/>
  <c r="H27" i="14"/>
  <c r="B43" i="14"/>
  <c r="F61" i="14"/>
  <c r="E65" i="14"/>
  <c r="E64" i="14"/>
  <c r="E57" i="14"/>
  <c r="E58" i="14"/>
  <c r="E66" i="14"/>
  <c r="E59" i="14"/>
  <c r="E60" i="14"/>
  <c r="E56" i="14"/>
  <c r="C67" i="14"/>
  <c r="H22" i="13"/>
  <c r="H26" i="13"/>
  <c r="H20" i="13"/>
  <c r="H19" i="13"/>
  <c r="H21" i="13"/>
  <c r="H18" i="13"/>
  <c r="H25" i="13"/>
  <c r="C63" i="13"/>
  <c r="H23" i="13"/>
  <c r="E62" i="13"/>
  <c r="C62" i="13"/>
  <c r="C61" i="13"/>
  <c r="G61" i="13"/>
  <c r="D67" i="13"/>
  <c r="H24" i="13"/>
  <c r="C67" i="8"/>
  <c r="E65" i="8"/>
  <c r="E64" i="8"/>
  <c r="E58" i="8"/>
  <c r="E59" i="8"/>
  <c r="E66" i="8"/>
  <c r="E60" i="8"/>
  <c r="E57" i="8"/>
  <c r="E56" i="8"/>
  <c r="E61" i="8"/>
  <c r="K91" i="8"/>
  <c r="L65" i="8"/>
  <c r="L62" i="8"/>
  <c r="H27" i="8"/>
  <c r="B43" i="8"/>
  <c r="F61" i="8"/>
  <c r="E63" i="8"/>
  <c r="E62" i="8"/>
  <c r="E62" i="20" l="1"/>
  <c r="E63" i="20"/>
  <c r="E57" i="20"/>
  <c r="E58" i="20"/>
  <c r="E56" i="20"/>
  <c r="E64" i="20"/>
  <c r="E59" i="20"/>
  <c r="E65" i="20"/>
  <c r="E60" i="20"/>
  <c r="E66" i="20"/>
  <c r="H27" i="20"/>
  <c r="B43" i="20"/>
  <c r="E61" i="20"/>
  <c r="B102" i="19"/>
  <c r="E67" i="19"/>
  <c r="B102" i="18"/>
  <c r="E67" i="18"/>
  <c r="B102" i="14"/>
  <c r="E67" i="14"/>
  <c r="H27" i="13"/>
  <c r="B43" i="13"/>
  <c r="E65" i="13"/>
  <c r="E64" i="13"/>
  <c r="E57" i="13"/>
  <c r="E66" i="13"/>
  <c r="E58" i="13"/>
  <c r="E60" i="13"/>
  <c r="E59" i="13"/>
  <c r="E56" i="13"/>
  <c r="E61" i="13"/>
  <c r="F61" i="13"/>
  <c r="C67" i="13"/>
  <c r="E63" i="13"/>
  <c r="L64" i="8"/>
  <c r="J62" i="8"/>
  <c r="L67" i="8"/>
  <c r="B102" i="8"/>
  <c r="E67" i="8"/>
  <c r="E67" i="20" l="1"/>
  <c r="B102" i="20"/>
  <c r="B102" i="13"/>
  <c r="E67" i="13"/>
  <c r="I62" i="8"/>
  <c r="G62" i="8"/>
  <c r="F62" i="8" l="1"/>
  <c r="K65" i="8" l="1"/>
  <c r="J65" i="8" s="1"/>
  <c r="K63" i="8"/>
  <c r="J63" i="8" s="1"/>
  <c r="J91" i="8"/>
  <c r="M91" i="8" s="1"/>
  <c r="J56" i="8"/>
  <c r="I56" i="8" s="1"/>
  <c r="I63" i="8" l="1"/>
  <c r="G63" i="8"/>
  <c r="I65" i="8"/>
  <c r="G65" i="8"/>
  <c r="K67" i="8"/>
  <c r="K64" i="8"/>
  <c r="J64" i="8" s="1"/>
  <c r="G56" i="8"/>
  <c r="F56" i="8" l="1"/>
  <c r="F63" i="8"/>
  <c r="I64" i="8"/>
  <c r="I67" i="8" s="1"/>
  <c r="G64" i="8"/>
  <c r="I69" i="8"/>
  <c r="F65" i="8"/>
  <c r="J67" i="8"/>
  <c r="F64" i="8" l="1"/>
  <c r="F67" i="8" s="1"/>
  <c r="G67" i="8"/>
  <c r="H66" i="8" l="1"/>
  <c r="H60" i="8"/>
  <c r="H62" i="8"/>
  <c r="H59" i="8"/>
  <c r="H61" i="8"/>
  <c r="H57" i="8"/>
  <c r="H58" i="8"/>
  <c r="H65" i="8"/>
  <c r="H56" i="8"/>
  <c r="H63" i="8"/>
  <c r="H64" i="8"/>
  <c r="B103" i="8" l="1"/>
  <c r="I94" i="8" s="1"/>
  <c r="H67" i="8"/>
  <c r="K63" i="13" l="1"/>
  <c r="J63" i="13" s="1"/>
  <c r="K65" i="13"/>
  <c r="L56" i="13"/>
  <c r="K91" i="13" s="1"/>
  <c r="J91" i="13"/>
  <c r="L62" i="13" l="1"/>
  <c r="L64" i="13" s="1"/>
  <c r="K64" i="13"/>
  <c r="K67" i="13" s="1"/>
  <c r="J56" i="13"/>
  <c r="I56" i="13" s="1"/>
  <c r="G63" i="13"/>
  <c r="I63" i="13"/>
  <c r="M91" i="13"/>
  <c r="J62" i="13"/>
  <c r="L65" i="13"/>
  <c r="J65" i="13" s="1"/>
  <c r="L67" i="13"/>
  <c r="G56" i="13" l="1"/>
  <c r="J64" i="13"/>
  <c r="I62" i="13"/>
  <c r="G62" i="13"/>
  <c r="J67" i="13"/>
  <c r="F56" i="13"/>
  <c r="G65" i="13"/>
  <c r="I65" i="13"/>
  <c r="F63" i="13"/>
  <c r="I64" i="13" l="1"/>
  <c r="G64" i="13"/>
  <c r="F64" i="13" s="1"/>
  <c r="F62" i="13"/>
  <c r="F65" i="13"/>
  <c r="I69" i="13"/>
  <c r="G67" i="13"/>
  <c r="H62" i="13" s="1"/>
  <c r="I67" i="13"/>
  <c r="F67" i="13" l="1"/>
  <c r="H65" i="13"/>
  <c r="H58" i="13"/>
  <c r="H57" i="13"/>
  <c r="H61" i="13"/>
  <c r="H66" i="13"/>
  <c r="H60" i="13"/>
  <c r="H59" i="13"/>
  <c r="H63" i="13"/>
  <c r="H64" i="13"/>
  <c r="H56" i="13"/>
  <c r="B103" i="13" l="1"/>
  <c r="I94" i="13" s="1"/>
  <c r="H67" i="13"/>
  <c r="K63" i="14"/>
  <c r="K64" i="14" s="1"/>
  <c r="K65" i="14"/>
  <c r="L56" i="14"/>
  <c r="L65" i="14" s="1"/>
  <c r="J91" i="14"/>
  <c r="L62" i="14" l="1"/>
  <c r="J62" i="14" s="1"/>
  <c r="I62" i="14" s="1"/>
  <c r="J65" i="14"/>
  <c r="G62" i="14"/>
  <c r="J64" i="14"/>
  <c r="K67" i="14"/>
  <c r="L67" i="14"/>
  <c r="K91" i="14"/>
  <c r="M91" i="14" s="1"/>
  <c r="J63" i="14"/>
  <c r="J56" i="14"/>
  <c r="L64" i="14"/>
  <c r="I64" i="14" l="1"/>
  <c r="G64" i="14"/>
  <c r="I65" i="14"/>
  <c r="G65" i="14"/>
  <c r="F62" i="14"/>
  <c r="G56" i="14"/>
  <c r="J67" i="14"/>
  <c r="I56" i="14"/>
  <c r="I63" i="14"/>
  <c r="G63" i="14"/>
  <c r="F64" i="14" l="1"/>
  <c r="F63" i="14"/>
  <c r="F56" i="14"/>
  <c r="G67" i="14"/>
  <c r="H63" i="14" s="1"/>
  <c r="I69" i="14"/>
  <c r="F65" i="14"/>
  <c r="I67" i="14"/>
  <c r="F67" i="14" l="1"/>
  <c r="H59" i="14"/>
  <c r="H66" i="14"/>
  <c r="H60" i="14"/>
  <c r="H57" i="14"/>
  <c r="H58" i="14"/>
  <c r="H61" i="14"/>
  <c r="H62" i="14"/>
  <c r="H65" i="14"/>
  <c r="H56" i="14"/>
  <c r="H64" i="14"/>
  <c r="B103" i="14" l="1"/>
  <c r="I94" i="14" s="1"/>
  <c r="H67" i="14"/>
  <c r="K63" i="18" l="1"/>
  <c r="K64" i="18" s="1"/>
  <c r="K67" i="18" s="1"/>
  <c r="K65" i="18"/>
  <c r="L56" i="18"/>
  <c r="J56" i="18" s="1"/>
  <c r="J91" i="18"/>
  <c r="J63" i="18" l="1"/>
  <c r="G63" i="18" s="1"/>
  <c r="G56" i="18"/>
  <c r="I56" i="18"/>
  <c r="F63" i="18"/>
  <c r="L62" i="18"/>
  <c r="K91" i="18"/>
  <c r="M91" i="18" s="1"/>
  <c r="I63" i="18"/>
  <c r="L65" i="18"/>
  <c r="J65" i="18" s="1"/>
  <c r="G65" i="18" l="1"/>
  <c r="I65" i="18"/>
  <c r="J62" i="18"/>
  <c r="L64" i="18"/>
  <c r="J64" i="18" s="1"/>
  <c r="F56" i="18"/>
  <c r="I64" i="18" l="1"/>
  <c r="G64" i="18"/>
  <c r="G62" i="18"/>
  <c r="I62" i="18"/>
  <c r="I67" i="18" s="1"/>
  <c r="J67" i="18"/>
  <c r="L67" i="18"/>
  <c r="F65" i="18"/>
  <c r="I69" i="18"/>
  <c r="F62" i="18" l="1"/>
  <c r="G67" i="18"/>
  <c r="H62" i="18" s="1"/>
  <c r="F64" i="18"/>
  <c r="H64" i="18"/>
  <c r="H61" i="18" l="1"/>
  <c r="H58" i="18"/>
  <c r="H60" i="18"/>
  <c r="H59" i="18"/>
  <c r="H66" i="18"/>
  <c r="H57" i="18"/>
  <c r="H63" i="18"/>
  <c r="H56" i="18"/>
  <c r="H65" i="18"/>
  <c r="F67" i="18"/>
  <c r="B103" i="18" l="1"/>
  <c r="I94" i="18" s="1"/>
  <c r="H67" i="18"/>
  <c r="L62" i="19"/>
  <c r="L65" i="19" l="1"/>
  <c r="L64" i="19"/>
  <c r="J62" i="19"/>
  <c r="K91" i="19"/>
  <c r="I62" i="19" l="1"/>
  <c r="G62" i="19"/>
  <c r="L67" i="19"/>
  <c r="F62" i="19" l="1"/>
  <c r="K63" i="19"/>
  <c r="K64" i="19" s="1"/>
  <c r="J64" i="19" s="1"/>
  <c r="K65" i="19"/>
  <c r="J65" i="19" s="1"/>
  <c r="J91" i="19"/>
  <c r="M91" i="19" s="1"/>
  <c r="J56" i="19"/>
  <c r="G56" i="19" s="1"/>
  <c r="K67" i="19" l="1"/>
  <c r="G65" i="19"/>
  <c r="I65" i="19"/>
  <c r="I64" i="19"/>
  <c r="G64" i="19"/>
  <c r="F56" i="19"/>
  <c r="J63" i="19"/>
  <c r="J67" i="19" s="1"/>
  <c r="I56" i="19"/>
  <c r="F64" i="19" l="1"/>
  <c r="I69" i="19"/>
  <c r="F65" i="19"/>
  <c r="I67" i="19"/>
  <c r="G63" i="19"/>
  <c r="I63" i="19"/>
  <c r="F63" i="19" l="1"/>
  <c r="F67" i="19" s="1"/>
  <c r="G67" i="19"/>
  <c r="H57" i="19" l="1"/>
  <c r="H62" i="19"/>
  <c r="H61" i="19"/>
  <c r="H66" i="19"/>
  <c r="H60" i="19"/>
  <c r="H59" i="19"/>
  <c r="H58" i="19"/>
  <c r="H56" i="19"/>
  <c r="H64" i="19"/>
  <c r="H65" i="19"/>
  <c r="H63" i="19"/>
  <c r="H67" i="19" l="1"/>
  <c r="B103" i="19"/>
  <c r="I94" i="19" s="1"/>
  <c r="L91" i="20"/>
  <c r="M61" i="20"/>
  <c r="J61" i="20" s="1"/>
  <c r="I61" i="20" s="1"/>
  <c r="M64" i="20"/>
  <c r="M65" i="20"/>
  <c r="J58" i="20"/>
  <c r="I58" i="20" s="1"/>
  <c r="M67" i="20" l="1"/>
  <c r="G58" i="20"/>
  <c r="F58" i="20" s="1"/>
  <c r="G61" i="20"/>
  <c r="F61" i="20" l="1"/>
  <c r="K65" i="20"/>
  <c r="J65" i="20" s="1"/>
  <c r="K63" i="20"/>
  <c r="K64" i="20" s="1"/>
  <c r="J64" i="20" s="1"/>
  <c r="J91" i="20"/>
  <c r="M91" i="20" s="1"/>
  <c r="J56" i="20"/>
  <c r="G56" i="20" s="1"/>
  <c r="I64" i="20" l="1"/>
  <c r="G64" i="20"/>
  <c r="I65" i="20"/>
  <c r="G65" i="20"/>
  <c r="I56" i="20"/>
  <c r="F56" i="20"/>
  <c r="J63" i="20"/>
  <c r="J67" i="20" s="1"/>
  <c r="K67" i="20"/>
  <c r="F64" i="20" l="1"/>
  <c r="I69" i="20"/>
  <c r="F65" i="20"/>
  <c r="I63" i="20"/>
  <c r="I67" i="20" s="1"/>
  <c r="G63" i="20"/>
  <c r="F63" i="20" l="1"/>
  <c r="F67" i="20" s="1"/>
  <c r="G67" i="20"/>
  <c r="H63" i="20" s="1"/>
  <c r="H57" i="20" l="1"/>
  <c r="H61" i="20"/>
  <c r="H60" i="20"/>
  <c r="H59" i="20"/>
  <c r="H62" i="20"/>
  <c r="H66" i="20"/>
  <c r="H58" i="20"/>
  <c r="H56" i="20"/>
  <c r="H64" i="20"/>
  <c r="H65" i="20"/>
  <c r="H67" i="20" l="1"/>
  <c r="B103" i="20"/>
  <c r="I94" i="20" s="1"/>
  <c r="M61" i="21" l="1"/>
  <c r="J61" i="21" s="1"/>
  <c r="M65" i="21"/>
  <c r="M64" i="21"/>
  <c r="L91" i="21"/>
  <c r="K57" i="21"/>
  <c r="I61" i="21" l="1"/>
  <c r="G61" i="21"/>
  <c r="M67" i="21"/>
  <c r="J57" i="21"/>
  <c r="F61" i="21" l="1"/>
  <c r="I57" i="21"/>
  <c r="G57" i="21"/>
  <c r="F57" i="21" l="1"/>
  <c r="M61" i="22" l="1"/>
  <c r="J61" i="22" s="1"/>
  <c r="L91" i="22"/>
  <c r="M65" i="22"/>
  <c r="M64" i="22"/>
  <c r="K58" i="22"/>
  <c r="J58" i="22" l="1"/>
  <c r="G58" i="22" s="1"/>
  <c r="F58" i="22"/>
  <c r="I61" i="22"/>
  <c r="G61" i="22"/>
  <c r="M67" i="22"/>
  <c r="I58" i="22"/>
  <c r="F61" i="22" l="1"/>
  <c r="K63" i="22"/>
  <c r="K64" i="22" s="1"/>
  <c r="K65" i="22"/>
  <c r="L56" i="22"/>
  <c r="L65" i="22" s="1"/>
  <c r="J65" i="22" s="1"/>
  <c r="J91" i="22"/>
  <c r="J56" i="22"/>
  <c r="G56" i="22" s="1"/>
  <c r="L62" i="22" l="1"/>
  <c r="J63" i="22"/>
  <c r="K91" i="22"/>
  <c r="M91" i="22" s="1"/>
  <c r="F56" i="22"/>
  <c r="K67" i="22"/>
  <c r="G65" i="22"/>
  <c r="I65" i="22"/>
  <c r="I56" i="22"/>
  <c r="J62" i="22" l="1"/>
  <c r="L64" i="22"/>
  <c r="J64" i="22" s="1"/>
  <c r="G63" i="22"/>
  <c r="F63" i="22" s="1"/>
  <c r="I63" i="22"/>
  <c r="L67" i="22"/>
  <c r="G64" i="22"/>
  <c r="I69" i="22" s="1"/>
  <c r="I64" i="22"/>
  <c r="F65" i="22"/>
  <c r="I62" i="22" l="1"/>
  <c r="I67" i="22" s="1"/>
  <c r="G62" i="22"/>
  <c r="F62" i="22" s="1"/>
  <c r="J67" i="22"/>
  <c r="F64" i="22"/>
  <c r="F67" i="22" s="1"/>
  <c r="G67" i="22"/>
  <c r="H66" i="22" l="1"/>
  <c r="H59" i="22"/>
  <c r="H61" i="22"/>
  <c r="H58" i="22"/>
  <c r="H60" i="22"/>
  <c r="H57" i="22"/>
  <c r="H56" i="22"/>
  <c r="H63" i="22"/>
  <c r="H62" i="22"/>
  <c r="H65" i="22"/>
  <c r="H64" i="22"/>
  <c r="H67" i="22" l="1"/>
  <c r="B103" i="22"/>
  <c r="I94" i="22" s="1"/>
  <c r="M61" i="23"/>
  <c r="J61" i="23" s="1"/>
  <c r="M65" i="23"/>
  <c r="M64" i="23"/>
  <c r="L91" i="23"/>
  <c r="K57" i="23"/>
  <c r="J57" i="23" s="1"/>
  <c r="I61" i="23" l="1"/>
  <c r="G61" i="23"/>
  <c r="I57" i="23"/>
  <c r="G57" i="23"/>
  <c r="M67" i="23"/>
  <c r="F57" i="23" l="1"/>
  <c r="F61" i="23"/>
  <c r="K63" i="23"/>
  <c r="J63" i="23" s="1"/>
  <c r="I63" i="23" s="1"/>
  <c r="K65" i="23"/>
  <c r="L56" i="23"/>
  <c r="L65" i="23" s="1"/>
  <c r="J91" i="23"/>
  <c r="L62" i="23" l="1"/>
  <c r="L64" i="23" s="1"/>
  <c r="J65" i="23"/>
  <c r="G63" i="23"/>
  <c r="J62" i="23"/>
  <c r="K64" i="23"/>
  <c r="J64" i="23" s="1"/>
  <c r="J56" i="23"/>
  <c r="K91" i="23"/>
  <c r="M91" i="23" s="1"/>
  <c r="L67" i="23"/>
  <c r="I64" i="23" l="1"/>
  <c r="G64" i="23"/>
  <c r="F63" i="23"/>
  <c r="I65" i="23"/>
  <c r="G65" i="23"/>
  <c r="G56" i="23"/>
  <c r="I56" i="23"/>
  <c r="J67" i="23"/>
  <c r="G62" i="23"/>
  <c r="I62" i="23"/>
  <c r="K67" i="23"/>
  <c r="F64" i="23" l="1"/>
  <c r="I69" i="23"/>
  <c r="F65" i="23"/>
  <c r="F56" i="23"/>
  <c r="G67" i="23"/>
  <c r="H64" i="23" s="1"/>
  <c r="F62" i="23"/>
  <c r="I67" i="23"/>
  <c r="F67" i="23" l="1"/>
  <c r="H65" i="23"/>
  <c r="H56" i="23"/>
  <c r="H60" i="23"/>
  <c r="H61" i="23"/>
  <c r="H58" i="23"/>
  <c r="H66" i="23"/>
  <c r="H59" i="23"/>
  <c r="H57" i="23"/>
  <c r="H63" i="23"/>
  <c r="H62" i="23"/>
  <c r="B103" i="23" l="1"/>
  <c r="I94" i="23" s="1"/>
  <c r="H67" i="23"/>
  <c r="K63" i="21"/>
  <c r="J63" i="21" s="1"/>
  <c r="K65" i="21"/>
  <c r="L56" i="21"/>
  <c r="L62" i="21" s="1"/>
  <c r="J91" i="21"/>
  <c r="J62" i="21" l="1"/>
  <c r="L64" i="21"/>
  <c r="K64" i="21"/>
  <c r="K67" i="21" s="1"/>
  <c r="G62" i="21"/>
  <c r="I62" i="21"/>
  <c r="L67" i="21"/>
  <c r="I63" i="21"/>
  <c r="G63" i="21"/>
  <c r="L65" i="21"/>
  <c r="J65" i="21" s="1"/>
  <c r="K91" i="21"/>
  <c r="M91" i="21" s="1"/>
  <c r="J56" i="21"/>
  <c r="J64" i="21" l="1"/>
  <c r="F63" i="21"/>
  <c r="G56" i="21"/>
  <c r="I56" i="21"/>
  <c r="J67" i="21"/>
  <c r="I65" i="21"/>
  <c r="G65" i="21"/>
  <c r="F62" i="21"/>
  <c r="I64" i="21" l="1"/>
  <c r="G64" i="21"/>
  <c r="F64" i="21" s="1"/>
  <c r="I67" i="21"/>
  <c r="G67" i="21"/>
  <c r="H56" i="21" s="1"/>
  <c r="F56" i="21"/>
  <c r="F65" i="21"/>
  <c r="I69" i="21"/>
  <c r="H65" i="21" l="1"/>
  <c r="F67" i="21"/>
  <c r="H58" i="21"/>
  <c r="H60" i="21"/>
  <c r="H57" i="21"/>
  <c r="H66" i="21"/>
  <c r="H59" i="21"/>
  <c r="H61" i="21"/>
  <c r="H63" i="21"/>
  <c r="H64" i="21"/>
  <c r="H62" i="21"/>
  <c r="H67" i="21" l="1"/>
  <c r="B103" i="21"/>
  <c r="I94" i="21" s="1"/>
</calcChain>
</file>

<file path=xl/sharedStrings.xml><?xml version="1.0" encoding="utf-8"?>
<sst xmlns="http://schemas.openxmlformats.org/spreadsheetml/2006/main" count="2057" uniqueCount="142">
  <si>
    <t xml:space="preserve">Зона горения </t>
  </si>
  <si>
    <t>Возможно ли, добавив водяной пар с температурой 110С, уменьшить температуру на выходе (войти в диапазон 550-800С), при этом оставив соотношение водорода к углекислому газу не более, чем 2,5?</t>
  </si>
  <si>
    <t>Расчет зоны горения</t>
  </si>
  <si>
    <t>Ответ: нет, при добавлении 1000м3 вод пара, соотношение водорода к угл газу становится 2,5. Твых=1520</t>
  </si>
  <si>
    <t>Исходные данные</t>
  </si>
  <si>
    <t>Расход природного газа</t>
  </si>
  <si>
    <t>м3/ч</t>
  </si>
  <si>
    <t>Доля газа на горение</t>
  </si>
  <si>
    <t>состав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</si>
  <si>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</si>
  <si>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Коэффициент избытка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</si>
  <si>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</si>
  <si>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последовательность протекания реакций в зоне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</si>
  <si>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</si>
  <si>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СН4 + 2О2 = СО2 + 2Н2О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</si>
  <si>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</si>
  <si>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С2Н6 + 3,5О2 = 2СО2 + 3Н2О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</si>
  <si>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</si>
  <si>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С3Н8 + 5О2 = 3СО2 + 4Н2О</t>
  </si>
  <si>
    <t>азот</t>
  </si>
  <si>
    <t>С4Н10 + 6,5О2 = 4СО2 + 5Н2О</t>
  </si>
  <si>
    <t>С5Н12 + 8О2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</si>
  <si>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</si>
  <si>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</si>
  <si>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</si>
  <si>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</si>
  <si>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</si>
  <si>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</si>
  <si>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</si>
  <si>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</si>
  <si>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</si>
  <si>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</si>
  <si>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</si>
  <si>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</si>
  <si>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</si>
  <si>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</si>
  <si>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t>Ch4</t>
  </si>
  <si>
    <t>c2h6</t>
  </si>
  <si>
    <t>c3h8</t>
  </si>
  <si>
    <t>c4h10</t>
  </si>
  <si>
    <t>c5h12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</si>
  <si>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</si>
  <si>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</si>
  <si>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</si>
  <si>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</si>
  <si>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</si>
  <si>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</si>
  <si>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</si>
  <si>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</si>
  <si>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t>Сумма</t>
  </si>
  <si>
    <t>Расход природного газа в зону горения</t>
  </si>
  <si>
    <t>Твх=</t>
  </si>
  <si>
    <t>С</t>
  </si>
  <si>
    <t>Дж/(моль/К)</t>
  </si>
  <si>
    <t>кДж/моль</t>
  </si>
  <si>
    <t>Ср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</si>
  <si>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</si>
  <si>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недостаток кислорода, поэтому рассмотрим другие условия.</t>
  </si>
  <si>
    <t>Тепловой баланс зоны горения</t>
  </si>
  <si>
    <t>Q вх</t>
  </si>
  <si>
    <t>Q хр</t>
  </si>
  <si>
    <t>Q вых</t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</si>
  <si>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</si>
  <si>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</si>
  <si>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</si>
  <si>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</si>
  <si>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</si>
  <si>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</si>
  <si>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</si>
  <si>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</si>
  <si>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</si>
  <si>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</si>
  <si>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</si>
  <si>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</si>
  <si>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</si>
  <si>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</si>
  <si>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</si>
  <si>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</si>
  <si>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</si>
  <si>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</si>
  <si>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</si>
  <si>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</si>
  <si>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</si>
  <si>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</si>
  <si>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</si>
  <si>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</si>
  <si>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</si>
  <si>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t>CO</t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</si>
  <si>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</si>
  <si>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t>Соотношение Н2/СО</t>
  </si>
  <si>
    <t>CH4+H2O=CO+3H2</t>
  </si>
  <si>
    <t>да</t>
  </si>
  <si>
    <t>C2H6+2H2O=2CO+5H2</t>
  </si>
  <si>
    <t>C3H8+3H2O=3CO+7H2</t>
  </si>
  <si>
    <t>C4H10+4H2O=4CO+9H2</t>
  </si>
  <si>
    <t>C5H12+5H2O=5CO+11H2</t>
  </si>
  <si>
    <t>CH4+CO2=2CO+2H2</t>
  </si>
  <si>
    <t>C2H6+2CO2=4CO+3H2</t>
  </si>
  <si>
    <t>нет</t>
  </si>
  <si>
    <t>C3H8+3CO2=6CO+4H2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</si>
  <si>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</si>
  <si>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</si>
  <si>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</si>
  <si>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</si>
  <si>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</si>
  <si>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</si>
  <si>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</si>
  <si>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</si>
  <si>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</si>
  <si>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t>Q вых гор</t>
  </si>
  <si>
    <t>Q вх пг</t>
  </si>
  <si>
    <t>Q пк</t>
  </si>
  <si>
    <t>Q ук</t>
  </si>
  <si>
    <t>Q по</t>
  </si>
  <si>
    <t>Q вых кон</t>
  </si>
  <si>
    <t>Т вых</t>
  </si>
  <si>
    <t>°С</t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</si>
  <si>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</si>
  <si>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</si>
  <si>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</si>
  <si>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</si>
  <si>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</si>
  <si>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</si>
  <si>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</si>
  <si>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</si>
  <si>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</si>
  <si>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</si>
  <si>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</si>
  <si>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</si>
  <si>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</si>
  <si>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</si>
  <si>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</si>
  <si>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</si>
  <si>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</si>
  <si>
    <t>Акетов А.Д. ВАРИАНТ 10</t>
  </si>
  <si>
    <t>0,15-0,5</t>
  </si>
  <si>
    <t>1,15-1,45</t>
  </si>
  <si>
    <t>CH4 + 2O2 = CO2 + 2H2O</t>
  </si>
  <si>
    <t>C2H6 + 3,5O2 = 2CO2 + 3H2O</t>
  </si>
  <si>
    <t>C3H8 + 5O2 = 3CO2 + 4H2O</t>
  </si>
  <si>
    <t>C4H10 + 6,5O2 = 4CO2 + 5H2O</t>
  </si>
  <si>
    <t>C5H12 + 8O2 = 5CO2 + 6H2O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</si>
</sst>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5">
    <font>
      <sz val="11"/>
      <color theme="1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0"/>
      <color theme="1"/>
      <name val="Arial"/>
    </font>
    <font>
      <sz val="14"/>
      <color rgb="FF333333"/>
      <name val="Arial"/>
    </font>
    <font>
      <sz val="10"/>
      <color theme="1"/>
      <name val="Arial"/>
      <family val="2"/>
      <charset val="204"/>
    </font>
    <font>
      <b/>
      <sz val="12"/>
      <color rgb="FF800000"/>
      <name val="Arial"/>
    </font>
    <font>
      <sz val="12"/>
      <color theme="1"/>
      <name val="Arial"/>
    </font>
    <font>
      <sz val="10"/>
      <color rgb="FF333333"/>
      <name val="Arial"/>
    </font>
    <font>
      <vertAlign val="subscript"/>
      <sz val="10"/>
      <color rgb="FF333333"/>
      <name val="Arial"/>
    </font>
    <font>
      <sz val="10"/>
      <color rgb="FF000000"/>
      <name val="Arial"/>
    </font>
    <font>
      <sz val="12"/>
      <color rgb="FF800000"/>
      <name val="Arial"/>
    </font>
    <font>
      <sz val="10"/>
      <name val="Arial"/>
    </font>
    <font>
      <b/>
      <sz val="10"/>
      <color rgb="FF333333"/>
      <name val="Arial"/>
    </font>
    <font>
      <vertAlign val="subscript"/>
      <sz val="10"/>
      <color theme="1"/>
      <name val="Arial"/>
    </font>
    <font>
      <sz val="10"/>
      <color theme="4" tint="-0.249977111117893"/>
      <name val="Arial"/>
      <family val="2"/>
      <charset val="204"/>
    </font>
    <font>
      <sz val="10"/>
      <color rgb="FF800000"/>
      <name val="Arial"/>
    </font>
    <font>
      <b/>
      <sz val="12"/>
      <color theme="1"/>
      <name val="Arial"/>
    </font>
    <font>
      <b/>
      <vertAlign val="subscript"/>
      <sz val="12"/>
      <color theme="1"/>
      <name val="Arial"/>
    </font>
    <font>
      <sz val="10"/>
      <color theme="1"/>
      <name val="Arial"/>
      <family val="1"/>
      <charset val="2"/>
    </font>
    <font>
      <b/>
      <sz val="12"/>
      <color rgb="FF333333"/>
      <name val="Arial"/>
      <family val="2"/>
      <charset val="204"/>
    </font>
    <font>
      <b/>
      <sz val="12"/>
      <color rgb="FF333333"/>
      <name val="Arial"/>
    </font>
    <font>
      <sz val="12"/>
      <color rgb="FF333333"/>
      <name val="Arial"/>
    </font>
    <font>
      <vertAlign val="subscript"/>
      <sz val="12"/>
      <color rgb="FF333333"/>
      <name val="Arial"/>
    </font>
    <font>
      <sz val="9"/>
      <color rgb="FF000000"/>
      <name val="&quot;Google Sans Mono&quot;"/>
    </font>
    <font>
      <b/>
      <sz val="10"/>
      <color theme="1"/>
      <name val="Arial"/>
    </font>
    <font>
      <b/>
      <sz val="14"/>
      <color rgb="FF800000"/>
      <name val="Arial"/>
    </font>
    <font>
      <sz val="10"/>
      <name val="Arial"/>
      <family val="2"/>
      <charset val="204"/>
    </font>
    <font>
      <b/>
      <sz val="14"/>
      <color theme="1"/>
      <name val="Arial"/>
    </font>
    <font>
      <b/>
      <sz val="14"/>
      <color indexed="16"/>
      <name val="Arial"/>
      <family val="2"/>
      <charset val="204"/>
    </font>
    <font>
      <b/>
      <vertAlign val="subscript"/>
      <sz val="12"/>
      <color rgb="FF333333"/>
      <name val="Arial"/>
    </font>
    <font>
      <sz val="10"/>
      <color rgb="FF000000"/>
      <name val="Aptos Narrow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charset val="204"/>
    </font>
    <font>
      <sz val="10"/>
      <color rgb="FF800000"/>
      <name val="Arial"/>
      <family val="2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8080"/>
      </right>
      <top/>
      <bottom/>
      <diagonal/>
    </border>
    <border>
      <left/>
      <right style="thick">
        <color rgb="FF800000"/>
      </right>
      <top/>
      <bottom style="thick">
        <color rgb="FF80808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thick">
        <color rgb="FF808080"/>
      </bottom>
      <diagonal/>
    </border>
    <border>
      <left style="thick">
        <color rgb="FF808080"/>
      </left>
      <right style="thick">
        <color rgb="FF800000"/>
      </right>
      <top/>
      <bottom style="thick">
        <color rgb="FF80808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ck">
        <color rgb="FF80808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rgb="FF808080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ck">
        <color rgb="FF808080"/>
      </left>
      <right style="thick">
        <color theme="0" tint="-0.499984740745262"/>
      </right>
      <top style="thick">
        <color rgb="FF808080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/>
      <diagonal/>
    </border>
    <border>
      <left/>
      <right style="hair">
        <color rgb="FF000000"/>
      </right>
      <top/>
      <bottom style="thick">
        <color rgb="FF808080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rgb="FF808080"/>
      </left>
      <right style="thick">
        <color rgb="FF80808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 style="thick">
        <color indexed="16"/>
      </left>
      <right style="thick">
        <color rgb="FF800000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hair">
        <color rgb="FF00000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8080"/>
      </right>
      <top/>
      <bottom/>
      <diagonal/>
    </border>
    <border>
      <left style="thick">
        <color rgb="FF800000"/>
      </left>
      <right/>
      <top style="thick">
        <color rgb="FF800000"/>
      </top>
      <bottom style="thick">
        <color rgb="FF800000"/>
      </bottom>
      <diagonal/>
    </border>
    <border>
      <left style="thick">
        <color rgb="FF800000"/>
      </left>
      <right/>
      <top/>
      <bottom/>
      <diagonal/>
    </border>
    <border>
      <left/>
      <right/>
      <top style="thick">
        <color rgb="FF800000"/>
      </top>
      <bottom style="thick">
        <color rgb="FF80808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/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 style="thick">
        <color rgb="FF808080"/>
      </left>
      <right/>
      <top style="thick">
        <color theme="2" tint="-0.499984740745262"/>
      </top>
      <bottom style="thick">
        <color rgb="FF808080"/>
      </bottom>
      <diagonal/>
    </border>
    <border>
      <left style="thick">
        <color rgb="FF808080"/>
      </left>
      <right/>
      <top style="thick">
        <color rgb="FF808080"/>
      </top>
      <bottom style="thick">
        <color rgb="FF808080"/>
      </bottom>
      <diagonal/>
    </border>
    <border>
      <left style="thick">
        <color rgb="FF808080"/>
      </left>
      <right/>
      <top/>
      <bottom style="thick">
        <color rgb="FF808080"/>
      </bottom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/>
      <bottom style="medium">
        <color rgb="FF00000A"/>
      </bottom>
      <diagonal/>
    </border>
    <border>
      <left/>
      <right style="medium">
        <color rgb="FF00000A"/>
      </right>
      <top/>
      <bottom style="medium">
        <color rgb="FF00000A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2" fillId="0" borderId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5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6" fillId="0" borderId="6" xfId="0" applyFont="1" applyBorder="1"/>
    <xf numFmtId="0" fontId="7" fillId="0" borderId="4" xfId="0" applyFont="1" applyBorder="1" applyAlignment="1">
      <alignment horizontal="center"/>
    </xf>
    <xf numFmtId="0" fontId="10" fillId="0" borderId="1" xfId="0" applyFont="1" applyBorder="1"/>
    <xf numFmtId="0" fontId="2" fillId="0" borderId="6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2" fillId="0" borderId="6" xfId="0" applyNumberFormat="1" applyFont="1" applyBorder="1"/>
    <xf numFmtId="164" fontId="2" fillId="0" borderId="6" xfId="0" applyNumberFormat="1" applyFont="1" applyBorder="1"/>
    <xf numFmtId="4" fontId="2" fillId="0" borderId="0" xfId="0" applyNumberFormat="1" applyFont="1"/>
    <xf numFmtId="3" fontId="2" fillId="0" borderId="8" xfId="0" applyNumberFormat="1" applyFont="1" applyBorder="1"/>
    <xf numFmtId="3" fontId="2" fillId="0" borderId="4" xfId="0" applyNumberFormat="1" applyFont="1" applyBorder="1"/>
    <xf numFmtId="3" fontId="2" fillId="0" borderId="5" xfId="0" applyNumberFormat="1" applyFont="1" applyBorder="1"/>
    <xf numFmtId="3" fontId="14" fillId="0" borderId="6" xfId="0" applyNumberFormat="1" applyFont="1" applyBorder="1"/>
    <xf numFmtId="164" fontId="2" fillId="0" borderId="8" xfId="0" applyNumberFormat="1" applyFont="1" applyBorder="1"/>
    <xf numFmtId="0" fontId="7" fillId="0" borderId="7" xfId="0" applyFont="1" applyBorder="1"/>
    <xf numFmtId="164" fontId="2" fillId="0" borderId="5" xfId="0" applyNumberFormat="1" applyFont="1" applyBorder="1"/>
    <xf numFmtId="164" fontId="2" fillId="0" borderId="0" xfId="0" applyNumberFormat="1" applyFont="1"/>
    <xf numFmtId="0" fontId="2" fillId="0" borderId="9" xfId="0" applyFont="1" applyBorder="1"/>
    <xf numFmtId="0" fontId="15" fillId="0" borderId="0" xfId="0" applyFont="1"/>
    <xf numFmtId="0" fontId="2" fillId="0" borderId="10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16" fillId="0" borderId="7" xfId="0" applyFont="1" applyBorder="1"/>
    <xf numFmtId="0" fontId="16" fillId="0" borderId="6" xfId="0" applyFont="1" applyBorder="1"/>
    <xf numFmtId="0" fontId="18" fillId="0" borderId="0" xfId="0" applyFont="1"/>
    <xf numFmtId="4" fontId="2" fillId="0" borderId="6" xfId="0" applyNumberFormat="1" applyFont="1" applyBorder="1"/>
    <xf numFmtId="0" fontId="20" fillId="0" borderId="6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2" fontId="2" fillId="0" borderId="3" xfId="0" applyNumberFormat="1" applyFont="1" applyBorder="1"/>
    <xf numFmtId="4" fontId="2" fillId="0" borderId="4" xfId="0" applyNumberFormat="1" applyFont="1" applyBorder="1"/>
    <xf numFmtId="4" fontId="2" fillId="0" borderId="5" xfId="0" applyNumberFormat="1" applyFont="1" applyBorder="1"/>
    <xf numFmtId="4" fontId="2" fillId="0" borderId="2" xfId="0" applyNumberFormat="1" applyFont="1" applyBorder="1"/>
    <xf numFmtId="0" fontId="21" fillId="0" borderId="11" xfId="0" applyFont="1" applyBorder="1" applyAlignment="1">
      <alignment horizontal="center"/>
    </xf>
    <xf numFmtId="4" fontId="2" fillId="0" borderId="12" xfId="0" applyNumberFormat="1" applyFont="1" applyBorder="1"/>
    <xf numFmtId="4" fontId="2" fillId="0" borderId="13" xfId="0" applyNumberFormat="1" applyFont="1" applyBorder="1"/>
    <xf numFmtId="4" fontId="2" fillId="0" borderId="1" xfId="0" applyNumberFormat="1" applyFont="1" applyBorder="1"/>
    <xf numFmtId="0" fontId="21" fillId="0" borderId="4" xfId="0" applyFont="1" applyBorder="1" applyAlignment="1">
      <alignment horizontal="center"/>
    </xf>
    <xf numFmtId="0" fontId="20" fillId="0" borderId="1" xfId="0" applyFont="1" applyBorder="1"/>
    <xf numFmtId="2" fontId="2" fillId="0" borderId="6" xfId="0" applyNumberFormat="1" applyFont="1" applyBorder="1"/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2" fillId="0" borderId="14" xfId="0" applyFont="1" applyBorder="1"/>
    <xf numFmtId="0" fontId="20" fillId="0" borderId="7" xfId="0" applyFont="1" applyBorder="1" applyAlignment="1">
      <alignment horizontal="center"/>
    </xf>
    <xf numFmtId="0" fontId="23" fillId="3" borderId="15" xfId="0" applyFont="1" applyFill="1" applyBorder="1"/>
    <xf numFmtId="1" fontId="2" fillId="0" borderId="6" xfId="0" applyNumberFormat="1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3" fontId="24" fillId="0" borderId="6" xfId="0" applyNumberFormat="1" applyFont="1" applyBorder="1"/>
    <xf numFmtId="0" fontId="25" fillId="0" borderId="0" xfId="0" applyFont="1"/>
    <xf numFmtId="0" fontId="2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26" fillId="0" borderId="1" xfId="0" applyFont="1" applyBorder="1"/>
    <xf numFmtId="0" fontId="2" fillId="0" borderId="13" xfId="0" applyFont="1" applyBorder="1"/>
    <xf numFmtId="0" fontId="2" fillId="0" borderId="20" xfId="0" applyFont="1" applyBorder="1"/>
    <xf numFmtId="3" fontId="2" fillId="0" borderId="20" xfId="0" applyNumberFormat="1" applyFont="1" applyBorder="1"/>
    <xf numFmtId="0" fontId="2" fillId="0" borderId="12" xfId="0" applyFont="1" applyBorder="1"/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0" fillId="0" borderId="6" xfId="0" applyFont="1" applyBorder="1"/>
    <xf numFmtId="3" fontId="0" fillId="0" borderId="21" xfId="0" applyNumberFormat="1" applyBorder="1" applyAlignment="1">
      <alignment horizontal="center"/>
    </xf>
    <xf numFmtId="3" fontId="2" fillId="0" borderId="12" xfId="0" applyNumberFormat="1" applyFont="1" applyBorder="1"/>
    <xf numFmtId="0" fontId="27" fillId="0" borderId="6" xfId="0" applyFont="1" applyBorder="1"/>
    <xf numFmtId="3" fontId="28" fillId="0" borderId="21" xfId="0" applyNumberFormat="1" applyFont="1" applyBorder="1"/>
    <xf numFmtId="0" fontId="7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2" fontId="30" fillId="0" borderId="24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2" fillId="0" borderId="26" xfId="0" applyFont="1" applyBorder="1"/>
    <xf numFmtId="4" fontId="31" fillId="0" borderId="25" xfId="0" applyNumberFormat="1" applyFont="1" applyBorder="1"/>
    <xf numFmtId="0" fontId="2" fillId="0" borderId="28" xfId="0" applyFont="1" applyBorder="1"/>
    <xf numFmtId="0" fontId="2" fillId="0" borderId="27" xfId="0" applyFont="1" applyBorder="1"/>
    <xf numFmtId="0" fontId="33" fillId="0" borderId="27" xfId="0" applyFont="1" applyBorder="1"/>
    <xf numFmtId="0" fontId="33" fillId="0" borderId="29" xfId="0" applyFont="1" applyBorder="1"/>
    <xf numFmtId="0" fontId="26" fillId="0" borderId="3" xfId="0" applyFont="1" applyBorder="1"/>
    <xf numFmtId="0" fontId="2" fillId="0" borderId="30" xfId="0" applyFont="1" applyBorder="1"/>
    <xf numFmtId="0" fontId="9" fillId="3" borderId="31" xfId="0" applyFont="1" applyFill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2" fontId="2" fillId="0" borderId="33" xfId="0" applyNumberFormat="1" applyFont="1" applyBorder="1"/>
    <xf numFmtId="1" fontId="24" fillId="0" borderId="6" xfId="0" applyNumberFormat="1" applyFont="1" applyBorder="1"/>
    <xf numFmtId="1" fontId="0" fillId="0" borderId="18" xfId="0" applyNumberFormat="1" applyBorder="1"/>
    <xf numFmtId="0" fontId="33" fillId="0" borderId="1" xfId="0" applyFont="1" applyBorder="1"/>
    <xf numFmtId="0" fontId="33" fillId="0" borderId="6" xfId="0" applyFont="1" applyBorder="1"/>
    <xf numFmtId="0" fontId="26" fillId="0" borderId="6" xfId="0" applyFont="1" applyBorder="1"/>
    <xf numFmtId="0" fontId="1" fillId="4" borderId="0" xfId="1" applyFill="1" applyBorder="1"/>
    <xf numFmtId="0" fontId="7" fillId="0" borderId="1" xfId="0" applyFont="1" applyBorder="1" applyAlignment="1">
      <alignment horizontal="center"/>
    </xf>
    <xf numFmtId="0" fontId="20" fillId="0" borderId="0" xfId="0" applyFont="1"/>
    <xf numFmtId="0" fontId="26" fillId="0" borderId="0" xfId="0" applyFont="1"/>
    <xf numFmtId="0" fontId="33" fillId="0" borderId="0" xfId="0" applyFont="1"/>
    <xf numFmtId="3" fontId="4" fillId="0" borderId="6" xfId="0" applyNumberFormat="1" applyFont="1" applyBorder="1"/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/>
    <xf numFmtId="0" fontId="5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6" xfId="0" applyFont="1" applyBorder="1"/>
  </cellXfs>
  <cellStyles count="3">
    <cellStyle name="Обычный" xfId="0" builtinId="0"/>
    <cellStyle name="Обычный 2" xfId="2" xr:uid="{C4ED0765-1599-4CAF-86BB-D5D08CB4F5A7}"/>
    <cellStyle name="Хороший" xfId="1" builtinId="26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01B1-BECB-429D-835C-9ADBEDE453C4}">
  <sheetPr>
    <tabColor rgb="FFFFC000"/>
  </sheetPr>
  <dimension ref="A1:S1000"/>
  <sheetViews>
    <sheetView topLeftCell="A49" workbookViewId="0">
      <selection activeCell="G62" sqref="G62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1.2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7.5689706318599836E-2</v>
      </c>
      <c r="F18" s="21">
        <f t="shared" ref="F18:G26" si="0">C18+I18</f>
        <v>102.45535714285734</v>
      </c>
      <c r="G18" s="21">
        <f>-O23/2</f>
        <v>143.43750000000045</v>
      </c>
      <c r="H18" s="22">
        <f>G18/G27</f>
        <v>5.9136812362005093E-3</v>
      </c>
      <c r="I18" s="21">
        <f>J18/D13*B18</f>
        <v>-1199.3303571428571</v>
      </c>
      <c r="J18" s="21">
        <f>G18-D18</f>
        <v>-1679.0624999999998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6.5410857312370235E-3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2.8033224562444381E-3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4.6722040937407301E-4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2.803322456244438E-4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6248.5714285714294</v>
      </c>
      <c r="D23" s="21">
        <f>F29*E7*I7*2</f>
        <v>4374</v>
      </c>
      <c r="E23" s="22">
        <f>D23/D27</f>
        <v>0.18165529516463957</v>
      </c>
      <c r="F23" s="25">
        <f t="shared" si="0"/>
        <v>0</v>
      </c>
      <c r="G23" s="26">
        <f t="shared" si="0"/>
        <v>0</v>
      </c>
      <c r="H23" s="22">
        <f>G23/G27</f>
        <v>0</v>
      </c>
      <c r="I23" s="21">
        <f>J23/D13*B23</f>
        <v>-6248.5714285714294</v>
      </c>
      <c r="J23" s="21">
        <f>J22*8+J21*6.5+J20*5+J19*3.5+J18*2</f>
        <v>-4374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-286.87500000000091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4469.3638392857147</v>
      </c>
      <c r="G24" s="21">
        <f t="shared" si="0"/>
        <v>2275.3125</v>
      </c>
      <c r="H24" s="22">
        <f>G24/G27</f>
        <v>9.3807218040905818E-2</v>
      </c>
      <c r="I24" s="21">
        <f>J24/D13*B24</f>
        <v>4469.3638392857147</v>
      </c>
      <c r="J24" s="21">
        <f>-J22*5+(-J21*4)+(-J20*3)+(-J19*2)+(-J18*1)</f>
        <v>2275.3125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4.1530703055473156E-2</v>
      </c>
      <c r="F25" s="21">
        <f t="shared" si="0"/>
        <v>4176.4620535714284</v>
      </c>
      <c r="G25" s="21">
        <f t="shared" si="0"/>
        <v>5197.375</v>
      </c>
      <c r="H25" s="22">
        <f>G25/G27</f>
        <v>0.21427882537688905</v>
      </c>
      <c r="I25" s="21">
        <f>J25/D13*B25</f>
        <v>3372.890625</v>
      </c>
      <c r="J25" s="21">
        <f>-J22*6+(-J21*5)+(-J20*4)+(-J19*3)+(-J18*2)</f>
        <v>4197.375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20798.839285714286</v>
      </c>
      <c r="D26" s="21">
        <f>D23*79/21+F29*(1-E7-E8-E9-E10-E11)</f>
        <v>16639.071428571428</v>
      </c>
      <c r="E26" s="28">
        <f>D26/D27</f>
        <v>0.69103233461880742</v>
      </c>
      <c r="F26" s="24">
        <f t="shared" si="0"/>
        <v>20798.839285714286</v>
      </c>
      <c r="G26" s="21">
        <f t="shared" si="0"/>
        <v>16639.071428571428</v>
      </c>
      <c r="H26" s="28">
        <f>G26/G27</f>
        <v>0.68600027534600461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16639.071428571428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29547.12053571429</v>
      </c>
      <c r="D27" s="25">
        <f t="shared" si="4"/>
        <v>24078.571428571428</v>
      </c>
      <c r="E27" s="30">
        <f t="shared" si="4"/>
        <v>1</v>
      </c>
      <c r="F27" s="26">
        <f t="shared" si="4"/>
        <v>29547.120535714286</v>
      </c>
      <c r="G27" s="25">
        <f t="shared" si="4"/>
        <v>24255.196428571428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4732126.220703125</v>
      </c>
      <c r="G36" s="44">
        <f>(J22*C45/1+J21*C46/1+J20*C47/1+J19*C48/1+J18*C49/1)/22.4*(1000/3600)*1000</f>
        <v>21856505.929129466</v>
      </c>
      <c r="H36" s="45">
        <f>F36+G36</f>
        <v>26588632.149832591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30.186782037970929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30.871215048910727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8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8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8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8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8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8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8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12">
        <v>-800.5</v>
      </c>
      <c r="R55" s="113" t="s">
        <v>137</v>
      </c>
    </row>
    <row r="56" spans="1:18" ht="15.75" customHeight="1" thickTop="1" thickBot="1">
      <c r="A56" s="20" t="s">
        <v>9</v>
      </c>
      <c r="B56" s="59">
        <v>16</v>
      </c>
      <c r="C56" s="59">
        <f>D56/I54*B56</f>
        <v>4007.8125000000005</v>
      </c>
      <c r="D56" s="59">
        <f>G$52*L46+G18</f>
        <v>5610.9375</v>
      </c>
      <c r="E56" s="40">
        <f>D56/D$67</f>
        <v>0.18096764885609612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-4007.8125000000005</v>
      </c>
      <c r="J56" s="59">
        <f t="shared" ref="J56:J61" si="6">SUM(K56:M56)</f>
        <v>-5610.9375</v>
      </c>
      <c r="K56" s="59">
        <v>-3408.625</v>
      </c>
      <c r="L56" s="59">
        <f>-D56-K56</f>
        <v>-2202.3125</v>
      </c>
      <c r="M56" s="59">
        <v>0</v>
      </c>
      <c r="N56" s="60"/>
      <c r="O56" s="61"/>
      <c r="P56" s="1"/>
      <c r="Q56" s="114">
        <v>-1467.9</v>
      </c>
      <c r="R56" s="115" t="s">
        <v>138</v>
      </c>
    </row>
    <row r="57" spans="1:18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1.5239380956302834E-2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 t="shared" ref="K57:K58" si="12">-D57</f>
        <v>-472.50000000000006</v>
      </c>
      <c r="L57" s="59">
        <v>0</v>
      </c>
      <c r="M57" s="102">
        <v>0</v>
      </c>
      <c r="N57" s="62"/>
      <c r="O57" s="1"/>
      <c r="P57" s="1"/>
      <c r="Q57" s="114">
        <v>-2125.1999999999998</v>
      </c>
      <c r="R57" s="115" t="s">
        <v>139</v>
      </c>
    </row>
    <row r="58" spans="1:18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6.5311632669869278E-3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 t="shared" si="12"/>
        <v>-202.5</v>
      </c>
      <c r="L58" s="59">
        <v>0</v>
      </c>
      <c r="M58" s="59">
        <v>0</v>
      </c>
      <c r="N58" s="1"/>
      <c r="O58" s="1"/>
      <c r="P58" s="1"/>
      <c r="Q58" s="114">
        <v>-2780.9</v>
      </c>
      <c r="R58" s="115" t="s">
        <v>140</v>
      </c>
    </row>
    <row r="59" spans="1:18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1.088527211164488E-3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f>-D59</f>
        <v>-33.75</v>
      </c>
      <c r="L59" s="59">
        <v>0</v>
      </c>
      <c r="M59" s="59">
        <v>0</v>
      </c>
      <c r="N59" s="1"/>
      <c r="O59" s="1"/>
      <c r="P59" s="1"/>
      <c r="Q59" s="114">
        <v>-3438.8</v>
      </c>
      <c r="R59" s="115" t="s">
        <v>141</v>
      </c>
    </row>
    <row r="60" spans="1:18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6.5311632669869276E-4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f>-D60-M60</f>
        <v>-20.25</v>
      </c>
      <c r="L60" s="59">
        <v>0</v>
      </c>
      <c r="M60" s="59">
        <v>0</v>
      </c>
      <c r="N60" s="1"/>
      <c r="O60" s="1"/>
      <c r="P60" s="1"/>
      <c r="Q60" s="23"/>
    </row>
    <row r="61" spans="1:18" ht="15.75" customHeight="1" thickTop="1" thickBot="1">
      <c r="A61" s="20" t="s">
        <v>86</v>
      </c>
      <c r="B61" s="59">
        <v>32</v>
      </c>
      <c r="C61" s="59">
        <f>D61</f>
        <v>0</v>
      </c>
      <c r="D61" s="59">
        <f>G23</f>
        <v>0</v>
      </c>
      <c r="E61" s="22">
        <f t="shared" si="8"/>
        <v>0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0</v>
      </c>
      <c r="J61" s="59">
        <f t="shared" si="6"/>
        <v>0</v>
      </c>
      <c r="K61" s="59">
        <v>0</v>
      </c>
      <c r="L61" s="59">
        <v>0</v>
      </c>
      <c r="M61" s="59">
        <f>M60*2.5+M59*2+M58*1.5+M57*1+M56*0.5</f>
        <v>0</v>
      </c>
      <c r="N61" s="1"/>
      <c r="O61" s="1"/>
      <c r="P61" s="1"/>
      <c r="Q61" s="23"/>
    </row>
    <row r="62" spans="1:18" ht="15.75" customHeight="1" thickTop="1" thickBot="1">
      <c r="A62" s="20" t="s">
        <v>43</v>
      </c>
      <c r="B62" s="59">
        <v>44</v>
      </c>
      <c r="C62" s="59">
        <f>D62/I54*B62</f>
        <v>4469.3638392857147</v>
      </c>
      <c r="D62" s="59">
        <f t="shared" ref="D62:D63" si="13">G24</f>
        <v>2275.3125</v>
      </c>
      <c r="E62" s="40">
        <f t="shared" si="8"/>
        <v>7.3384876152672571E-2</v>
      </c>
      <c r="F62" s="21">
        <f t="shared" si="9"/>
        <v>143.39285714285714</v>
      </c>
      <c r="G62" s="21">
        <f t="shared" si="5"/>
        <v>73</v>
      </c>
      <c r="H62" s="40">
        <f t="shared" si="10"/>
        <v>1.5937273884078945E-3</v>
      </c>
      <c r="I62" s="59">
        <f t="shared" si="11"/>
        <v>-4325.9709821428578</v>
      </c>
      <c r="J62" s="59">
        <f>SUM(K62:M62)</f>
        <v>-2202.3125</v>
      </c>
      <c r="K62" s="59">
        <v>0</v>
      </c>
      <c r="L62" s="59">
        <f>L60*5+L59*4+L58*3+L57*2+L56</f>
        <v>-2202.3125</v>
      </c>
      <c r="M62" s="59">
        <v>0</v>
      </c>
      <c r="N62" s="1"/>
      <c r="O62" s="1"/>
      <c r="P62" s="1"/>
      <c r="Q62" s="23"/>
    </row>
    <row r="63" spans="1:18" ht="15.75" customHeight="1" thickTop="1" thickBot="1">
      <c r="A63" s="20" t="s">
        <v>45</v>
      </c>
      <c r="B63" s="59">
        <v>18</v>
      </c>
      <c r="C63" s="59">
        <f>D63/I54*B63</f>
        <v>4176.4620535714294</v>
      </c>
      <c r="D63" s="59">
        <f t="shared" si="13"/>
        <v>5197.375</v>
      </c>
      <c r="E63" s="40">
        <f t="shared" si="8"/>
        <v>0.16762915893706759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-4176.4620535714294</v>
      </c>
      <c r="J63" s="59">
        <f t="shared" ref="J63:J66" si="14">SUM(K63:M63)</f>
        <v>-5197.375</v>
      </c>
      <c r="K63" s="59">
        <f>K60*5+K59*4+K58*3+K57*2+K56</f>
        <v>-5197.375</v>
      </c>
      <c r="L63" s="59">
        <v>0</v>
      </c>
      <c r="M63" s="59">
        <v>0</v>
      </c>
      <c r="N63" s="1"/>
      <c r="O63" s="1"/>
      <c r="P63" s="1"/>
      <c r="Q63" s="23"/>
    </row>
    <row r="64" spans="1:18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12002.500000000002</v>
      </c>
      <c r="G64" s="21">
        <f t="shared" si="5"/>
        <v>9602</v>
      </c>
      <c r="H64" s="40">
        <f t="shared" si="10"/>
        <v>0.20962973128072057</v>
      </c>
      <c r="I64" s="59">
        <f t="shared" si="11"/>
        <v>12002.500000000002</v>
      </c>
      <c r="J64" s="59">
        <f t="shared" si="14"/>
        <v>9602</v>
      </c>
      <c r="K64" s="59">
        <f>-K63</f>
        <v>5197.375</v>
      </c>
      <c r="L64" s="59">
        <f>-2*L62</f>
        <v>4404.625</v>
      </c>
      <c r="M64" s="59">
        <f>-M60*5-M59*4-M58*3-M57*2-M56</f>
        <v>0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0.41343035005863421</v>
      </c>
      <c r="I65" s="59">
        <f t="shared" si="11"/>
        <v>1690.8035714285716</v>
      </c>
      <c r="J65" s="59">
        <f t="shared" si="14"/>
        <v>18937</v>
      </c>
      <c r="K65" s="59">
        <f>-K60*11-K59*9-K58*7-K57*5-K56*3</f>
        <v>14532.375</v>
      </c>
      <c r="L65" s="59">
        <f>-L60*6-L59*5-L58*4-L57*3-L56*2</f>
        <v>4404.625</v>
      </c>
      <c r="M65" s="59">
        <f>-M60*6-M59*5-M58*4-M57*3-M56*2</f>
        <v>0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21490.714285714286</v>
      </c>
      <c r="D66" s="59">
        <f>G52*L51+G26</f>
        <v>17192.571428571428</v>
      </c>
      <c r="E66" s="40">
        <f t="shared" si="8"/>
        <v>0.55450612829301082</v>
      </c>
      <c r="F66" s="21">
        <f t="shared" si="9"/>
        <v>21490.714285714286</v>
      </c>
      <c r="G66" s="21">
        <f t="shared" si="5"/>
        <v>17192.571428571428</v>
      </c>
      <c r="H66" s="40">
        <f t="shared" si="10"/>
        <v>0.37534619127223734</v>
      </c>
      <c r="I66" s="59">
        <f t="shared" si="11"/>
        <v>0</v>
      </c>
      <c r="J66" s="59">
        <f t="shared" si="14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5">SUM(C56:C66)</f>
        <v>35327.410714285717</v>
      </c>
      <c r="D67" s="59">
        <f t="shared" si="15"/>
        <v>31005.196428571428</v>
      </c>
      <c r="E67" s="22">
        <f t="shared" si="15"/>
        <v>1</v>
      </c>
      <c r="F67" s="63">
        <f t="shared" si="15"/>
        <v>35327.410714285717</v>
      </c>
      <c r="G67" s="21">
        <f t="shared" si="15"/>
        <v>45804.571428571428</v>
      </c>
      <c r="H67" s="22">
        <f t="shared" si="15"/>
        <v>1</v>
      </c>
      <c r="I67" s="59">
        <f>SUM(I56:I66)</f>
        <v>-9.0949470177292824E-13</v>
      </c>
      <c r="J67" s="59">
        <f>SUM(J56:J66)</f>
        <v>14799.375</v>
      </c>
      <c r="K67" s="59">
        <f>SUM(K56:K66)</f>
        <v>10394.75</v>
      </c>
      <c r="L67" s="59">
        <f>SUM(L56:L66)</f>
        <v>4404.625</v>
      </c>
      <c r="M67" s="59">
        <f>SUM(M56:M66)</f>
        <v>0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1.972193293063945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5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4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3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2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67" t="s">
        <v>95</v>
      </c>
      <c r="C74" s="5"/>
      <c r="D74" s="15">
        <v>1</v>
      </c>
      <c r="E74" s="1" t="s">
        <v>91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6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103" t="s">
        <v>104</v>
      </c>
      <c r="C84" s="103"/>
      <c r="D84" s="15"/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103" t="s">
        <v>106</v>
      </c>
      <c r="C86" s="103"/>
      <c r="D86" s="15"/>
      <c r="E86" s="1" t="s">
        <v>98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26588632.149832591</v>
      </c>
      <c r="I91" s="76">
        <f>E6*(1-I6)/I54*N50*20*1000/3600</f>
        <v>63682.55022321429</v>
      </c>
      <c r="J91" s="76">
        <f>(K60/I54*C108+K59/I54*C107+K58/I54*C106+K57/I54*C105+K56/I54*C104)*1000/3600*1000</f>
        <v>-12458171.068948418</v>
      </c>
      <c r="K91" s="76">
        <f>(L56/I54*C109+L57/I54*C110+L58/I54*C111+L59/I54*C112+L60/I54*C113)*1000/3600*1000</f>
        <v>-6747039.9693080373</v>
      </c>
      <c r="L91" s="111">
        <f>(M56/I54*C114+M57/I54*C115+M58/I54*C116+M59/I54*C117+M60/I54*C118)*1000/3600*1000</f>
        <v>0</v>
      </c>
      <c r="M91" s="21">
        <f>H91+I91+J91+K91+L91</f>
        <v>7447103.6617993489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09" t="s">
        <v>95</v>
      </c>
      <c r="F94" s="8"/>
      <c r="G94" s="8"/>
      <c r="H94" s="78" t="s">
        <v>115</v>
      </c>
      <c r="I94" s="79">
        <f>M91/(G67/D13*1000/3600*B103)</f>
        <v>451.76597815725006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32.431835412381915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29.021213790264227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10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103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EDE7-5362-4969-8C96-5A9024DD63A4}">
  <sheetPr>
    <tabColor rgb="FF00B050"/>
  </sheetPr>
  <dimension ref="A1:S1000"/>
  <sheetViews>
    <sheetView topLeftCell="A12" workbookViewId="0">
      <selection activeCell="I78" sqref="I78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1.25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7.3056549749463143E-2</v>
      </c>
      <c r="F18" s="21">
        <f t="shared" ref="F18:G26" si="0">C18+I18</f>
        <v>37.366071428571331</v>
      </c>
      <c r="G18" s="21">
        <f>-O23/2</f>
        <v>52.3125</v>
      </c>
      <c r="H18" s="22">
        <f>G18/G27</f>
        <v>2.0822508637840459E-3</v>
      </c>
      <c r="I18" s="21">
        <f>J18/D13*B18</f>
        <v>-1264.4196428571431</v>
      </c>
      <c r="J18" s="21">
        <f>G18-D18</f>
        <v>-1770.1875000000002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6.3135289906943457E-3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2.705798138869005E-3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4.5096635647816748E-4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2.7057981388690049E-4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6508.9285714285734</v>
      </c>
      <c r="D23" s="21">
        <f>F29*E7*I7*2</f>
        <v>4556.2500000000009</v>
      </c>
      <c r="E23" s="22">
        <f>D23/D27</f>
        <v>0.18264137437365788</v>
      </c>
      <c r="F23" s="25">
        <f t="shared" si="0"/>
        <v>0</v>
      </c>
      <c r="G23" s="26">
        <f t="shared" si="0"/>
        <v>0</v>
      </c>
      <c r="H23" s="22">
        <f>G23/G27</f>
        <v>0</v>
      </c>
      <c r="I23" s="21">
        <f>J23/D13*B23</f>
        <v>-6508.9285714285734</v>
      </c>
      <c r="J23" s="21">
        <f>J22*8+J21*6.5+J20*5+J19*3.5+J18*2</f>
        <v>-4556.2500000000009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-104.625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4648.359375</v>
      </c>
      <c r="G24" s="21">
        <f t="shared" si="0"/>
        <v>2366.4375</v>
      </c>
      <c r="H24" s="22">
        <f>G24/G27</f>
        <v>9.4193864343435268E-2</v>
      </c>
      <c r="I24" s="21">
        <f>J24/D13*B24</f>
        <v>4648.359375</v>
      </c>
      <c r="J24" s="21">
        <f>-J22*5+(-J21*4)+(-J20*3)+(-J19*2)+(-J18*1)</f>
        <v>2366.4375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4.0085898353614889E-2</v>
      </c>
      <c r="F25" s="21">
        <f t="shared" si="0"/>
        <v>4322.9129464285725</v>
      </c>
      <c r="G25" s="21">
        <f t="shared" si="0"/>
        <v>5379.6250000000009</v>
      </c>
      <c r="H25" s="22">
        <f>G25/G27</f>
        <v>0.21413101654641337</v>
      </c>
      <c r="I25" s="21">
        <f>J25/D13*B25</f>
        <v>3519.341517857144</v>
      </c>
      <c r="J25" s="21">
        <f>-J22*6+(-J21*5)+(-J20*4)+(-J19*3)+(-J18*2)</f>
        <v>4379.6250000000009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21655.848214285717</v>
      </c>
      <c r="D26" s="21">
        <f>D23*79/21+F29*(1-E7-E8-E9-E10-E11)</f>
        <v>17324.678571428572</v>
      </c>
      <c r="E26" s="28">
        <f>D26/D27</f>
        <v>0.6944753042233357</v>
      </c>
      <c r="F26" s="24">
        <f t="shared" si="0"/>
        <v>21655.848214285717</v>
      </c>
      <c r="G26" s="21">
        <f t="shared" si="0"/>
        <v>17324.678571428572</v>
      </c>
      <c r="H26" s="28">
        <f>G26/G27</f>
        <v>0.68959286824636734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17324.678571428572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30664.486607142862</v>
      </c>
      <c r="D27" s="25">
        <f t="shared" si="4"/>
        <v>24946.428571428572</v>
      </c>
      <c r="E27" s="30">
        <f t="shared" si="4"/>
        <v>1</v>
      </c>
      <c r="F27" s="26">
        <f t="shared" si="4"/>
        <v>30664.486607142862</v>
      </c>
      <c r="G27" s="25">
        <f t="shared" si="4"/>
        <v>25123.053571428572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4896965.9667968759</v>
      </c>
      <c r="G36" s="44">
        <f>(J22*C45/1+J21*C46/1+J20*C47/1+J19*C48/1+J18*C49/1)/22.4*(1000/3600)*1000</f>
        <v>22763427.943638399</v>
      </c>
      <c r="H36" s="45">
        <f>F36+G36</f>
        <v>27660393.910435274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30.151569405869722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30.848442956845986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3942.7232142857147</v>
      </c>
      <c r="D56" s="59">
        <f>G$52*L46+G18</f>
        <v>5519.8125</v>
      </c>
      <c r="E56" s="40">
        <f>D56/D$67</f>
        <v>0.17318116344359402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-3942.7232142857147</v>
      </c>
      <c r="J56" s="59">
        <f t="shared" ref="J56:J61" si="6">SUM(K56:M56)</f>
        <v>-5519.8125</v>
      </c>
      <c r="K56" s="59">
        <v>-3590.875</v>
      </c>
      <c r="L56" s="59">
        <f>-D56-K56</f>
        <v>-1928.9375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1.4824434657354429E-2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 t="shared" ref="K57:K58" si="12">-D57</f>
        <v>-472.50000000000006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6.3533291388661829E-3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 t="shared" si="12"/>
        <v>-202.5</v>
      </c>
      <c r="L58" s="59">
        <v>0</v>
      </c>
      <c r="M58" s="59">
        <v>0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1.0588881898110304E-3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f>-D59</f>
        <v>-33.75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6.3533291388661824E-4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f>-D60-M60</f>
        <v>-20.25</v>
      </c>
      <c r="L60" s="59">
        <v>0</v>
      </c>
      <c r="M60" s="59">
        <v>0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0</v>
      </c>
      <c r="D61" s="59">
        <f>G23</f>
        <v>0</v>
      </c>
      <c r="E61" s="22">
        <f t="shared" si="8"/>
        <v>0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0</v>
      </c>
      <c r="J61" s="59">
        <f t="shared" si="6"/>
        <v>0</v>
      </c>
      <c r="K61" s="59">
        <v>0</v>
      </c>
      <c r="L61" s="59">
        <v>0</v>
      </c>
      <c r="M61" s="59">
        <f>M60*2.5+M59*2+M58*1.5+M57*1+M56*0.5</f>
        <v>0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4648.359375</v>
      </c>
      <c r="D62" s="59">
        <f t="shared" ref="D62:D63" si="13">G24</f>
        <v>2366.4375</v>
      </c>
      <c r="E62" s="40">
        <f t="shared" si="8"/>
        <v>7.4245710242250088E-2</v>
      </c>
      <c r="F62" s="21">
        <f t="shared" si="9"/>
        <v>859.375</v>
      </c>
      <c r="G62" s="21">
        <f t="shared" si="5"/>
        <v>437.5</v>
      </c>
      <c r="H62" s="40">
        <f t="shared" si="10"/>
        <v>9.4105897943113949E-3</v>
      </c>
      <c r="I62" s="59">
        <f t="shared" si="11"/>
        <v>-3788.984375</v>
      </c>
      <c r="J62" s="59">
        <f>SUM(K62:M62)</f>
        <v>-1928.9375</v>
      </c>
      <c r="K62" s="59">
        <v>0</v>
      </c>
      <c r="L62" s="59">
        <f>L60*5+L59*4+L58*3+L57*2+L56</f>
        <v>-1928.9375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4322.9129464285725</v>
      </c>
      <c r="D63" s="59">
        <f t="shared" si="13"/>
        <v>5379.6250000000009</v>
      </c>
      <c r="E63" s="40">
        <f t="shared" si="8"/>
        <v>0.16878285564776788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-4322.9129464285716</v>
      </c>
      <c r="J63" s="59">
        <f t="shared" ref="J63:J66" si="14">SUM(K63:M63)</f>
        <v>-5379.625</v>
      </c>
      <c r="K63" s="59">
        <f>K60*5+K59*4+K58*3+K57*2+K56</f>
        <v>-5379.625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11546.875</v>
      </c>
      <c r="G64" s="21">
        <f t="shared" si="5"/>
        <v>9237.5</v>
      </c>
      <c r="H64" s="40">
        <f t="shared" si="10"/>
        <v>0.198697881657032</v>
      </c>
      <c r="I64" s="59">
        <f t="shared" si="11"/>
        <v>11546.875</v>
      </c>
      <c r="J64" s="59">
        <f t="shared" si="14"/>
        <v>9237.5</v>
      </c>
      <c r="K64" s="59">
        <f>-K63</f>
        <v>5379.625</v>
      </c>
      <c r="L64" s="59">
        <f>-2*L62</f>
        <v>3857.875</v>
      </c>
      <c r="M64" s="59">
        <f>-M60*5-M59*4-M58*3-M57*2-M56</f>
        <v>0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0.40733334613685684</v>
      </c>
      <c r="I65" s="59">
        <f t="shared" si="11"/>
        <v>1690.8035714285716</v>
      </c>
      <c r="J65" s="59">
        <f t="shared" si="14"/>
        <v>18937</v>
      </c>
      <c r="K65" s="59">
        <f>-K60*11-K59*9-K58*7-K57*5-K56*3</f>
        <v>15079.125</v>
      </c>
      <c r="L65" s="59">
        <f>-L60*6-L59*5-L58*4-L57*3-L56*2</f>
        <v>3857.875</v>
      </c>
      <c r="M65" s="59">
        <f>-M60*6-M59*5-M58*4-M57*3-M56*2</f>
        <v>0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22347.723214285717</v>
      </c>
      <c r="D66" s="59">
        <f>G52*L51+G26</f>
        <v>17878.178571428572</v>
      </c>
      <c r="E66" s="40">
        <f t="shared" si="8"/>
        <v>0.56091828576646974</v>
      </c>
      <c r="F66" s="21">
        <f t="shared" si="9"/>
        <v>22347.723214285717</v>
      </c>
      <c r="G66" s="21">
        <f t="shared" si="5"/>
        <v>17878.178571428572</v>
      </c>
      <c r="H66" s="40">
        <f t="shared" si="10"/>
        <v>0.38455818241179973</v>
      </c>
      <c r="I66" s="59">
        <f t="shared" si="11"/>
        <v>0</v>
      </c>
      <c r="J66" s="59">
        <f t="shared" si="14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5">SUM(C56:C66)</f>
        <v>36444.77678571429</v>
      </c>
      <c r="D67" s="59">
        <f t="shared" si="15"/>
        <v>31873.053571428572</v>
      </c>
      <c r="E67" s="22">
        <f t="shared" si="15"/>
        <v>1</v>
      </c>
      <c r="F67" s="63">
        <f t="shared" si="15"/>
        <v>36444.77678571429</v>
      </c>
      <c r="G67" s="21">
        <f t="shared" si="15"/>
        <v>46490.178571428572</v>
      </c>
      <c r="H67" s="22">
        <f t="shared" si="15"/>
        <v>1</v>
      </c>
      <c r="I67" s="59">
        <f>SUM(I56:I66)</f>
        <v>-9.0949470177292824E-13</v>
      </c>
      <c r="J67" s="59">
        <f>SUM(J56:J66)</f>
        <v>14617.125</v>
      </c>
      <c r="K67" s="59">
        <f>SUM(K56:K66)</f>
        <v>10759.25</v>
      </c>
      <c r="L67" s="59">
        <f>SUM(L56:L66)</f>
        <v>3857.875</v>
      </c>
      <c r="M67" s="59">
        <f>SUM(M56:M66)</f>
        <v>0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2.0500135317997294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5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4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3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2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67" t="s">
        <v>95</v>
      </c>
      <c r="C74" s="5"/>
      <c r="D74" s="15">
        <v>1</v>
      </c>
      <c r="E74" s="1" t="s">
        <v>91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6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103" t="s">
        <v>104</v>
      </c>
      <c r="C84" s="103"/>
      <c r="D84" s="15"/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103" t="s">
        <v>106</v>
      </c>
      <c r="C86" s="103"/>
      <c r="D86" s="15"/>
      <c r="E86" s="1" t="s">
        <v>98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27660393.910435274</v>
      </c>
      <c r="I91" s="76">
        <f>E6*(1-I6)/I54*N50*20*1000/3600</f>
        <v>63682.55022321429</v>
      </c>
      <c r="J91" s="76">
        <f>(K60/I54*C108+K59/I54*C107+K58/I54*C106+K57/I54*C105+K56/I54*C104)*1000/3600*1000</f>
        <v>-12923514.2609127</v>
      </c>
      <c r="K91" s="76">
        <f>(L56/I54*C109+L57/I54*C110+L58/I54*C111+L59/I54*C112+L60/I54*C113)*1000/3600*1000</f>
        <v>-5909523.92578125</v>
      </c>
      <c r="L91" s="111">
        <f>(M56/I54*C114+M57/I54*C115+M58/I54*C116+M59/I54*C117+M60/I54*C118)*1000/3600*1000</f>
        <v>0</v>
      </c>
      <c r="M91" s="21">
        <f>H91+I91+J91+K91+L91</f>
        <v>8891038.2739645373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09" t="s">
        <v>95</v>
      </c>
      <c r="F94" s="8"/>
      <c r="G94" s="8"/>
      <c r="H94" s="78" t="s">
        <v>115</v>
      </c>
      <c r="I94" s="79">
        <f>M91/(G67/D13*1000/3600*B103)</f>
        <v>530.23310581012606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32.371392505200596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29.085393550865199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10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103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0ACC-5652-47EF-9B39-C5AFC52F0B38}">
  <sheetPr>
    <tabColor rgb="FF00B050"/>
  </sheetPr>
  <dimension ref="A1:S1000"/>
  <sheetViews>
    <sheetView topLeftCell="A41" workbookViewId="0">
      <selection activeCell="G76" sqref="G76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1.3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7.0600442722744877E-2</v>
      </c>
      <c r="F18" s="21">
        <f t="shared" ref="F18:G26" si="0">C18+I18</f>
        <v>0</v>
      </c>
      <c r="G18" s="21">
        <f>D18+J18</f>
        <v>0</v>
      </c>
      <c r="H18" s="22">
        <f>G18/G27</f>
        <v>0</v>
      </c>
      <c r="I18" s="21">
        <f>J18/D13*B18</f>
        <v>-1301.7857142857144</v>
      </c>
      <c r="J18" s="21">
        <f>-D18</f>
        <v>-1822.5000000000002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6.1012728278915336E-3</v>
      </c>
      <c r="F19" s="21">
        <f t="shared" si="0"/>
        <v>0</v>
      </c>
      <c r="G19" s="21">
        <f>D19+J19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2.614831211953514E-3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4.3580520199225229E-4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2.6148312119535141E-4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6769.2857142857156</v>
      </c>
      <c r="D23" s="21">
        <f>F29*E7*I7*2</f>
        <v>4738.5000000000009</v>
      </c>
      <c r="E23" s="22">
        <f>D23/D27</f>
        <v>0.1835611510791367</v>
      </c>
      <c r="F23" s="25">
        <f t="shared" si="0"/>
        <v>110.89285714285688</v>
      </c>
      <c r="G23" s="26">
        <f t="shared" si="0"/>
        <v>77.625</v>
      </c>
      <c r="H23" s="22">
        <f>G23/G27</f>
        <v>2.9866210096798945E-3</v>
      </c>
      <c r="I23" s="21">
        <f>J23/D13*B23</f>
        <v>-6658.3928571428587</v>
      </c>
      <c r="J23" s="21">
        <f>J22*8+J21*6.5+J20*5+J19*3.5+J18*2</f>
        <v>-4660.8750000000009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77.625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4751.1160714285716</v>
      </c>
      <c r="G24" s="21">
        <f t="shared" si="0"/>
        <v>2418.75</v>
      </c>
      <c r="H24" s="22">
        <f>G24/G27</f>
        <v>9.3061379287127155E-2</v>
      </c>
      <c r="I24" s="21">
        <f>J24/D13*B24</f>
        <v>4751.1160714285716</v>
      </c>
      <c r="J24" s="21">
        <f>-J22*5+(-J21*4)+(-J20*3)+(-J19*2)+(-J18*1)</f>
        <v>2418.75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3.8738240177089094E-2</v>
      </c>
      <c r="F25" s="21">
        <f t="shared" si="0"/>
        <v>4406.9866071428578</v>
      </c>
      <c r="G25" s="21">
        <f t="shared" si="0"/>
        <v>5484.2500000000009</v>
      </c>
      <c r="H25" s="22">
        <f>G25/G27</f>
        <v>0.2110064576146469</v>
      </c>
      <c r="I25" s="21">
        <f>J25/D13*B25</f>
        <v>3603.4151785714294</v>
      </c>
      <c r="J25" s="21">
        <f>-J22*6+(-J21*5)+(-J20*4)+(-J19*3)+(-J18*2)</f>
        <v>4484.2500000000009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22512.857142857149</v>
      </c>
      <c r="D26" s="21">
        <f>D23*79/21+F29*(1-E7-E8-E9-E10-E11)</f>
        <v>18010.285714285717</v>
      </c>
      <c r="E26" s="28">
        <f>D26/D27</f>
        <v>0.69768677365799669</v>
      </c>
      <c r="F26" s="24">
        <f t="shared" si="0"/>
        <v>22512.857142857149</v>
      </c>
      <c r="G26" s="21">
        <f t="shared" si="0"/>
        <v>18010.285714285717</v>
      </c>
      <c r="H26" s="28">
        <f>G26/G27</f>
        <v>0.69294554208854608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18010.285714285717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31781.852678571435</v>
      </c>
      <c r="D27" s="25">
        <f t="shared" si="4"/>
        <v>25814.285714285717</v>
      </c>
      <c r="E27" s="30">
        <f t="shared" si="4"/>
        <v>1</v>
      </c>
      <c r="F27" s="26">
        <f t="shared" si="4"/>
        <v>31781.852678571435</v>
      </c>
      <c r="G27" s="25">
        <f t="shared" si="4"/>
        <v>25990.910714285717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5061805.7128906259</v>
      </c>
      <c r="G36" s="44">
        <f>(J22*C45/1+J21*C46/1+J20*C47/1+J19*C48/1+J18*C49/1)/22.4*(1000/3600)*1000</f>
        <v>23284068.359375004</v>
      </c>
      <c r="H36" s="45">
        <f>F36+G36</f>
        <v>28345874.072265629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30.118724418926398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30.812437713458898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3905.3571428571431</v>
      </c>
      <c r="D56" s="59">
        <f>G$52*L46+G18</f>
        <v>5467.5</v>
      </c>
      <c r="E56" s="40">
        <f>D56/D$67</f>
        <v>0.16699291133689773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-3905.3571428571431</v>
      </c>
      <c r="J56" s="59">
        <f t="shared" ref="J56:J61" si="6">SUM(K56:M56)</f>
        <v>-5467.5</v>
      </c>
      <c r="K56" s="59">
        <v>-3850.75</v>
      </c>
      <c r="L56" s="59">
        <f>-D56-K56</f>
        <v>-1616.75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1.4431486164917091E-2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>-D57</f>
        <v>-472.50000000000006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6.1849226421073237E-3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>-D58-M58</f>
        <v>-184.5</v>
      </c>
      <c r="L58" s="59">
        <v>0</v>
      </c>
      <c r="M58" s="59">
        <f>-27/1.5</f>
        <v>-18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1.0308204403512205E-3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f>-D59</f>
        <v>-33.75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6.1849226421073239E-4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v>0</v>
      </c>
      <c r="L60" s="59">
        <v>0</v>
      </c>
      <c r="M60" s="59">
        <f>-D60</f>
        <v>-20.25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77.625</v>
      </c>
      <c r="D61" s="59">
        <f>G23</f>
        <v>77.625</v>
      </c>
      <c r="E61" s="22">
        <f t="shared" si="8"/>
        <v>2.3708870128078072E-3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-110.89285714285715</v>
      </c>
      <c r="J61" s="59">
        <f t="shared" si="6"/>
        <v>-77.625</v>
      </c>
      <c r="K61" s="59">
        <v>0</v>
      </c>
      <c r="L61" s="59">
        <v>0</v>
      </c>
      <c r="M61" s="59">
        <f>M60*2.5+M59*2+M58*1.5+M57*1+M56*0.5</f>
        <v>-77.625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4751.1160714285716</v>
      </c>
      <c r="D62" s="59">
        <f t="shared" ref="D62:D63" si="12">G24</f>
        <v>2418.75</v>
      </c>
      <c r="E62" s="40">
        <f t="shared" si="8"/>
        <v>7.3875464891837481E-2</v>
      </c>
      <c r="F62" s="21">
        <f t="shared" si="9"/>
        <v>1575.3571428571429</v>
      </c>
      <c r="G62" s="21">
        <f t="shared" si="5"/>
        <v>802</v>
      </c>
      <c r="H62" s="40">
        <f t="shared" si="10"/>
        <v>1.7000246797312785E-2</v>
      </c>
      <c r="I62" s="59">
        <f t="shared" si="11"/>
        <v>-3175.7589285714289</v>
      </c>
      <c r="J62" s="59">
        <f>SUM(K62:M62)</f>
        <v>-1616.75</v>
      </c>
      <c r="K62" s="59">
        <v>0</v>
      </c>
      <c r="L62" s="59">
        <f>L60*5+L59*4+L58*3+L57*2+L56</f>
        <v>-1616.75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4406.9866071428578</v>
      </c>
      <c r="D63" s="59">
        <f t="shared" si="12"/>
        <v>5484.2500000000009</v>
      </c>
      <c r="E63" s="40">
        <f t="shared" si="8"/>
        <v>0.1675045037035906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-4406.9866071428578</v>
      </c>
      <c r="J63" s="59">
        <f t="shared" ref="J63:J66" si="13">SUM(K63:M63)</f>
        <v>-5484.25</v>
      </c>
      <c r="K63" s="59">
        <f>K60*5+K59*4+K58*3+K57*2+K56</f>
        <v>-5484.25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11091.25</v>
      </c>
      <c r="G64" s="21">
        <f t="shared" si="5"/>
        <v>8873</v>
      </c>
      <c r="H64" s="40">
        <f t="shared" si="10"/>
        <v>0.18808377784608021</v>
      </c>
      <c r="I64" s="59">
        <f t="shared" si="11"/>
        <v>11091.25</v>
      </c>
      <c r="J64" s="59">
        <f t="shared" si="13"/>
        <v>8873</v>
      </c>
      <c r="K64" s="59">
        <f>-K63</f>
        <v>5484.25</v>
      </c>
      <c r="L64" s="59">
        <f>-2*L62</f>
        <v>3233.5</v>
      </c>
      <c r="M64" s="59">
        <f>-M60*5-M59*4-M58*3-M57*2-M56</f>
        <v>155.25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0.40141355810562618</v>
      </c>
      <c r="I65" s="59">
        <f t="shared" si="11"/>
        <v>1690.8035714285716</v>
      </c>
      <c r="J65" s="59">
        <f t="shared" si="13"/>
        <v>18937</v>
      </c>
      <c r="K65" s="59">
        <f>-K60*11-K59*9-K58*7-K57*5-K56*3</f>
        <v>15510</v>
      </c>
      <c r="L65" s="59">
        <f>-L60*6-L59*5-L58*4-L57*3-L56*2</f>
        <v>3233.5</v>
      </c>
      <c r="M65" s="59">
        <f>-M60*6-M59*5-M58*4-M57*3-M56*2</f>
        <v>193.5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23204.732142857149</v>
      </c>
      <c r="D66" s="59">
        <f>G52*L51+G26</f>
        <v>18563.785714285717</v>
      </c>
      <c r="E66" s="40">
        <f t="shared" si="8"/>
        <v>0.56699051154328006</v>
      </c>
      <c r="F66" s="21">
        <f t="shared" si="9"/>
        <v>23204.732142857149</v>
      </c>
      <c r="G66" s="21">
        <f t="shared" si="5"/>
        <v>18563.785714285717</v>
      </c>
      <c r="H66" s="40">
        <f t="shared" si="10"/>
        <v>0.39350241725098078</v>
      </c>
      <c r="I66" s="59">
        <f t="shared" si="11"/>
        <v>0</v>
      </c>
      <c r="J66" s="59">
        <f t="shared" si="13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4">SUM(C56:C66)</f>
        <v>37528.875000000007</v>
      </c>
      <c r="D67" s="59">
        <f t="shared" si="14"/>
        <v>32740.910714285717</v>
      </c>
      <c r="E67" s="22">
        <f t="shared" si="14"/>
        <v>1</v>
      </c>
      <c r="F67" s="63">
        <f t="shared" si="14"/>
        <v>37562.142857142862</v>
      </c>
      <c r="G67" s="21">
        <f t="shared" si="14"/>
        <v>47175.785714285717</v>
      </c>
      <c r="H67" s="22">
        <f t="shared" si="14"/>
        <v>1</v>
      </c>
      <c r="I67" s="59">
        <f>SUM(I56:I66)</f>
        <v>-9.0949470177292824E-13</v>
      </c>
      <c r="J67" s="59">
        <f>SUM(J56:J66)</f>
        <v>14434.875</v>
      </c>
      <c r="K67" s="59">
        <f>SUM(K56:K66)</f>
        <v>10968.5</v>
      </c>
      <c r="L67" s="59">
        <f>SUM(L56:L66)</f>
        <v>3233.5</v>
      </c>
      <c r="M67" s="59">
        <f>SUM(M56:M66)</f>
        <v>232.875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2.134227431533867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6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5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4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3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103" t="s">
        <v>95</v>
      </c>
      <c r="C74" s="5"/>
      <c r="D74" s="15"/>
      <c r="E74" s="3" t="s">
        <v>98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7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67" t="s">
        <v>104</v>
      </c>
      <c r="C84" s="103"/>
      <c r="D84" s="15">
        <v>2</v>
      </c>
      <c r="E84" s="3" t="s">
        <v>91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67" t="s">
        <v>106</v>
      </c>
      <c r="C86" s="103"/>
      <c r="D86" s="15">
        <v>1</v>
      </c>
      <c r="E86" s="3" t="s">
        <v>91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28345874.072265629</v>
      </c>
      <c r="I91" s="76">
        <f>E6*(1-I6)/I54*N50*20*1000/3600</f>
        <v>63682.55022321429</v>
      </c>
      <c r="J91" s="76">
        <f>(K60/I54*C108+K59/I54*C107+K58/I54*C106+K57/I54*C105+K56/I54*C104)*1000/3600*1000</f>
        <v>-13274343.222966272</v>
      </c>
      <c r="K91" s="76">
        <f>(L56/I54*C109+L57/I54*C110+L58/I54*C111+L59/I54*C112+L60/I54*C113)*1000/3600*1000</f>
        <v>-4953101.2834821418</v>
      </c>
      <c r="L91" s="111">
        <f>(M56/I54*C114+M57/I54*C115+M58/I54*C116+M59/I54*C117+M60/I54*C118)*1000/3600*1000</f>
        <v>305721.54017857142</v>
      </c>
      <c r="M91" s="21">
        <f>H91+I91+J91+K91+L91</f>
        <v>10487833.656218998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10" t="s">
        <v>95</v>
      </c>
      <c r="F94" s="8"/>
      <c r="G94" s="8"/>
      <c r="H94" s="78" t="s">
        <v>115</v>
      </c>
      <c r="I94" s="79">
        <f>M91/(G67/D13*1000/3600*B103)</f>
        <v>615.05330924947134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32.302441713648989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29.147707858601795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09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67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F220-EA24-40AE-95F5-9A517277F7A9}">
  <sheetPr>
    <tabColor rgb="FF00B050"/>
  </sheetPr>
  <dimension ref="A1:S1000"/>
  <sheetViews>
    <sheetView topLeftCell="A42" workbookViewId="0">
      <selection activeCell="H101" sqref="H101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1.35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6.830410922232634E-2</v>
      </c>
      <c r="F18" s="21">
        <f t="shared" ref="F18:G26" si="0">C18+I18</f>
        <v>0</v>
      </c>
      <c r="G18" s="21">
        <f>D18+J18</f>
        <v>0</v>
      </c>
      <c r="H18" s="22">
        <f>G18/G27</f>
        <v>0</v>
      </c>
      <c r="I18" s="21">
        <f>J18/D13*B18</f>
        <v>-1301.7857142857144</v>
      </c>
      <c r="J18" s="21">
        <f>-D18</f>
        <v>-1822.5000000000002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5.9028242537812886E-3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2.5297818230491233E-3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4.2163030384152051E-4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2.5297818230491233E-4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7029.6428571428587</v>
      </c>
      <c r="D23" s="21">
        <f>F29*E7*I7*2</f>
        <v>4920.7500000000009</v>
      </c>
      <c r="E23" s="22">
        <f>D23/D27</f>
        <v>0.18442109490028111</v>
      </c>
      <c r="F23" s="25">
        <f t="shared" si="0"/>
        <v>371.25</v>
      </c>
      <c r="G23" s="26">
        <f t="shared" si="0"/>
        <v>259.875</v>
      </c>
      <c r="H23" s="22">
        <f>G23/G27</f>
        <v>9.6756113825559754E-3</v>
      </c>
      <c r="I23" s="21">
        <f>J23/D13*B23</f>
        <v>-6658.3928571428587</v>
      </c>
      <c r="J23" s="21">
        <f>J22*8+J21*6.5+J20*5+J19*3.5+J18*2</f>
        <v>-4660.8750000000009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259.875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4751.1160714285716</v>
      </c>
      <c r="G24" s="21">
        <f t="shared" si="0"/>
        <v>2418.75</v>
      </c>
      <c r="H24" s="22">
        <f>G24/G27</f>
        <v>9.0054391655824018E-2</v>
      </c>
      <c r="I24" s="21">
        <f>J24/D13*B24</f>
        <v>4751.1160714285716</v>
      </c>
      <c r="J24" s="21">
        <f>-J22*5+(-J21*4)+(-J20*3)+(-J19*2)+(-J18*1)</f>
        <v>2418.75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3.7478249230357377E-2</v>
      </c>
      <c r="F25" s="21">
        <f t="shared" si="0"/>
        <v>4406.9866071428578</v>
      </c>
      <c r="G25" s="21">
        <f t="shared" si="0"/>
        <v>5484.2500000000009</v>
      </c>
      <c r="H25" s="22">
        <f>G25/G27</f>
        <v>0.2041884433854069</v>
      </c>
      <c r="I25" s="21">
        <f>J25/D13*B25</f>
        <v>3603.4151785714294</v>
      </c>
      <c r="J25" s="21">
        <f>-J22*6+(-J21*5)+(-J20*4)+(-J19*3)+(-J18*2)</f>
        <v>4484.2500000000009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23369.866071428572</v>
      </c>
      <c r="D26" s="21">
        <f>D23*79/21+F29*(1-E7-E8-E9-E10-E11)</f>
        <v>18695.892857142859</v>
      </c>
      <c r="E26" s="28">
        <f>D26/D27</f>
        <v>0.70068933208405837</v>
      </c>
      <c r="F26" s="24">
        <f t="shared" si="0"/>
        <v>23369.866071428572</v>
      </c>
      <c r="G26" s="21">
        <f t="shared" si="0"/>
        <v>18695.892857142859</v>
      </c>
      <c r="H26" s="28">
        <f>G26/G27</f>
        <v>0.69608155357621315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18695.892857142859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32899.21875</v>
      </c>
      <c r="D27" s="25">
        <f t="shared" si="4"/>
        <v>26682.142857142859</v>
      </c>
      <c r="E27" s="30">
        <f t="shared" si="4"/>
        <v>1</v>
      </c>
      <c r="F27" s="26">
        <f t="shared" si="4"/>
        <v>32899.21875</v>
      </c>
      <c r="G27" s="25">
        <f t="shared" si="4"/>
        <v>26858.767857142859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5226645.4589843759</v>
      </c>
      <c r="G36" s="44">
        <f>(J22*C45/1+J21*C46/1+J20*C47/1+J19*C48/1+J18*C49/1)/22.4*(1000/3600)*1000</f>
        <v>23284068.359375004</v>
      </c>
      <c r="H36" s="45">
        <f>F36+G36</f>
        <v>28510713.818359379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30.088016048721727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30.759516106405798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3905.3571428571431</v>
      </c>
      <c r="D56" s="59">
        <f>G$52*L46+G18</f>
        <v>5467.5</v>
      </c>
      <c r="E56" s="40">
        <f>D56/D$67</f>
        <v>0.16268076304493248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-3905.3571428571431</v>
      </c>
      <c r="J56" s="59">
        <f t="shared" ref="J56:J61" si="6">SUM(K56:M56)</f>
        <v>-5467.5</v>
      </c>
      <c r="K56" s="59">
        <v>-4215.25</v>
      </c>
      <c r="L56" s="59">
        <f>-D56-K56</f>
        <v>-1252.25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1.4058831374253426E-2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>-D57-M57</f>
        <v>-472.50000000000006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6.0252134461086107E-3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>-D58-M58</f>
        <v>-63</v>
      </c>
      <c r="L58" s="59">
        <v>0</v>
      </c>
      <c r="M58" s="59">
        <f>-209.25/1.5</f>
        <v>-139.5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1.0042022410181018E-3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f>-D59</f>
        <v>-33.75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6.0252134461086107E-4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v>0</v>
      </c>
      <c r="L60" s="59">
        <v>0</v>
      </c>
      <c r="M60" s="59">
        <f>-D60</f>
        <v>-20.25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259.875</v>
      </c>
      <c r="D61" s="59">
        <f>G23</f>
        <v>259.875</v>
      </c>
      <c r="E61" s="22">
        <f t="shared" si="8"/>
        <v>7.7323572558393831E-3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-371.25</v>
      </c>
      <c r="J61" s="59">
        <f t="shared" si="6"/>
        <v>-259.875</v>
      </c>
      <c r="K61" s="59">
        <v>0</v>
      </c>
      <c r="L61" s="59">
        <v>0</v>
      </c>
      <c r="M61" s="59">
        <f>M60*2.5+M59*2+M58*1.5+M57*1+M56*0.5</f>
        <v>-259.875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4751.1160714285716</v>
      </c>
      <c r="D62" s="59">
        <f t="shared" ref="D62:D63" si="12">G24</f>
        <v>2418.75</v>
      </c>
      <c r="E62" s="40">
        <f t="shared" si="8"/>
        <v>7.1967827272963955E-2</v>
      </c>
      <c r="F62" s="21">
        <f t="shared" si="9"/>
        <v>2291.3392857142858</v>
      </c>
      <c r="G62" s="21">
        <f t="shared" si="5"/>
        <v>1166.5</v>
      </c>
      <c r="H62" s="40">
        <f t="shared" si="10"/>
        <v>2.4372462445499243E-2</v>
      </c>
      <c r="I62" s="59">
        <f t="shared" si="11"/>
        <v>-2459.7767857142858</v>
      </c>
      <c r="J62" s="59">
        <f>SUM(K62:M62)</f>
        <v>-1252.25</v>
      </c>
      <c r="K62" s="59">
        <v>0</v>
      </c>
      <c r="L62" s="59">
        <f>L60*5+L59*4+L58*3+L57*2+L56</f>
        <v>-1252.25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4406.9866071428578</v>
      </c>
      <c r="D63" s="59">
        <f t="shared" si="12"/>
        <v>5484.2500000000009</v>
      </c>
      <c r="E63" s="40">
        <f t="shared" si="8"/>
        <v>0.16317914489788224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-4406.9866071428578</v>
      </c>
      <c r="J63" s="59">
        <f t="shared" ref="J63:J66" si="13">SUM(K63:M63)</f>
        <v>-5484.25</v>
      </c>
      <c r="K63" s="59">
        <f>K60*5+K59*4+K58*3+K57*2+K56</f>
        <v>-5484.25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10635.625</v>
      </c>
      <c r="G64" s="21">
        <f t="shared" si="5"/>
        <v>8508.5</v>
      </c>
      <c r="H64" s="40">
        <f t="shared" si="10"/>
        <v>0.17777376486714985</v>
      </c>
      <c r="I64" s="59">
        <f t="shared" si="11"/>
        <v>10635.625</v>
      </c>
      <c r="J64" s="59">
        <f t="shared" si="13"/>
        <v>8508.5</v>
      </c>
      <c r="K64" s="59">
        <f>-K63</f>
        <v>5484.25</v>
      </c>
      <c r="L64" s="59">
        <f>-2*L62</f>
        <v>2504.5</v>
      </c>
      <c r="M64" s="59">
        <f>-M60*5-M59*4-M58*3-M57*2-M56</f>
        <v>519.75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0.39566337019324405</v>
      </c>
      <c r="I65" s="59">
        <f t="shared" si="11"/>
        <v>1690.8035714285716</v>
      </c>
      <c r="J65" s="59">
        <f t="shared" si="13"/>
        <v>18937</v>
      </c>
      <c r="K65" s="59">
        <f>-K60*11-K59*9-K58*7-K57*5-K56*3</f>
        <v>15753</v>
      </c>
      <c r="L65" s="59">
        <f>-L60*6-L59*5-L58*4-L57*3-L56*2</f>
        <v>2504.5</v>
      </c>
      <c r="M65" s="59">
        <f>-M60*6-M59*5-M58*4-M57*3-M56*2</f>
        <v>679.5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24061.741071428572</v>
      </c>
      <c r="D66" s="59">
        <f>G52*L51+G26</f>
        <v>19249.392857142859</v>
      </c>
      <c r="E66" s="40">
        <f t="shared" si="8"/>
        <v>0.57274913912239112</v>
      </c>
      <c r="F66" s="21">
        <f t="shared" si="9"/>
        <v>24061.741071428572</v>
      </c>
      <c r="G66" s="21">
        <f t="shared" si="5"/>
        <v>19249.392857142859</v>
      </c>
      <c r="H66" s="40">
        <f t="shared" si="10"/>
        <v>0.40219040249410692</v>
      </c>
      <c r="I66" s="59">
        <f t="shared" si="11"/>
        <v>0</v>
      </c>
      <c r="J66" s="59">
        <f t="shared" si="13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4">SUM(C56:C66)</f>
        <v>38568.133928571435</v>
      </c>
      <c r="D67" s="59">
        <f t="shared" si="14"/>
        <v>33608.767857142855</v>
      </c>
      <c r="E67" s="22">
        <f t="shared" si="14"/>
        <v>1.0000000000000002</v>
      </c>
      <c r="F67" s="63">
        <f t="shared" si="14"/>
        <v>38679.508928571435</v>
      </c>
      <c r="G67" s="21">
        <f t="shared" si="14"/>
        <v>47861.392857142855</v>
      </c>
      <c r="H67" s="22">
        <f t="shared" si="14"/>
        <v>1</v>
      </c>
      <c r="I67" s="59">
        <f>SUM(I56:I66)</f>
        <v>-9.0949470177292824E-13</v>
      </c>
      <c r="J67" s="59">
        <f>SUM(J56:J66)</f>
        <v>14252.625</v>
      </c>
      <c r="K67" s="59">
        <f>SUM(K56:K66)</f>
        <v>10968.5</v>
      </c>
      <c r="L67" s="59">
        <f>SUM(L56:L66)</f>
        <v>2504.5</v>
      </c>
      <c r="M67" s="59">
        <f>SUM(M56:M66)</f>
        <v>779.625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2.2256566962449313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6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5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4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3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103" t="s">
        <v>95</v>
      </c>
      <c r="C74" s="5"/>
      <c r="D74" s="15"/>
      <c r="E74" s="3" t="s">
        <v>98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7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67" t="s">
        <v>104</v>
      </c>
      <c r="C84" s="103"/>
      <c r="D84" s="15">
        <v>2</v>
      </c>
      <c r="E84" s="3" t="s">
        <v>91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67" t="s">
        <v>106</v>
      </c>
      <c r="C86" s="103"/>
      <c r="D86" s="15">
        <v>1</v>
      </c>
      <c r="E86" s="3" t="s">
        <v>91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28510713.818359379</v>
      </c>
      <c r="I91" s="76">
        <f>E6*(1-I6)/I54*N50*20*1000/3600</f>
        <v>63682.55022321429</v>
      </c>
      <c r="J91" s="76">
        <f>(K60/I54*C108+K59/I54*C107+K58/I54*C106+K57/I54*C105+K56/I54*C104)*1000/3600*1000</f>
        <v>-13455071.459573414</v>
      </c>
      <c r="K91" s="76">
        <f>(L56/I54*C109+L57/I54*C110+L58/I54*C111+L59/I54*C112+L60/I54*C113)*1000/3600*1000</f>
        <v>-3836413.2254464291</v>
      </c>
      <c r="L91" s="111">
        <f>(M56/I54*C114+M57/I54*C115+M58/I54*C116+M59/I54*C117+M60/I54*C118)*1000/3600*1000</f>
        <v>991991.62946428591</v>
      </c>
      <c r="M91" s="21">
        <f>H91+I91+J91+K91+L91</f>
        <v>12274903.313027034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10" t="s">
        <v>95</v>
      </c>
      <c r="F94" s="8"/>
      <c r="G94" s="8"/>
      <c r="H94" s="78" t="s">
        <v>115</v>
      </c>
      <c r="I94" s="79">
        <f>M91/(G67/D13*1000/3600*B103)</f>
        <v>708.07281962033028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32.221673511004525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29.208236880456141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09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67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C90A-9102-4E1F-95B0-DC456BB04C94}">
  <sheetPr>
    <tabColor rgb="FF00B050"/>
  </sheetPr>
  <dimension ref="A1:S1000"/>
  <sheetViews>
    <sheetView tabSelected="1" topLeftCell="A73" workbookViewId="0">
      <selection activeCell="H79" sqref="H79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1.4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6.6152450090744108E-2</v>
      </c>
      <c r="F18" s="21">
        <f t="shared" ref="F18:G26" si="0">C18+I18</f>
        <v>0</v>
      </c>
      <c r="G18" s="21">
        <f>D18+J18</f>
        <v>0</v>
      </c>
      <c r="H18" s="22">
        <f>G18/G27</f>
        <v>0</v>
      </c>
      <c r="I18" s="21">
        <f>J18/D13*B18</f>
        <v>-1301.7857142857144</v>
      </c>
      <c r="J18" s="21">
        <f>-D18</f>
        <v>-1822.5000000000002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5.7168784029038126E-3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2.4500907441016334E-3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4.0834845735027224E-4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2.4500907441016333E-4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7290.0000000000009</v>
      </c>
      <c r="D23" s="21">
        <f>F29*E7*I7*2</f>
        <v>5103</v>
      </c>
      <c r="E23" s="22">
        <f>D23/D27</f>
        <v>0.1852268602540835</v>
      </c>
      <c r="F23" s="25">
        <f t="shared" si="0"/>
        <v>631.60714285714221</v>
      </c>
      <c r="G23" s="26">
        <f t="shared" si="0"/>
        <v>442.12499999999909</v>
      </c>
      <c r="H23" s="22">
        <f>G23/G27</f>
        <v>1.5945864309125223E-2</v>
      </c>
      <c r="I23" s="21">
        <f>J23/D13*B23</f>
        <v>-6658.3928571428587</v>
      </c>
      <c r="J23" s="21">
        <f>J22*8+J21*6.5+J20*5+J19*3.5+J18*2</f>
        <v>-4660.8750000000009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442.12499999999909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4751.1160714285716</v>
      </c>
      <c r="G24" s="21">
        <f t="shared" si="0"/>
        <v>2418.75</v>
      </c>
      <c r="H24" s="22">
        <f>G24/G27</f>
        <v>8.7235644439234858E-2</v>
      </c>
      <c r="I24" s="21">
        <f>J24/D13*B24</f>
        <v>4751.1160714285716</v>
      </c>
      <c r="J24" s="21">
        <f>-J22*5+(-J21*4)+(-J20*3)+(-J19*2)+(-J18*1)</f>
        <v>2418.75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3.6297640653357534E-2</v>
      </c>
      <c r="F25" s="21">
        <f t="shared" si="0"/>
        <v>4406.9866071428578</v>
      </c>
      <c r="G25" s="21">
        <f t="shared" si="0"/>
        <v>5484.2500000000009</v>
      </c>
      <c r="H25" s="22">
        <f>G25/G27</f>
        <v>0.19779724362413387</v>
      </c>
      <c r="I25" s="21">
        <f>J25/D13*B25</f>
        <v>3603.4151785714294</v>
      </c>
      <c r="J25" s="21">
        <f>-J22*6+(-J21*5)+(-J20*4)+(-J19*3)+(-J18*2)</f>
        <v>4484.2500000000009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24226.875</v>
      </c>
      <c r="D26" s="21">
        <f>D23*79/21+F29*(1-E7-E8-E9-E10-E11)</f>
        <v>19381.5</v>
      </c>
      <c r="E26" s="28">
        <f>D26/D27</f>
        <v>0.703502722323049</v>
      </c>
      <c r="F26" s="24">
        <f t="shared" si="0"/>
        <v>24226.875</v>
      </c>
      <c r="G26" s="21">
        <f t="shared" si="0"/>
        <v>19381.5</v>
      </c>
      <c r="H26" s="28">
        <f>G26/G27</f>
        <v>0.69902124762750606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19381.5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34016.584821428572</v>
      </c>
      <c r="D27" s="25">
        <f t="shared" si="4"/>
        <v>27550</v>
      </c>
      <c r="E27" s="30">
        <f t="shared" si="4"/>
        <v>1</v>
      </c>
      <c r="F27" s="26">
        <f t="shared" si="4"/>
        <v>34016.584821428572</v>
      </c>
      <c r="G27" s="25">
        <f t="shared" si="4"/>
        <v>27726.625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5391485.2050781259</v>
      </c>
      <c r="G36" s="44">
        <f>(J22*C45/1+J21*C46/1+J20*C47/1+J19*C48/1+J18*C49/1)/22.4*(1000/3600)*1000</f>
        <v>23284068.359375004</v>
      </c>
      <c r="H36" s="45">
        <f>F36+G36</f>
        <v>28675553.564453129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30.059242377495465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30.709907444559157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3905.3571428571431</v>
      </c>
      <c r="D56" s="59">
        <f>G$52*L46+G18</f>
        <v>5467.5</v>
      </c>
      <c r="E56" s="40">
        <f>D56/D$67</f>
        <v>0.1585857084328875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-3905.3571428571431</v>
      </c>
      <c r="J56" s="59">
        <f t="shared" ref="J56:J61" si="6">SUM(K56:M56)</f>
        <v>-5467.5</v>
      </c>
      <c r="K56" s="59">
        <v>-4579.75</v>
      </c>
      <c r="L56" s="59">
        <f>-D56-K56</f>
        <v>-887.75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1.3704937765805095E-2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>-D57-M57</f>
        <v>-452.25000000000097</v>
      </c>
      <c r="L57" s="59">
        <v>0</v>
      </c>
      <c r="M57" s="102">
        <v>-20.249999999999101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5.8735447567736113E-3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>-D58-M58</f>
        <v>0</v>
      </c>
      <c r="L58" s="59">
        <v>0</v>
      </c>
      <c r="M58" s="59">
        <f>-D58</f>
        <v>-202.5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9.7892412612893514E-4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v>0</v>
      </c>
      <c r="L59" s="59">
        <v>0</v>
      </c>
      <c r="M59" s="59">
        <f>-D59</f>
        <v>-33.75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5.8735447567736111E-4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v>0</v>
      </c>
      <c r="L60" s="59">
        <v>0</v>
      </c>
      <c r="M60" s="59">
        <f>-D60</f>
        <v>-20.25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442.12499999999909</v>
      </c>
      <c r="D61" s="59">
        <f>G23</f>
        <v>442.12499999999909</v>
      </c>
      <c r="E61" s="22">
        <f t="shared" si="8"/>
        <v>1.2823906052289025E-2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-631.60714285714164</v>
      </c>
      <c r="J61" s="59">
        <f t="shared" si="6"/>
        <v>-442.12499999999909</v>
      </c>
      <c r="K61" s="59">
        <v>0</v>
      </c>
      <c r="L61" s="59">
        <v>0</v>
      </c>
      <c r="M61" s="59">
        <f>M60*2.5+M59*2+M58*1.5+M57*1+M56*0.5</f>
        <v>-442.12499999999909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4751.1160714285716</v>
      </c>
      <c r="D62" s="59">
        <f t="shared" ref="D62:D63" si="12">G24</f>
        <v>2418.75</v>
      </c>
      <c r="E62" s="40">
        <f t="shared" si="8"/>
        <v>7.0156229039240361E-2</v>
      </c>
      <c r="F62" s="21">
        <f t="shared" si="9"/>
        <v>3007.3214285714289</v>
      </c>
      <c r="G62" s="21">
        <f t="shared" si="5"/>
        <v>1531</v>
      </c>
      <c r="H62" s="40">
        <f t="shared" si="10"/>
        <v>3.1536449214163591E-2</v>
      </c>
      <c r="I62" s="59">
        <f t="shared" si="11"/>
        <v>-1743.7946428571429</v>
      </c>
      <c r="J62" s="59">
        <f>SUM(K62:M62)</f>
        <v>-887.75</v>
      </c>
      <c r="K62" s="59">
        <v>0</v>
      </c>
      <c r="L62" s="59">
        <f>L60*5+L59*4+L58*3+L57*2+L56</f>
        <v>-887.75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4406.9866071428578</v>
      </c>
      <c r="D63" s="59">
        <f t="shared" si="12"/>
        <v>5484.2500000000009</v>
      </c>
      <c r="E63" s="40">
        <f t="shared" si="8"/>
        <v>0.15907154485104041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-4406.9866071428587</v>
      </c>
      <c r="J63" s="59">
        <f t="shared" ref="J63:J66" si="13">SUM(K63:M63)</f>
        <v>-5484.2500000000018</v>
      </c>
      <c r="K63" s="59">
        <f>K60*5+K59*4+K58*3+K57*2+K56</f>
        <v>-5484.2500000000018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10180.000000000002</v>
      </c>
      <c r="G64" s="21">
        <f t="shared" si="5"/>
        <v>8144</v>
      </c>
      <c r="H64" s="40">
        <f t="shared" si="10"/>
        <v>0.16775495911178859</v>
      </c>
      <c r="I64" s="59">
        <f t="shared" si="11"/>
        <v>10180.000000000002</v>
      </c>
      <c r="J64" s="59">
        <f t="shared" si="13"/>
        <v>8144</v>
      </c>
      <c r="K64" s="59">
        <f>-K63</f>
        <v>5484.2500000000018</v>
      </c>
      <c r="L64" s="59">
        <f>-2*L62</f>
        <v>1775.5</v>
      </c>
      <c r="M64" s="59">
        <f>-M60*5-M59*4-M58*3-M57*2-M56</f>
        <v>884.24999999999818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1690.8035714285718</v>
      </c>
      <c r="G65" s="21">
        <f t="shared" si="5"/>
        <v>18937.000000000004</v>
      </c>
      <c r="H65" s="40">
        <f t="shared" si="10"/>
        <v>0.39007559684429527</v>
      </c>
      <c r="I65" s="59">
        <f t="shared" si="11"/>
        <v>1690.8035714285718</v>
      </c>
      <c r="J65" s="59">
        <f t="shared" si="13"/>
        <v>18937.000000000004</v>
      </c>
      <c r="K65" s="59">
        <f>-K60*11-K59*9-K58*7-K57*5-K56*3</f>
        <v>16000.500000000005</v>
      </c>
      <c r="L65" s="59">
        <f>-L60*6-L59*5-L58*4-L57*3-L56*2</f>
        <v>1775.5</v>
      </c>
      <c r="M65" s="59">
        <f>-M60*6-M59*5-M58*4-M57*3-M56*2</f>
        <v>1160.9999999999973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24918.750000000004</v>
      </c>
      <c r="D66" s="59">
        <f>G52*L51+G26</f>
        <v>19935</v>
      </c>
      <c r="E66" s="40">
        <f t="shared" si="8"/>
        <v>0.57821785050015773</v>
      </c>
      <c r="F66" s="21">
        <f t="shared" si="9"/>
        <v>24918.750000000004</v>
      </c>
      <c r="G66" s="21">
        <f t="shared" si="5"/>
        <v>19935</v>
      </c>
      <c r="H66" s="40">
        <f t="shared" si="10"/>
        <v>0.41063299482975263</v>
      </c>
      <c r="I66" s="59">
        <f t="shared" si="11"/>
        <v>0</v>
      </c>
      <c r="J66" s="59">
        <f t="shared" si="13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4">SUM(C56:C66)</f>
        <v>39607.392857142862</v>
      </c>
      <c r="D67" s="59">
        <f t="shared" si="14"/>
        <v>34476.625</v>
      </c>
      <c r="E67" s="22">
        <f t="shared" si="14"/>
        <v>1</v>
      </c>
      <c r="F67" s="63">
        <f t="shared" si="14"/>
        <v>39796.875000000007</v>
      </c>
      <c r="G67" s="21">
        <f t="shared" si="14"/>
        <v>48547</v>
      </c>
      <c r="H67" s="22">
        <f t="shared" si="14"/>
        <v>1</v>
      </c>
      <c r="I67" s="59">
        <f>SUM(I56:I66)</f>
        <v>1.1368683772161603E-12</v>
      </c>
      <c r="J67" s="59">
        <f>SUM(J56:J66)</f>
        <v>14070.375000000004</v>
      </c>
      <c r="K67" s="59">
        <f>SUM(K56:K66)</f>
        <v>10968.500000000004</v>
      </c>
      <c r="L67" s="59">
        <f>SUM(L56:L66)</f>
        <v>1775.5</v>
      </c>
      <c r="M67" s="59">
        <f>SUM(M56:M66)</f>
        <v>1326.3749999999973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2.3252701375245586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6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5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103" t="s">
        <v>93</v>
      </c>
      <c r="C72" s="5"/>
      <c r="D72" s="15"/>
      <c r="E72" s="3" t="s">
        <v>98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103" t="s">
        <v>94</v>
      </c>
      <c r="C73" s="5"/>
      <c r="D73" s="15"/>
      <c r="E73" s="3" t="s">
        <v>98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103" t="s">
        <v>95</v>
      </c>
      <c r="C74" s="5"/>
      <c r="D74" s="15"/>
      <c r="E74" s="3" t="s">
        <v>98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7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67" t="s">
        <v>103</v>
      </c>
      <c r="C83" s="103"/>
      <c r="D83" s="15">
        <v>4</v>
      </c>
      <c r="E83" s="3" t="s">
        <v>91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67" t="s">
        <v>104</v>
      </c>
      <c r="C84" s="103"/>
      <c r="D84" s="15">
        <v>2</v>
      </c>
      <c r="E84" s="3" t="s">
        <v>91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67" t="s">
        <v>105</v>
      </c>
      <c r="C85" s="103"/>
      <c r="D85" s="15">
        <v>3</v>
      </c>
      <c r="E85" s="3" t="s">
        <v>91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67" t="s">
        <v>106</v>
      </c>
      <c r="C86" s="103"/>
      <c r="D86" s="15">
        <v>1</v>
      </c>
      <c r="E86" s="3" t="s">
        <v>91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28675553.564453129</v>
      </c>
      <c r="I91" s="76">
        <f>E6*(1-I6)/I54*N50*20*1000/3600</f>
        <v>63682.55022321429</v>
      </c>
      <c r="J91" s="76">
        <f>(K60/I54*C108+K59/I54*C107+K58/I54*C106+K57/I54*C105+K56/I54*C104)*1000/3600*1000</f>
        <v>-13637405.44394842</v>
      </c>
      <c r="K91" s="76">
        <f>(L56/I54*C109+L57/I54*C110+L58/I54*C111+L59/I54*C112+L60/I54*C113)*1000/3600*1000</f>
        <v>-2719725.1674107141</v>
      </c>
      <c r="L91" s="111">
        <f>(M56/I54*C114+M57/I54*C115+M58/I54*C116+M59/I54*C117+M60/I54*C118)*1000/3600*1000</f>
        <v>1514654.2968749988</v>
      </c>
      <c r="M91" s="21">
        <f>H91+I91+J91+K91+L91</f>
        <v>13896759.800192205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10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10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10" t="s">
        <v>95</v>
      </c>
      <c r="F94" s="8"/>
      <c r="G94" s="8"/>
      <c r="H94" s="78" t="s">
        <v>115</v>
      </c>
      <c r="I94" s="79">
        <f>M91/(G67/D13*1000/3600*B103)</f>
        <v>788.71959435329961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10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10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32.144971556815676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29.267056254763428</v>
      </c>
      <c r="C103" s="84"/>
      <c r="D103" s="74">
        <v>32</v>
      </c>
      <c r="E103" s="109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09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09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67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E42B-3DD3-4263-BF21-FF862D9FFD40}">
  <sheetPr>
    <tabColor rgb="FF00B050"/>
  </sheetPr>
  <dimension ref="A1:S1000"/>
  <sheetViews>
    <sheetView topLeftCell="A41" workbookViewId="0">
      <selection activeCell="J78" sqref="J78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0.25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1.45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1301.7857142857144</v>
      </c>
      <c r="D18" s="21">
        <f>F29*E7</f>
        <v>1822.5000000000002</v>
      </c>
      <c r="E18" s="22">
        <f>D18/D27</f>
        <v>6.4132210632147801E-2</v>
      </c>
      <c r="F18" s="21">
        <f t="shared" ref="F18:G26" si="0">C18+I18</f>
        <v>0</v>
      </c>
      <c r="G18" s="21">
        <f>D18+J18</f>
        <v>0</v>
      </c>
      <c r="H18" s="22">
        <f>G18/G27</f>
        <v>0</v>
      </c>
      <c r="I18" s="21">
        <f>J18/D13*B18</f>
        <v>-1301.7857142857144</v>
      </c>
      <c r="J18" s="21">
        <f>-D18</f>
        <v>-1822.5000000000002</v>
      </c>
      <c r="K18" s="1"/>
      <c r="L18" s="99" t="s">
        <v>36</v>
      </c>
      <c r="M18" s="100">
        <f t="shared" ref="M18:M22" si="1">-D18</f>
        <v>-1822.5000000000002</v>
      </c>
      <c r="N18" s="100">
        <f>M18/22.4*B18</f>
        <v>-1301.7857142857144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210.93750000000006</v>
      </c>
      <c r="D19" s="21">
        <f>F29*E8</f>
        <v>157.50000000000003</v>
      </c>
      <c r="E19" s="22">
        <f>D19/D27</f>
        <v>5.5422898077164768E-3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-210.93750000000006</v>
      </c>
      <c r="J19" s="21">
        <f t="shared" ref="J19:J22" si="2">-D19</f>
        <v>-157.50000000000003</v>
      </c>
      <c r="K19" s="1"/>
      <c r="L19" s="99" t="s">
        <v>37</v>
      </c>
      <c r="M19" s="100">
        <f t="shared" si="1"/>
        <v>-157.50000000000003</v>
      </c>
      <c r="N19" s="100">
        <f>M19/D13*B19</f>
        <v>-210.93750000000006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132.58928571428572</v>
      </c>
      <c r="D20" s="21">
        <f>F29*E9</f>
        <v>67.5</v>
      </c>
      <c r="E20" s="22">
        <f>D20/D27</f>
        <v>2.375267060449918E-3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-132.58928571428572</v>
      </c>
      <c r="J20" s="21">
        <f t="shared" si="2"/>
        <v>-67.5</v>
      </c>
      <c r="K20" s="1"/>
      <c r="L20" s="99" t="s">
        <v>38</v>
      </c>
      <c r="M20" s="100">
        <f t="shared" si="1"/>
        <v>-67.5</v>
      </c>
      <c r="N20" s="100">
        <f>M20/D13*B20</f>
        <v>-132.58928571428572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29.129464285714288</v>
      </c>
      <c r="D21" s="21">
        <f>F29*E10</f>
        <v>11.25</v>
      </c>
      <c r="E21" s="22">
        <f>D21/D27</f>
        <v>3.9587784340831968E-4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-29.129464285714288</v>
      </c>
      <c r="J21" s="21">
        <f t="shared" si="2"/>
        <v>-11.25</v>
      </c>
      <c r="K21" s="1"/>
      <c r="L21" s="99" t="s">
        <v>39</v>
      </c>
      <c r="M21" s="100">
        <f t="shared" si="1"/>
        <v>-11.25</v>
      </c>
      <c r="N21" s="100">
        <f>M21/D13*B21</f>
        <v>-29.129464285714288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21.696428571428573</v>
      </c>
      <c r="D22" s="21">
        <f>F29*E11</f>
        <v>6.75</v>
      </c>
      <c r="E22" s="22">
        <f>D22/D27</f>
        <v>2.3752670604499182E-4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-21.696428571428573</v>
      </c>
      <c r="J22" s="21">
        <f t="shared" si="2"/>
        <v>-6.75</v>
      </c>
      <c r="K22" s="8"/>
      <c r="L22" s="96" t="s">
        <v>40</v>
      </c>
      <c r="M22" s="100">
        <f t="shared" si="1"/>
        <v>-6.75</v>
      </c>
      <c r="N22" s="100">
        <f>M22/D13*B22</f>
        <v>-21.696428571428573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7550.3571428571449</v>
      </c>
      <c r="D23" s="21">
        <f>F29*E7*I7*2</f>
        <v>5285.2500000000009</v>
      </c>
      <c r="E23" s="22">
        <f>D23/D27</f>
        <v>0.18598341083322861</v>
      </c>
      <c r="F23" s="25">
        <f t="shared" si="0"/>
        <v>891.96428571428623</v>
      </c>
      <c r="G23" s="26">
        <f t="shared" si="0"/>
        <v>624.375</v>
      </c>
      <c r="H23" s="22">
        <f>G23/G27</f>
        <v>2.1835506475712408E-2</v>
      </c>
      <c r="I23" s="21">
        <f>J23/D13*B23</f>
        <v>-6658.3928571428587</v>
      </c>
      <c r="J23" s="21">
        <f>J22*8+J21*6.5+J20*5+J19*3.5+J18*2</f>
        <v>-4660.8750000000009</v>
      </c>
      <c r="K23" s="8"/>
      <c r="L23" s="97" t="s">
        <v>42</v>
      </c>
      <c r="M23" s="100">
        <f>(M22*8+M21*6.5+M20*5+M19*3.5+M18*2)</f>
        <v>-4660.8750000000009</v>
      </c>
      <c r="N23" s="100">
        <f>M23/D13*B23</f>
        <v>-6658.3928571428587</v>
      </c>
      <c r="O23" s="100">
        <f t="shared" si="3"/>
        <v>624.375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4751.1160714285716</v>
      </c>
      <c r="G24" s="21">
        <f t="shared" si="0"/>
        <v>2418.75</v>
      </c>
      <c r="H24" s="22">
        <f>G24/G27</f>
        <v>8.4587998059066083E-2</v>
      </c>
      <c r="I24" s="21">
        <f>J24/D13*B24</f>
        <v>4751.1160714285716</v>
      </c>
      <c r="J24" s="21">
        <f>-J22*5+(-J21*4)+(-J20*3)+(-J19*2)+(-J18*1)</f>
        <v>2418.75</v>
      </c>
      <c r="K24" s="8"/>
      <c r="L24" s="98" t="s">
        <v>44</v>
      </c>
      <c r="M24" s="100">
        <f>-(M22*8+M21*4+M20*3+M19*2+M18)</f>
        <v>2439</v>
      </c>
      <c r="N24" s="100">
        <f>M24/D13*B24</f>
        <v>4790.8928571428578</v>
      </c>
      <c r="O24" s="100">
        <f t="shared" si="3"/>
        <v>2439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3.5189141636295086E-2</v>
      </c>
      <c r="F25" s="21">
        <f t="shared" si="0"/>
        <v>4406.9866071428578</v>
      </c>
      <c r="G25" s="21">
        <f t="shared" si="0"/>
        <v>5484.2500000000009</v>
      </c>
      <c r="H25" s="22">
        <f>G25/G27</f>
        <v>0.19179399621930057</v>
      </c>
      <c r="I25" s="21">
        <f>J25/D13*B25</f>
        <v>3603.4151785714294</v>
      </c>
      <c r="J25" s="21">
        <f>-J22*6+(-J21*5)+(-J20*4)+(-J19*3)+(-J18*2)</f>
        <v>4484.2500000000009</v>
      </c>
      <c r="K25" s="8"/>
      <c r="L25" s="98" t="s">
        <v>46</v>
      </c>
      <c r="M25" s="100">
        <f>-(M22*6+M21*5+M20*4+M19*3+M18*2)</f>
        <v>4484.2500000000009</v>
      </c>
      <c r="N25" s="100">
        <f>M25/D13*B25</f>
        <v>3603.4151785714294</v>
      </c>
      <c r="O25" s="100">
        <f t="shared" si="3"/>
        <v>5484.2500000000009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25083.883928571435</v>
      </c>
      <c r="D26" s="21">
        <f>D23*79/21+F29*(1-E7-E8-E9-E10-E11)</f>
        <v>20067.107142857145</v>
      </c>
      <c r="E26" s="28">
        <f>D26/D27</f>
        <v>0.70614427548070879</v>
      </c>
      <c r="F26" s="24">
        <f t="shared" si="0"/>
        <v>25083.883928571435</v>
      </c>
      <c r="G26" s="21">
        <f t="shared" si="0"/>
        <v>20067.107142857145</v>
      </c>
      <c r="H26" s="28">
        <f>G26/G27</f>
        <v>0.70178249924592095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20067.107142857145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35133.950892857152</v>
      </c>
      <c r="D27" s="25">
        <f t="shared" si="4"/>
        <v>28417.857142857145</v>
      </c>
      <c r="E27" s="30">
        <f t="shared" si="4"/>
        <v>1</v>
      </c>
      <c r="F27" s="26">
        <f t="shared" si="4"/>
        <v>35133.950892857152</v>
      </c>
      <c r="G27" s="25">
        <f t="shared" si="4"/>
        <v>28594.482142857145</v>
      </c>
      <c r="H27" s="30">
        <f t="shared" si="4"/>
        <v>1</v>
      </c>
      <c r="I27" s="26">
        <f t="shared" si="4"/>
        <v>-9.0949470177292824E-13</v>
      </c>
      <c r="J27" s="21">
        <f t="shared" si="4"/>
        <v>176.625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2250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5556324.9511718759</v>
      </c>
      <c r="G36" s="44">
        <f>(J22*C45/1+J21*C46/1+J20*C47/1+J19*C48/1+J18*C49/1)/22.4*(1000/3600)*1000</f>
        <v>23284068.359375004</v>
      </c>
      <c r="H36" s="45">
        <f>F36+G36</f>
        <v>28840393.310546879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30.032226153072767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30.663310079179862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6750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3905.3571428571431</v>
      </c>
      <c r="D56" s="59">
        <f>G$52*L46+G18</f>
        <v>5467.5</v>
      </c>
      <c r="E56" s="40">
        <f>D56/D$67</f>
        <v>0.15469175578527866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-3905.3571428571431</v>
      </c>
      <c r="J56" s="59">
        <f t="shared" ref="J56:J61" si="6">SUM(K56:M56)</f>
        <v>-5467.5</v>
      </c>
      <c r="K56" s="59">
        <v>-4944.25</v>
      </c>
      <c r="L56" s="59">
        <f>-D56-K56</f>
        <v>-523.25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632.81250000000011</v>
      </c>
      <c r="D57" s="59">
        <f t="shared" ref="D57:D60" si="7">G$52*L47+G19</f>
        <v>472.50000000000006</v>
      </c>
      <c r="E57" s="40">
        <f t="shared" ref="E57:E66" si="8">D57/D$67</f>
        <v>1.3368423339468527E-2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-632.81250000000011</v>
      </c>
      <c r="J57" s="59">
        <f t="shared" si="6"/>
        <v>-472.50000000000006</v>
      </c>
      <c r="K57" s="59">
        <f>-D57-M57</f>
        <v>-270.00000000000006</v>
      </c>
      <c r="L57" s="59">
        <v>0</v>
      </c>
      <c r="M57" s="102">
        <v>-202.5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397.76785714285711</v>
      </c>
      <c r="D58" s="59">
        <f t="shared" si="7"/>
        <v>202.5</v>
      </c>
      <c r="E58" s="40">
        <f t="shared" si="8"/>
        <v>5.7293242883436537E-3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-397.76785714285711</v>
      </c>
      <c r="J58" s="59">
        <f>SUM(K58:M58)</f>
        <v>-202.5</v>
      </c>
      <c r="K58" s="59">
        <f>-D58-M58</f>
        <v>0</v>
      </c>
      <c r="L58" s="59">
        <v>0</v>
      </c>
      <c r="M58" s="59">
        <f>-D58</f>
        <v>-202.5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87.388392857142861</v>
      </c>
      <c r="D59" s="59">
        <f t="shared" si="7"/>
        <v>33.75</v>
      </c>
      <c r="E59" s="22">
        <f t="shared" si="8"/>
        <v>9.5488738139060906E-4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-87.388392857142861</v>
      </c>
      <c r="J59" s="59">
        <f t="shared" si="6"/>
        <v>-33.75</v>
      </c>
      <c r="K59" s="59">
        <v>0</v>
      </c>
      <c r="L59" s="59">
        <v>0</v>
      </c>
      <c r="M59" s="59">
        <f>-D59</f>
        <v>-33.75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65.089285714285722</v>
      </c>
      <c r="D60" s="59">
        <f t="shared" si="7"/>
        <v>20.25</v>
      </c>
      <c r="E60" s="22">
        <f t="shared" si="8"/>
        <v>5.7293242883436543E-4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-65.089285714285722</v>
      </c>
      <c r="J60" s="59">
        <f t="shared" si="6"/>
        <v>-20.25</v>
      </c>
      <c r="K60" s="59">
        <v>0</v>
      </c>
      <c r="L60" s="59">
        <v>0</v>
      </c>
      <c r="M60" s="59">
        <f>-D60</f>
        <v>-20.25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624.375</v>
      </c>
      <c r="D61" s="59">
        <f>G23</f>
        <v>624.375</v>
      </c>
      <c r="E61" s="22">
        <f t="shared" si="8"/>
        <v>1.7665416555726267E-2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-891.96428571428578</v>
      </c>
      <c r="J61" s="59">
        <f t="shared" si="6"/>
        <v>-624.375</v>
      </c>
      <c r="K61" s="59">
        <v>0</v>
      </c>
      <c r="L61" s="59">
        <v>0</v>
      </c>
      <c r="M61" s="59">
        <f>M60*2.5+M59*2+M58*1.5+M57*1+M56*0.5</f>
        <v>-624.375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4751.1160714285716</v>
      </c>
      <c r="D62" s="59">
        <f t="shared" ref="D62:D63" si="12">G24</f>
        <v>2418.75</v>
      </c>
      <c r="E62" s="40">
        <f t="shared" si="8"/>
        <v>6.843359566632698E-2</v>
      </c>
      <c r="F62" s="21">
        <f t="shared" si="9"/>
        <v>3723.3035714285716</v>
      </c>
      <c r="G62" s="21">
        <f t="shared" si="5"/>
        <v>1895.5</v>
      </c>
      <c r="H62" s="40">
        <f t="shared" si="10"/>
        <v>3.8500906411473808E-2</v>
      </c>
      <c r="I62" s="59">
        <f t="shared" si="11"/>
        <v>-1027.8125</v>
      </c>
      <c r="J62" s="59">
        <f>SUM(K62:M62)</f>
        <v>-523.25</v>
      </c>
      <c r="K62" s="59">
        <v>0</v>
      </c>
      <c r="L62" s="59">
        <f>L60*5+L59*4+L58*3+L57*2+L56</f>
        <v>-523.25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4406.9866071428578</v>
      </c>
      <c r="D63" s="59">
        <f t="shared" si="12"/>
        <v>5484.2500000000009</v>
      </c>
      <c r="E63" s="40">
        <f t="shared" si="8"/>
        <v>0.15516566285604291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-4406.9866071428578</v>
      </c>
      <c r="J63" s="59">
        <f t="shared" ref="J63:J66" si="13">SUM(K63:M63)</f>
        <v>-5484.25</v>
      </c>
      <c r="K63" s="59">
        <f>K60*5+K59*4+K58*3+K57*2+K56</f>
        <v>-5484.25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9724.375</v>
      </c>
      <c r="G64" s="21">
        <f t="shared" si="5"/>
        <v>7779.5</v>
      </c>
      <c r="H64" s="40">
        <f t="shared" si="10"/>
        <v>0.15801519463363783</v>
      </c>
      <c r="I64" s="59">
        <f t="shared" si="11"/>
        <v>9724.375</v>
      </c>
      <c r="J64" s="59">
        <f t="shared" si="13"/>
        <v>7779.5</v>
      </c>
      <c r="K64" s="59">
        <f>-K63</f>
        <v>5484.25</v>
      </c>
      <c r="L64" s="59">
        <f>-2*L62</f>
        <v>1046.5</v>
      </c>
      <c r="M64" s="59">
        <f>-M60*5-M59*4-M58*3-M57*2-M56</f>
        <v>1248.75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0.38464345276395651</v>
      </c>
      <c r="I65" s="59">
        <f t="shared" si="11"/>
        <v>1690.8035714285716</v>
      </c>
      <c r="J65" s="59">
        <f t="shared" si="13"/>
        <v>18937</v>
      </c>
      <c r="K65" s="59">
        <f>-K60*11-K59*9-K58*7-K57*5-K56*3</f>
        <v>16182.75</v>
      </c>
      <c r="L65" s="59">
        <f>-L60*6-L59*5-L58*4-L57*3-L56*2</f>
        <v>1046.5</v>
      </c>
      <c r="M65" s="59">
        <f>-M60*6-M59*5-M58*4-M57*3-M56*2</f>
        <v>1707.75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25775.758928571435</v>
      </c>
      <c r="D66" s="59">
        <f>G52*L51+G26</f>
        <v>20620.607142857145</v>
      </c>
      <c r="E66" s="40">
        <f t="shared" si="8"/>
        <v>0.58341800169858804</v>
      </c>
      <c r="F66" s="21">
        <f t="shared" si="9"/>
        <v>25775.758928571435</v>
      </c>
      <c r="G66" s="21">
        <f t="shared" si="5"/>
        <v>20620.607142857145</v>
      </c>
      <c r="H66" s="40">
        <f t="shared" si="10"/>
        <v>0.41884044619093186</v>
      </c>
      <c r="I66" s="59">
        <f t="shared" si="11"/>
        <v>0</v>
      </c>
      <c r="J66" s="59">
        <f t="shared" si="13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4">SUM(C56:C66)</f>
        <v>40646.65178571429</v>
      </c>
      <c r="D67" s="59">
        <f t="shared" si="14"/>
        <v>35344.482142857145</v>
      </c>
      <c r="E67" s="22">
        <f t="shared" si="14"/>
        <v>1</v>
      </c>
      <c r="F67" s="63">
        <f t="shared" si="14"/>
        <v>40914.24107142858</v>
      </c>
      <c r="G67" s="21">
        <f t="shared" si="14"/>
        <v>49232.607142857145</v>
      </c>
      <c r="H67" s="22">
        <f t="shared" si="14"/>
        <v>1</v>
      </c>
      <c r="I67" s="59">
        <f>SUM(I56:I66)</f>
        <v>-9.0949470177292824E-13</v>
      </c>
      <c r="J67" s="59">
        <f>SUM(J56:J66)</f>
        <v>13888.125</v>
      </c>
      <c r="K67" s="59">
        <f>SUM(K56:K66)</f>
        <v>10968.5</v>
      </c>
      <c r="L67" s="59">
        <f>SUM(L56:L66)</f>
        <v>1046.5</v>
      </c>
      <c r="M67" s="59">
        <f>SUM(M56:M66)</f>
        <v>1873.125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2.4342181374124303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6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5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103" t="s">
        <v>93</v>
      </c>
      <c r="C72" s="5"/>
      <c r="D72" s="15"/>
      <c r="E72" s="3" t="s">
        <v>98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103" t="s">
        <v>94</v>
      </c>
      <c r="C73" s="5"/>
      <c r="D73" s="15"/>
      <c r="E73" s="3" t="s">
        <v>98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103" t="s">
        <v>95</v>
      </c>
      <c r="C74" s="5"/>
      <c r="D74" s="15"/>
      <c r="E74" s="3" t="s">
        <v>98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7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67" t="s">
        <v>103</v>
      </c>
      <c r="C83" s="103"/>
      <c r="D83" s="15">
        <v>4</v>
      </c>
      <c r="E83" s="3" t="s">
        <v>91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67" t="s">
        <v>104</v>
      </c>
      <c r="C84" s="103"/>
      <c r="D84" s="15">
        <v>2</v>
      </c>
      <c r="E84" s="3" t="s">
        <v>91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67" t="s">
        <v>105</v>
      </c>
      <c r="C85" s="103"/>
      <c r="D85" s="15">
        <v>3</v>
      </c>
      <c r="E85" s="3" t="s">
        <v>91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67" t="s">
        <v>106</v>
      </c>
      <c r="C86" s="103"/>
      <c r="D86" s="15">
        <v>1</v>
      </c>
      <c r="E86" s="3" t="s">
        <v>91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28840393.310546879</v>
      </c>
      <c r="I91" s="76">
        <f>E6*(1-I6)/I54*N50*20*1000/3600</f>
        <v>63682.55022321429</v>
      </c>
      <c r="J91" s="76">
        <f>(K60/I54*C108+K59/I54*C107+K58/I54*C106+K57/I54*C105+K56/I54*C104)*1000/3600*1000</f>
        <v>-13784760.354662701</v>
      </c>
      <c r="K91" s="76">
        <f>(L56/I54*C109+L57/I54*C110+L58/I54*C111+L59/I54*C112+L60/I54*C113)*1000/3600*1000</f>
        <v>-1603037.109375</v>
      </c>
      <c r="L91" s="111">
        <f>(M56/I54*C114+M57/I54*C115+M58/I54*C116+M59/I54*C117+M60/I54*C118)*1000/3600*1000</f>
        <v>1824416.0156250002</v>
      </c>
      <c r="M91" s="21">
        <f>H91+I91+J91+K91+L91</f>
        <v>15340694.41235739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10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10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10" t="s">
        <v>95</v>
      </c>
      <c r="F94" s="8"/>
      <c r="G94" s="8"/>
      <c r="H94" s="78" t="s">
        <v>115</v>
      </c>
      <c r="I94" s="79">
        <f>M91/(G67/D13*1000/3600*B103)</f>
        <v>856.87204883324569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10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10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32.072036320076229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29.324237406538785</v>
      </c>
      <c r="C103" s="84"/>
      <c r="D103" s="74">
        <v>32</v>
      </c>
      <c r="E103" s="109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09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09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67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AE6E-3794-4D94-A023-27FB7C269856}">
  <sheetPr>
    <tabColor rgb="FF00B050"/>
  </sheetPr>
  <dimension ref="A1:S1000"/>
  <sheetViews>
    <sheetView topLeftCell="A2" workbookViewId="0">
      <selection activeCell="E106" sqref="E106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0.3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1.1499999999999999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1562.1428571428573</v>
      </c>
      <c r="D18" s="21">
        <f>F29*E7</f>
        <v>2187</v>
      </c>
      <c r="E18" s="22">
        <f>D18/D27</f>
        <v>7.9087668543679282E-2</v>
      </c>
      <c r="F18" s="21">
        <f t="shared" ref="F18:G26" si="0">C18+I18</f>
        <v>201.05357142857179</v>
      </c>
      <c r="G18" s="21">
        <f>-O23/2</f>
        <v>281.47500000000036</v>
      </c>
      <c r="H18" s="22">
        <f>G18/G27</f>
        <v>1.0101451574989767E-2</v>
      </c>
      <c r="I18" s="21">
        <f>J18/D13*B18</f>
        <v>-1361.0892857142856</v>
      </c>
      <c r="J18" s="21">
        <f>G18-D18</f>
        <v>-1905.5249999999996</v>
      </c>
      <c r="K18" s="1"/>
      <c r="L18" s="99" t="s">
        <v>36</v>
      </c>
      <c r="M18" s="100">
        <f t="shared" ref="M18:M22" si="1">-D18</f>
        <v>-2187</v>
      </c>
      <c r="N18" s="100">
        <f>M18/22.4*B18</f>
        <v>-1562.1428571428573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253.12500000000006</v>
      </c>
      <c r="D19" s="21">
        <f>F29*E8</f>
        <v>189.00000000000003</v>
      </c>
      <c r="E19" s="22">
        <f>D19/D27</f>
        <v>6.8347367877253712E-3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-253.12500000000006</v>
      </c>
      <c r="J19" s="21">
        <f t="shared" ref="J19:J22" si="2">-D19</f>
        <v>-189.00000000000003</v>
      </c>
      <c r="K19" s="1"/>
      <c r="L19" s="99" t="s">
        <v>37</v>
      </c>
      <c r="M19" s="100">
        <f t="shared" si="1"/>
        <v>-189.00000000000003</v>
      </c>
      <c r="N19" s="100">
        <f>M19/D13*B19</f>
        <v>-253.12500000000006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159.10714285714286</v>
      </c>
      <c r="D20" s="21">
        <f>F29*E9</f>
        <v>81</v>
      </c>
      <c r="E20" s="22">
        <f>D20/D27</f>
        <v>2.9291729090251588E-3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-159.10714285714286</v>
      </c>
      <c r="J20" s="21">
        <f t="shared" si="2"/>
        <v>-81</v>
      </c>
      <c r="K20" s="1"/>
      <c r="L20" s="99" t="s">
        <v>38</v>
      </c>
      <c r="M20" s="100">
        <f t="shared" si="1"/>
        <v>-81</v>
      </c>
      <c r="N20" s="100">
        <f>M20/D13*B20</f>
        <v>-159.10714285714286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34.955357142857146</v>
      </c>
      <c r="D21" s="21">
        <f>F29*E10</f>
        <v>13.5</v>
      </c>
      <c r="E21" s="22">
        <f>D21/D27</f>
        <v>4.8819548483752643E-4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-34.955357142857146</v>
      </c>
      <c r="J21" s="21">
        <f t="shared" si="2"/>
        <v>-13.5</v>
      </c>
      <c r="K21" s="1"/>
      <c r="L21" s="99" t="s">
        <v>39</v>
      </c>
      <c r="M21" s="100">
        <f t="shared" si="1"/>
        <v>-13.5</v>
      </c>
      <c r="N21" s="100">
        <f>M21/D13*B21</f>
        <v>-34.955357142857146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26.035714285714285</v>
      </c>
      <c r="D22" s="21">
        <f>F29*E11</f>
        <v>8.1</v>
      </c>
      <c r="E22" s="22">
        <f>D22/D27</f>
        <v>2.9291729090251585E-4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-26.035714285714285</v>
      </c>
      <c r="J22" s="21">
        <f t="shared" si="2"/>
        <v>-8.1</v>
      </c>
      <c r="K22" s="8"/>
      <c r="L22" s="96" t="s">
        <v>40</v>
      </c>
      <c r="M22" s="100">
        <f t="shared" si="1"/>
        <v>-8.1</v>
      </c>
      <c r="N22" s="100">
        <f>M22/D13*B22</f>
        <v>-26.035714285714285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7185.8571428571422</v>
      </c>
      <c r="D23" s="21">
        <f>F29*E7*I7*2</f>
        <v>5030.0999999999995</v>
      </c>
      <c r="E23" s="22">
        <f>D23/D27</f>
        <v>0.18190163765046233</v>
      </c>
      <c r="F23" s="25">
        <f t="shared" si="0"/>
        <v>0</v>
      </c>
      <c r="G23" s="26">
        <f t="shared" si="0"/>
        <v>0</v>
      </c>
      <c r="H23" s="22">
        <f>G23/G27</f>
        <v>0</v>
      </c>
      <c r="I23" s="21">
        <f>J23/D13*B23</f>
        <v>-7185.8571428571422</v>
      </c>
      <c r="J23" s="21">
        <f>J22*8+J21*6.5+J20*5+J19*3.5+J18*2</f>
        <v>-5030.0999999999995</v>
      </c>
      <c r="K23" s="8"/>
      <c r="L23" s="97" t="s">
        <v>42</v>
      </c>
      <c r="M23" s="100">
        <f>(M22*8+M21*6.5+M20*5+M19*3.5+M18*2)</f>
        <v>-5593.05</v>
      </c>
      <c r="N23" s="100">
        <f>M23/D13*B23</f>
        <v>-7990.0714285714294</v>
      </c>
      <c r="O23" s="100">
        <f t="shared" si="3"/>
        <v>-562.95000000000073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5148.4419642857138</v>
      </c>
      <c r="G24" s="21">
        <f t="shared" si="0"/>
        <v>2621.0249999999996</v>
      </c>
      <c r="H24" s="22">
        <f>G24/G27</f>
        <v>9.4062197759436944E-2</v>
      </c>
      <c r="I24" s="21">
        <f>J24/D13*B24</f>
        <v>5148.4419642857138</v>
      </c>
      <c r="J24" s="21">
        <f>-J22*5+(-J21*4)+(-J20*3)+(-J19*2)+(-J18*1)</f>
        <v>2621.0249999999996</v>
      </c>
      <c r="K24" s="8"/>
      <c r="L24" s="98" t="s">
        <v>44</v>
      </c>
      <c r="M24" s="100">
        <f>-(M22*8+M21*4+M20*3+M19*2+M18)</f>
        <v>2926.8</v>
      </c>
      <c r="N24" s="100">
        <f>M24/D13*B24</f>
        <v>5749.0714285714294</v>
      </c>
      <c r="O24" s="100">
        <f t="shared" si="3"/>
        <v>2926.8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3.6162628506483441E-2</v>
      </c>
      <c r="F25" s="21">
        <f t="shared" si="0"/>
        <v>4675.2991071428569</v>
      </c>
      <c r="G25" s="21">
        <f t="shared" si="0"/>
        <v>5818.15</v>
      </c>
      <c r="H25" s="22">
        <f>G25/G27</f>
        <v>0.20879922011200508</v>
      </c>
      <c r="I25" s="21">
        <f>J25/D13*B25</f>
        <v>3871.7276785714284</v>
      </c>
      <c r="J25" s="21">
        <f>-J22*6+(-J21*5)+(-J20*4)+(-J19*3)+(-J18*2)</f>
        <v>4818.1499999999996</v>
      </c>
      <c r="K25" s="8"/>
      <c r="L25" s="98" t="s">
        <v>46</v>
      </c>
      <c r="M25" s="100">
        <f>-(M22*6+M21*5+M20*4+M19*3+M18*2)</f>
        <v>5381.1</v>
      </c>
      <c r="N25" s="100">
        <f>M25/D13*B25</f>
        <v>4324.0982142857147</v>
      </c>
      <c r="O25" s="100">
        <f t="shared" si="3"/>
        <v>6381.1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23930.196428571435</v>
      </c>
      <c r="D26" s="21">
        <f>D23*79/21+F29*(1-E7-E8-E9-E10-E11)</f>
        <v>19144.157142857144</v>
      </c>
      <c r="E26" s="28">
        <f>D26/D27</f>
        <v>0.69230304282688437</v>
      </c>
      <c r="F26" s="24">
        <f t="shared" si="0"/>
        <v>23930.196428571435</v>
      </c>
      <c r="G26" s="21">
        <f t="shared" si="0"/>
        <v>19144.157142857144</v>
      </c>
      <c r="H26" s="28">
        <f>G26/G27</f>
        <v>0.6870371305535683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19144.157142857144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33954.99107142858</v>
      </c>
      <c r="D27" s="25">
        <f t="shared" si="4"/>
        <v>27652.857142857145</v>
      </c>
      <c r="E27" s="30">
        <f t="shared" si="4"/>
        <v>1</v>
      </c>
      <c r="F27" s="26">
        <f t="shared" si="4"/>
        <v>33954.99107142858</v>
      </c>
      <c r="G27" s="25">
        <f t="shared" si="4"/>
        <v>27864.807142857142</v>
      </c>
      <c r="H27" s="30">
        <f t="shared" si="4"/>
        <v>1</v>
      </c>
      <c r="I27" s="26">
        <f t="shared" si="4"/>
        <v>9.0949470177292824E-13</v>
      </c>
      <c r="J27" s="21">
        <f t="shared" si="4"/>
        <v>211.95000000000073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2700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5436993.7695312509</v>
      </c>
      <c r="G36" s="44">
        <f>(J22*C45/1+J21*C46/1+J20*C47/1+J19*C48/1+J18*C49/1)/22.4*(1000/3600)*1000</f>
        <v>25139500.697544642</v>
      </c>
      <c r="H36" s="45">
        <f>F36+G36</f>
        <v>30576494.467075892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30.200215431110195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30.876266883495902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6300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3846.053571428572</v>
      </c>
      <c r="D56" s="59">
        <f>G$52*L46+G18</f>
        <v>5384.4750000000004</v>
      </c>
      <c r="E56" s="40">
        <f>D56/D$67</f>
        <v>0.15760296779915339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-3846.053571428572</v>
      </c>
      <c r="J56" s="59">
        <f t="shared" ref="J56:J61" si="6">SUM(K56:M56)</f>
        <v>-5384.4750000000004</v>
      </c>
      <c r="K56" s="59">
        <v>-4148.6499999999996</v>
      </c>
      <c r="L56" s="59">
        <f>-D56-K56</f>
        <v>-1235.8250000000007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590.62500000000011</v>
      </c>
      <c r="D57" s="59">
        <f t="shared" ref="D57:D60" si="7">G$52*L47+G19</f>
        <v>441.00000000000006</v>
      </c>
      <c r="E57" s="40">
        <f t="shared" ref="E57:E66" si="8">D57/D$67</f>
        <v>1.2908019593261488E-2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-590.62500000000011</v>
      </c>
      <c r="J57" s="59">
        <f t="shared" si="6"/>
        <v>-441.00000000000006</v>
      </c>
      <c r="K57" s="59">
        <f t="shared" ref="K57:K58" si="12">-D57</f>
        <v>-441.00000000000006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371.25</v>
      </c>
      <c r="D58" s="59">
        <f t="shared" si="7"/>
        <v>189</v>
      </c>
      <c r="E58" s="40">
        <f t="shared" si="8"/>
        <v>5.532008397112066E-3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-371.25</v>
      </c>
      <c r="J58" s="59">
        <f>SUM(K58:M58)</f>
        <v>-189</v>
      </c>
      <c r="K58" s="59">
        <f t="shared" si="12"/>
        <v>-189</v>
      </c>
      <c r="L58" s="59">
        <v>0</v>
      </c>
      <c r="M58" s="59">
        <v>0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81.5625</v>
      </c>
      <c r="D59" s="59">
        <f t="shared" si="7"/>
        <v>31.5</v>
      </c>
      <c r="E59" s="22">
        <f t="shared" si="8"/>
        <v>9.2200139951867767E-4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-81.5625</v>
      </c>
      <c r="J59" s="59">
        <f t="shared" si="6"/>
        <v>-31.5</v>
      </c>
      <c r="K59" s="59">
        <f>-D59</f>
        <v>-31.5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60.750000000000007</v>
      </c>
      <c r="D60" s="59">
        <f t="shared" si="7"/>
        <v>18.900000000000002</v>
      </c>
      <c r="E60" s="22">
        <f t="shared" si="8"/>
        <v>5.532008397112066E-4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-60.750000000000007</v>
      </c>
      <c r="J60" s="59">
        <f t="shared" si="6"/>
        <v>-18.900000000000002</v>
      </c>
      <c r="K60" s="59">
        <f>-D60-M60</f>
        <v>-18.900000000000002</v>
      </c>
      <c r="L60" s="59">
        <v>0</v>
      </c>
      <c r="M60" s="59">
        <v>0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0</v>
      </c>
      <c r="D61" s="59">
        <f>G23</f>
        <v>0</v>
      </c>
      <c r="E61" s="22">
        <f t="shared" si="8"/>
        <v>0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0</v>
      </c>
      <c r="J61" s="59">
        <f t="shared" si="6"/>
        <v>0</v>
      </c>
      <c r="K61" s="59">
        <v>0</v>
      </c>
      <c r="L61" s="59">
        <v>0</v>
      </c>
      <c r="M61" s="59">
        <f>M60*2.5+M59*2+M58*1.5+M57*1+M56*0.5</f>
        <v>0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5148.4419642857138</v>
      </c>
      <c r="D62" s="59">
        <f t="shared" ref="D62:D63" si="13">G24</f>
        <v>2621.0249999999996</v>
      </c>
      <c r="E62" s="40">
        <f t="shared" si="8"/>
        <v>7.6717102164236245E-2</v>
      </c>
      <c r="F62" s="21">
        <f t="shared" si="9"/>
        <v>2720.9285714285697</v>
      </c>
      <c r="G62" s="21">
        <f t="shared" si="5"/>
        <v>1385.1999999999989</v>
      </c>
      <c r="H62" s="40">
        <f t="shared" si="10"/>
        <v>2.8695274146050415E-2</v>
      </c>
      <c r="I62" s="59">
        <f t="shared" si="11"/>
        <v>-2427.5133928571445</v>
      </c>
      <c r="J62" s="59">
        <f>SUM(K62:M62)</f>
        <v>-1235.8250000000007</v>
      </c>
      <c r="K62" s="59">
        <v>0</v>
      </c>
      <c r="L62" s="59">
        <f>L60*5+L59*4+L58*3+L57*2+L56</f>
        <v>-1235.8250000000007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4675.2991071428569</v>
      </c>
      <c r="D63" s="59">
        <f t="shared" si="13"/>
        <v>5818.15</v>
      </c>
      <c r="E63" s="40">
        <f t="shared" si="8"/>
        <v>0.17029658547966967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-4675.2991071428569</v>
      </c>
      <c r="J63" s="59">
        <f t="shared" ref="J63:J66" si="14">SUM(K63:M63)</f>
        <v>-5818.15</v>
      </c>
      <c r="K63" s="59">
        <f>K60*5+K59*4+K58*3+K57*2+K56</f>
        <v>-5818.15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10362.250000000002</v>
      </c>
      <c r="G64" s="21">
        <f t="shared" si="5"/>
        <v>8289.8000000000011</v>
      </c>
      <c r="H64" s="40">
        <f t="shared" si="10"/>
        <v>0.17172833064967438</v>
      </c>
      <c r="I64" s="59">
        <f t="shared" si="11"/>
        <v>10362.250000000002</v>
      </c>
      <c r="J64" s="59">
        <f t="shared" si="14"/>
        <v>8289.8000000000011</v>
      </c>
      <c r="K64" s="59">
        <f>-K63</f>
        <v>5818.15</v>
      </c>
      <c r="L64" s="59">
        <f>-2*L62</f>
        <v>2471.6500000000015</v>
      </c>
      <c r="M64" s="59">
        <f>-M60*5-M59*4-M58*3-M57*2-M56</f>
        <v>0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0.3922916593298853</v>
      </c>
      <c r="I65" s="59">
        <f t="shared" si="11"/>
        <v>1690.8035714285716</v>
      </c>
      <c r="J65" s="59">
        <f t="shared" si="14"/>
        <v>18937</v>
      </c>
      <c r="K65" s="59">
        <f>-K60*11-K59*9-K58*7-K57*5-K56*3</f>
        <v>16465.349999999999</v>
      </c>
      <c r="L65" s="59">
        <f>-L60*6-L59*5-L58*4-L57*3-L56*2</f>
        <v>2471.6500000000015</v>
      </c>
      <c r="M65" s="59">
        <f>-M60*6-M59*5-M58*4-M57*3-M56*2</f>
        <v>0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24575.946428571431</v>
      </c>
      <c r="D66" s="59">
        <f>G52*L51+G26</f>
        <v>19660.757142857143</v>
      </c>
      <c r="E66" s="40">
        <f t="shared" si="8"/>
        <v>0.57546811432733724</v>
      </c>
      <c r="F66" s="21">
        <f t="shared" si="9"/>
        <v>24575.946428571431</v>
      </c>
      <c r="G66" s="21">
        <f t="shared" si="5"/>
        <v>19660.757142857143</v>
      </c>
      <c r="H66" s="40">
        <f t="shared" si="10"/>
        <v>0.40728473587439001</v>
      </c>
      <c r="I66" s="59">
        <f t="shared" si="11"/>
        <v>0</v>
      </c>
      <c r="J66" s="59">
        <f t="shared" si="14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5">SUM(C56:C66)</f>
        <v>39349.928571428572</v>
      </c>
      <c r="D67" s="59">
        <f t="shared" si="15"/>
        <v>34164.807142857142</v>
      </c>
      <c r="E67" s="22">
        <f t="shared" si="15"/>
        <v>1</v>
      </c>
      <c r="F67" s="63">
        <f t="shared" si="15"/>
        <v>39349.92857142858</v>
      </c>
      <c r="G67" s="21">
        <f t="shared" si="15"/>
        <v>48272.757142857139</v>
      </c>
      <c r="H67" s="22">
        <f t="shared" si="15"/>
        <v>1.0000000000000002</v>
      </c>
      <c r="I67" s="59">
        <f>SUM(I56:I66)</f>
        <v>-9.0949470177292824E-13</v>
      </c>
      <c r="J67" s="59">
        <f>SUM(J56:J66)</f>
        <v>14107.95</v>
      </c>
      <c r="K67" s="59">
        <f>SUM(K56:K66)</f>
        <v>11636.3</v>
      </c>
      <c r="L67" s="59">
        <f>SUM(L56:L66)</f>
        <v>2471.6500000000015</v>
      </c>
      <c r="M67" s="59">
        <f>SUM(M56:M66)</f>
        <v>0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2.2843735675167069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5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4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3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2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67" t="s">
        <v>95</v>
      </c>
      <c r="C74" s="5"/>
      <c r="D74" s="15">
        <v>1</v>
      </c>
      <c r="E74" s="1" t="s">
        <v>91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6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103" t="s">
        <v>104</v>
      </c>
      <c r="C84" s="103"/>
      <c r="D84" s="15"/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103" t="s">
        <v>106</v>
      </c>
      <c r="C86" s="103"/>
      <c r="D86" s="15"/>
      <c r="E86" s="1" t="s">
        <v>98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30576494.467075892</v>
      </c>
      <c r="I91" s="76">
        <f>E6*(1-I6)/I54*N50*20*1000/3600</f>
        <v>59437.046875000007</v>
      </c>
      <c r="J91" s="76">
        <f>(K60/I54*C108+K59/I54*C107+K58/I54*C106+K57/I54*C105+K56/I54*C104)*1000/3600*1000</f>
        <v>-14097370.957341271</v>
      </c>
      <c r="K91" s="76">
        <f>(L56/I54*C109+L57/I54*C110+L58/I54*C111+L59/I54*C112+L60/I54*C113)*1000/3600*1000</f>
        <v>-3786093.3314732169</v>
      </c>
      <c r="L91" s="111">
        <f>(M56/I54*C114+M57/I54*C115+M58/I54*C116+M59/I54*C117+M60/I54*C118)*1000/3600*1000</f>
        <v>0</v>
      </c>
      <c r="M91" s="21">
        <f>H91+I91+J91+K91+L91</f>
        <v>12752467.225136405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09" t="s">
        <v>95</v>
      </c>
      <c r="F94" s="8"/>
      <c r="G94" s="8"/>
      <c r="H94" s="78" t="s">
        <v>115</v>
      </c>
      <c r="I94" s="79">
        <f>M91/(G67/D13*1000/3600*B103)</f>
        <v>728.4669950598585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32.197207799253746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29.243729000651953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10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103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A7AC-3729-49F6-92E2-71D63CA97C19}">
  <sheetPr>
    <tabColor rgb="FF00B050"/>
  </sheetPr>
  <dimension ref="A1:S1000"/>
  <sheetViews>
    <sheetView topLeftCell="A11" workbookViewId="0">
      <selection activeCell="H63" sqref="H63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0.3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1.2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1562.1428571428573</v>
      </c>
      <c r="D18" s="21">
        <f>F29*E7</f>
        <v>2187</v>
      </c>
      <c r="E18" s="22">
        <f>D18/D27</f>
        <v>7.6217265757243843E-2</v>
      </c>
      <c r="F18" s="21">
        <f t="shared" ref="F18:G26" si="0">C18+I18</f>
        <v>122.94642857142867</v>
      </c>
      <c r="G18" s="21">
        <f>-O23/2</f>
        <v>172.125</v>
      </c>
      <c r="H18" s="22">
        <f>G18/G27</f>
        <v>5.9545975374072774E-3</v>
      </c>
      <c r="I18" s="21">
        <f>J18/D13*B18</f>
        <v>-1439.1964285714287</v>
      </c>
      <c r="J18" s="21">
        <f>G18-D18</f>
        <v>-2014.875</v>
      </c>
      <c r="K18" s="1"/>
      <c r="L18" s="99" t="s">
        <v>36</v>
      </c>
      <c r="M18" s="100">
        <f t="shared" ref="M18:M22" si="1">-D18</f>
        <v>-2187</v>
      </c>
      <c r="N18" s="100">
        <f>M18/22.4*B18</f>
        <v>-1562.1428571428573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253.12500000000006</v>
      </c>
      <c r="D19" s="21">
        <f>F29*E8</f>
        <v>189.00000000000003</v>
      </c>
      <c r="E19" s="22">
        <f>D19/D27</f>
        <v>6.5866772876630487E-3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-253.12500000000006</v>
      </c>
      <c r="J19" s="21">
        <f t="shared" ref="J19:J22" si="2">-D19</f>
        <v>-189.00000000000003</v>
      </c>
      <c r="K19" s="1"/>
      <c r="L19" s="99" t="s">
        <v>37</v>
      </c>
      <c r="M19" s="100">
        <f t="shared" si="1"/>
        <v>-189.00000000000003</v>
      </c>
      <c r="N19" s="100">
        <f>M19/D13*B19</f>
        <v>-253.12500000000006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159.10714285714286</v>
      </c>
      <c r="D20" s="21">
        <f>F29*E9</f>
        <v>81</v>
      </c>
      <c r="E20" s="22">
        <f>D20/D27</f>
        <v>2.8228616947127351E-3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-159.10714285714286</v>
      </c>
      <c r="J20" s="21">
        <f t="shared" si="2"/>
        <v>-81</v>
      </c>
      <c r="K20" s="1"/>
      <c r="L20" s="99" t="s">
        <v>38</v>
      </c>
      <c r="M20" s="100">
        <f t="shared" si="1"/>
        <v>-81</v>
      </c>
      <c r="N20" s="100">
        <f>M20/D13*B20</f>
        <v>-159.10714285714286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34.955357142857146</v>
      </c>
      <c r="D21" s="21">
        <f>F29*E10</f>
        <v>13.5</v>
      </c>
      <c r="E21" s="22">
        <f>D21/D27</f>
        <v>4.7047694911878915E-4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-34.955357142857146</v>
      </c>
      <c r="J21" s="21">
        <f t="shared" si="2"/>
        <v>-13.5</v>
      </c>
      <c r="K21" s="1"/>
      <c r="L21" s="99" t="s">
        <v>39</v>
      </c>
      <c r="M21" s="100">
        <f t="shared" si="1"/>
        <v>-13.5</v>
      </c>
      <c r="N21" s="100">
        <f>M21/D13*B21</f>
        <v>-34.955357142857146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26.035714285714285</v>
      </c>
      <c r="D22" s="21">
        <f>F29*E11</f>
        <v>8.1</v>
      </c>
      <c r="E22" s="22">
        <f>D22/D27</f>
        <v>2.8228616947127347E-4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-26.035714285714285</v>
      </c>
      <c r="J22" s="21">
        <f t="shared" si="2"/>
        <v>-8.1</v>
      </c>
      <c r="K22" s="8"/>
      <c r="L22" s="96" t="s">
        <v>40</v>
      </c>
      <c r="M22" s="100">
        <f t="shared" si="1"/>
        <v>-8.1</v>
      </c>
      <c r="N22" s="100">
        <f>M22/D13*B22</f>
        <v>-26.035714285714285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7498.2857142857147</v>
      </c>
      <c r="D23" s="21">
        <f>F29*E7*I7*2</f>
        <v>5248.8</v>
      </c>
      <c r="E23" s="22">
        <f>D23/D27</f>
        <v>0.18292143781738524</v>
      </c>
      <c r="F23" s="25">
        <f t="shared" si="0"/>
        <v>0</v>
      </c>
      <c r="G23" s="26">
        <f t="shared" si="0"/>
        <v>0</v>
      </c>
      <c r="H23" s="22">
        <f>G23/G27</f>
        <v>0</v>
      </c>
      <c r="I23" s="21">
        <f>J23/D13*B23</f>
        <v>-7498.2857142857147</v>
      </c>
      <c r="J23" s="21">
        <f>J22*8+J21*6.5+J20*5+J19*3.5+J18*2</f>
        <v>-5248.8</v>
      </c>
      <c r="K23" s="8"/>
      <c r="L23" s="97" t="s">
        <v>42</v>
      </c>
      <c r="M23" s="100">
        <f>(M22*8+M21*6.5+M20*5+M19*3.5+M18*2)</f>
        <v>-5593.05</v>
      </c>
      <c r="N23" s="100">
        <f>M23/D13*B23</f>
        <v>-7990.0714285714294</v>
      </c>
      <c r="O23" s="100">
        <f t="shared" si="3"/>
        <v>-344.25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5363.2366071428578</v>
      </c>
      <c r="G24" s="21">
        <f t="shared" si="0"/>
        <v>2730.375</v>
      </c>
      <c r="H24" s="22">
        <f>G24/G27</f>
        <v>9.4456262897303675E-2</v>
      </c>
      <c r="I24" s="21">
        <f>J24/D13*B24</f>
        <v>5363.2366071428578</v>
      </c>
      <c r="J24" s="21">
        <f>-J22*5+(-J21*4)+(-J20*3)+(-J19*2)+(-J18*1)</f>
        <v>2730.375</v>
      </c>
      <c r="K24" s="8"/>
      <c r="L24" s="98" t="s">
        <v>44</v>
      </c>
      <c r="M24" s="100">
        <f>-(M22*8+M21*4+M20*3+M19*2+M18)</f>
        <v>2926.8</v>
      </c>
      <c r="N24" s="100">
        <f>M24/D13*B24</f>
        <v>5749.0714285714294</v>
      </c>
      <c r="O24" s="100">
        <f t="shared" si="3"/>
        <v>2926.8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3.485014437916957E-2</v>
      </c>
      <c r="F25" s="21">
        <f t="shared" si="0"/>
        <v>4851.0401785714294</v>
      </c>
      <c r="G25" s="21">
        <f t="shared" si="0"/>
        <v>6036.85</v>
      </c>
      <c r="H25" s="22">
        <f>G25/G27</f>
        <v>0.20884248159010674</v>
      </c>
      <c r="I25" s="21">
        <f>J25/D13*B25</f>
        <v>4047.4687500000005</v>
      </c>
      <c r="J25" s="21">
        <f>-J22*6+(-J21*5)+(-J20*4)+(-J19*3)+(-J18*2)</f>
        <v>5036.8500000000004</v>
      </c>
      <c r="K25" s="8"/>
      <c r="L25" s="98" t="s">
        <v>46</v>
      </c>
      <c r="M25" s="100">
        <f>-(M22*6+M21*5+M20*4+M19*3+M18*2)</f>
        <v>5381.1</v>
      </c>
      <c r="N25" s="100">
        <f>M25/D13*B25</f>
        <v>4324.0982142857147</v>
      </c>
      <c r="O25" s="100">
        <f t="shared" si="3"/>
        <v>6381.1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24958.607142857149</v>
      </c>
      <c r="D26" s="21">
        <f>D23*79/21+F29*(1-E7-E8-E9-E10-E11)</f>
        <v>19966.885714285716</v>
      </c>
      <c r="E26" s="28">
        <f>D26/D27</f>
        <v>0.69584884994523544</v>
      </c>
      <c r="F26" s="24">
        <f t="shared" si="0"/>
        <v>24958.607142857149</v>
      </c>
      <c r="G26" s="21">
        <f t="shared" si="0"/>
        <v>19966.885714285716</v>
      </c>
      <c r="H26" s="28">
        <f>G26/G27</f>
        <v>0.69074665797518242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19966.885714285716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35295.830357142862</v>
      </c>
      <c r="D27" s="25">
        <f t="shared" si="4"/>
        <v>28694.285714285717</v>
      </c>
      <c r="E27" s="30">
        <f t="shared" si="4"/>
        <v>1</v>
      </c>
      <c r="F27" s="26">
        <f t="shared" si="4"/>
        <v>35295.830357142862</v>
      </c>
      <c r="G27" s="25">
        <f t="shared" si="4"/>
        <v>28906.235714285714</v>
      </c>
      <c r="H27" s="30">
        <f t="shared" si="4"/>
        <v>1</v>
      </c>
      <c r="I27" s="26">
        <f t="shared" si="4"/>
        <v>1.3642420526593924E-12</v>
      </c>
      <c r="J27" s="21">
        <f t="shared" si="4"/>
        <v>211.95000000000073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2700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5634801.46484375</v>
      </c>
      <c r="G36" s="44">
        <f>(J22*C45/1+J21*C46/1+J20*C47/1+J19*C48/1+J18*C49/1)/22.4*(1000/3600)*1000</f>
        <v>26227807.114955358</v>
      </c>
      <c r="H36" s="45">
        <f>F36+G36</f>
        <v>31862608.579799108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30.16299181021607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30.8523347977562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6300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3767.9464285714289</v>
      </c>
      <c r="D56" s="59">
        <f>G$52*L46+G18</f>
        <v>5275.125</v>
      </c>
      <c r="E56" s="40">
        <f>D56/D$67</f>
        <v>0.1498349622723085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-3767.9464285714289</v>
      </c>
      <c r="J56" s="59">
        <f t="shared" ref="J56:J61" si="6">SUM(K56:M56)</f>
        <v>-5275.125</v>
      </c>
      <c r="K56" s="59">
        <v>-4367.3500000000004</v>
      </c>
      <c r="L56" s="59">
        <f>-D56-K56</f>
        <v>-907.77499999999964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590.62500000000011</v>
      </c>
      <c r="D57" s="59">
        <f t="shared" ref="D57:D60" si="7">G$52*L47+G19</f>
        <v>441.00000000000006</v>
      </c>
      <c r="E57" s="40">
        <f t="shared" ref="E57:E66" si="8">D57/D$67</f>
        <v>1.2526190064138396E-2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-590.62500000000011</v>
      </c>
      <c r="J57" s="59">
        <f t="shared" si="6"/>
        <v>-441.00000000000006</v>
      </c>
      <c r="K57" s="59">
        <f t="shared" ref="K57:K58" si="12">-D57</f>
        <v>-441.00000000000006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371.25</v>
      </c>
      <c r="D58" s="59">
        <f t="shared" si="7"/>
        <v>189</v>
      </c>
      <c r="E58" s="40">
        <f t="shared" si="8"/>
        <v>5.368367170345026E-3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-371.25</v>
      </c>
      <c r="J58" s="59">
        <f>SUM(K58:M58)</f>
        <v>-189</v>
      </c>
      <c r="K58" s="59">
        <f t="shared" si="12"/>
        <v>-189</v>
      </c>
      <c r="L58" s="59">
        <v>0</v>
      </c>
      <c r="M58" s="59">
        <v>0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81.5625</v>
      </c>
      <c r="D59" s="59">
        <f t="shared" si="7"/>
        <v>31.5</v>
      </c>
      <c r="E59" s="22">
        <f t="shared" si="8"/>
        <v>8.9472786172417097E-4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-81.5625</v>
      </c>
      <c r="J59" s="59">
        <f t="shared" si="6"/>
        <v>-31.5</v>
      </c>
      <c r="K59" s="59">
        <f>-D59</f>
        <v>-31.5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60.750000000000007</v>
      </c>
      <c r="D60" s="59">
        <f t="shared" si="7"/>
        <v>18.900000000000002</v>
      </c>
      <c r="E60" s="22">
        <f t="shared" si="8"/>
        <v>5.3683671703450269E-4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-60.750000000000007</v>
      </c>
      <c r="J60" s="59">
        <f t="shared" si="6"/>
        <v>-18.900000000000002</v>
      </c>
      <c r="K60" s="59">
        <f>-D60-M60</f>
        <v>-18.900000000000002</v>
      </c>
      <c r="L60" s="59">
        <v>0</v>
      </c>
      <c r="M60" s="59">
        <v>0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0</v>
      </c>
      <c r="D61" s="59">
        <f>G23</f>
        <v>0</v>
      </c>
      <c r="E61" s="22">
        <f t="shared" si="8"/>
        <v>0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0</v>
      </c>
      <c r="J61" s="59">
        <f t="shared" si="6"/>
        <v>0</v>
      </c>
      <c r="K61" s="59">
        <v>0</v>
      </c>
      <c r="L61" s="59">
        <v>0</v>
      </c>
      <c r="M61" s="59">
        <f>M60*2.5+M59*2+M58*1.5+M57*1+M56*0.5</f>
        <v>0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5363.2366071428578</v>
      </c>
      <c r="D62" s="59">
        <f t="shared" ref="D62:D63" si="13">G24</f>
        <v>2730.375</v>
      </c>
      <c r="E62" s="40">
        <f t="shared" si="8"/>
        <v>7.7553732871591535E-2</v>
      </c>
      <c r="F62" s="21">
        <f t="shared" si="9"/>
        <v>3580.1071428571436</v>
      </c>
      <c r="G62" s="21">
        <f t="shared" si="5"/>
        <v>1822.6000000000004</v>
      </c>
      <c r="H62" s="40">
        <f t="shared" si="10"/>
        <v>3.7123576098355281E-2</v>
      </c>
      <c r="I62" s="59">
        <f t="shared" si="11"/>
        <v>-1783.1294642857138</v>
      </c>
      <c r="J62" s="59">
        <f>SUM(K62:M62)</f>
        <v>-907.77499999999964</v>
      </c>
      <c r="K62" s="59">
        <v>0</v>
      </c>
      <c r="L62" s="59">
        <f>L60*5+L59*4+L58*3+L57*2+L56</f>
        <v>-907.77499999999964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4851.0401785714294</v>
      </c>
      <c r="D63" s="59">
        <f t="shared" si="13"/>
        <v>6036.85</v>
      </c>
      <c r="E63" s="40">
        <f t="shared" si="8"/>
        <v>0.17147104419204959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-4851.0401785714294</v>
      </c>
      <c r="J63" s="59">
        <f t="shared" ref="J63:J66" si="14">SUM(K63:M63)</f>
        <v>-6036.85</v>
      </c>
      <c r="K63" s="59">
        <f>K60*5+K59*4+K58*3+K57*2+K56</f>
        <v>-6036.85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9815.5</v>
      </c>
      <c r="G64" s="21">
        <f t="shared" si="5"/>
        <v>7852.4</v>
      </c>
      <c r="H64" s="40">
        <f t="shared" si="10"/>
        <v>0.15994138535867714</v>
      </c>
      <c r="I64" s="59">
        <f t="shared" si="11"/>
        <v>9815.5</v>
      </c>
      <c r="J64" s="59">
        <f t="shared" si="14"/>
        <v>7852.4</v>
      </c>
      <c r="K64" s="59">
        <f>-K63</f>
        <v>6036.85</v>
      </c>
      <c r="L64" s="59">
        <f>-2*L62</f>
        <v>1815.5499999999993</v>
      </c>
      <c r="M64" s="59">
        <f>-M60*5-M59*4-M58*3-M57*2-M56</f>
        <v>0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0.38571774419760441</v>
      </c>
      <c r="I65" s="59">
        <f t="shared" si="11"/>
        <v>1690.8035714285716</v>
      </c>
      <c r="J65" s="59">
        <f t="shared" si="14"/>
        <v>18937</v>
      </c>
      <c r="K65" s="59">
        <f>-K60*11-K59*9-K58*7-K57*5-K56*3</f>
        <v>17121.45</v>
      </c>
      <c r="L65" s="59">
        <f>-L60*6-L59*5-L58*4-L57*3-L56*2</f>
        <v>1815.5499999999993</v>
      </c>
      <c r="M65" s="59">
        <f>-M60*6-M59*5-M58*4-M57*3-M56*2</f>
        <v>0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25604.357142857145</v>
      </c>
      <c r="D66" s="59">
        <f>G52*L51+G26</f>
        <v>20483.485714285714</v>
      </c>
      <c r="E66" s="40">
        <f t="shared" si="8"/>
        <v>0.58181413885080824</v>
      </c>
      <c r="F66" s="21">
        <f t="shared" si="9"/>
        <v>25604.357142857145</v>
      </c>
      <c r="G66" s="21">
        <f t="shared" si="5"/>
        <v>20483.485714285714</v>
      </c>
      <c r="H66" s="40">
        <f t="shared" si="10"/>
        <v>0.41721729434536314</v>
      </c>
      <c r="I66" s="59">
        <f t="shared" si="11"/>
        <v>0</v>
      </c>
      <c r="J66" s="59">
        <f t="shared" si="14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5">SUM(C56:C66)</f>
        <v>40690.767857142862</v>
      </c>
      <c r="D67" s="59">
        <f t="shared" si="15"/>
        <v>35206.235714285714</v>
      </c>
      <c r="E67" s="22">
        <f t="shared" si="15"/>
        <v>1</v>
      </c>
      <c r="F67" s="63">
        <f t="shared" si="15"/>
        <v>40690.767857142855</v>
      </c>
      <c r="G67" s="21">
        <f t="shared" si="15"/>
        <v>49095.485714285714</v>
      </c>
      <c r="H67" s="22">
        <f t="shared" si="15"/>
        <v>1</v>
      </c>
      <c r="I67" s="59">
        <f>SUM(I56:I66)</f>
        <v>-9.0949470177292824E-13</v>
      </c>
      <c r="J67" s="59">
        <f>SUM(J56:J66)</f>
        <v>13889.25</v>
      </c>
      <c r="K67" s="59">
        <f>SUM(K56:K66)</f>
        <v>12073.7</v>
      </c>
      <c r="L67" s="59">
        <f>SUM(L56:L66)</f>
        <v>1815.5499999999993</v>
      </c>
      <c r="M67" s="59">
        <f>SUM(M56:M66)</f>
        <v>0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2.4116193775151546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5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4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3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2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67" t="s">
        <v>95</v>
      </c>
      <c r="C74" s="5"/>
      <c r="D74" s="15">
        <v>1</v>
      </c>
      <c r="E74" s="1" t="s">
        <v>91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6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103" t="s">
        <v>104</v>
      </c>
      <c r="C84" s="103"/>
      <c r="D84" s="15"/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103" t="s">
        <v>106</v>
      </c>
      <c r="C86" s="103"/>
      <c r="D86" s="15"/>
      <c r="E86" s="1" t="s">
        <v>98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31862608.579799108</v>
      </c>
      <c r="I91" s="76">
        <f>E6*(1-I6)/I54*N50*20*1000/3600</f>
        <v>59437.046875000007</v>
      </c>
      <c r="J91" s="76">
        <f>(K60/I54*C108+K59/I54*C107+K58/I54*C106+K57/I54*C105+K56/I54*C104)*1000/3600*1000</f>
        <v>-14655782.787698414</v>
      </c>
      <c r="K91" s="76">
        <f>(L56/I54*C109+L57/I54*C110+L58/I54*C111+L59/I54*C112+L60/I54*C113)*1000/3600*1000</f>
        <v>-2781074.0792410704</v>
      </c>
      <c r="L91" s="111">
        <f>(M56/I54*C114+M57/I54*C115+M58/I54*C116+M59/I54*C117+M60/I54*C118)*1000/3600*1000</f>
        <v>0</v>
      </c>
      <c r="M91" s="21">
        <f>H91+I91+J91+K91+L91</f>
        <v>14485188.759734623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09" t="s">
        <v>95</v>
      </c>
      <c r="F94" s="8"/>
      <c r="G94" s="8"/>
      <c r="H94" s="78" t="s">
        <v>115</v>
      </c>
      <c r="I94" s="79">
        <f>M91/(G67/D13*1000/3600*B103)</f>
        <v>811.65954807604749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32.13848376697878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29.312928939640656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10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103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4405-AA94-47DE-8E98-6915CEE4B49B}">
  <sheetPr>
    <tabColor rgb="FFFFC000"/>
  </sheetPr>
  <dimension ref="A1:S1000"/>
  <sheetViews>
    <sheetView workbookViewId="0">
      <selection activeCell="E106" sqref="E106"/>
    </sheetView>
  </sheetViews>
  <sheetFormatPr defaultColWidth="12.5703125" defaultRowHeight="1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134</v>
      </c>
      <c r="B2" s="1"/>
      <c r="C2" s="1"/>
      <c r="D2" s="1"/>
      <c r="E2" s="1"/>
      <c r="F2" s="1"/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3" t="s">
        <v>3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5"/>
      <c r="D5" s="6" t="s">
        <v>4</v>
      </c>
      <c r="E5" s="7"/>
      <c r="F5" s="1"/>
      <c r="G5" s="5"/>
      <c r="H5" s="5"/>
      <c r="I5" s="7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8"/>
      <c r="C6" s="9" t="s">
        <v>5</v>
      </c>
      <c r="D6" s="10"/>
      <c r="E6" s="11">
        <v>9000</v>
      </c>
      <c r="F6" s="8" t="s">
        <v>6</v>
      </c>
      <c r="G6" s="9" t="s">
        <v>7</v>
      </c>
      <c r="H6" s="10"/>
      <c r="I6" s="11">
        <v>0.3</v>
      </c>
      <c r="J6" s="1" t="s">
        <v>135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8"/>
      <c r="C7" s="12" t="s">
        <v>8</v>
      </c>
      <c r="D7" s="13" t="s">
        <v>9</v>
      </c>
      <c r="E7" s="11">
        <v>0.81</v>
      </c>
      <c r="F7" s="90"/>
      <c r="G7" s="9" t="s">
        <v>10</v>
      </c>
      <c r="H7" s="10"/>
      <c r="I7" s="92">
        <v>1.25</v>
      </c>
      <c r="J7" s="1" t="s">
        <v>136</v>
      </c>
      <c r="K7" s="1"/>
      <c r="L7" s="1"/>
      <c r="M7" s="119"/>
      <c r="N7" s="117"/>
      <c r="O7" s="117"/>
      <c r="P7" s="1"/>
      <c r="Q7" s="1"/>
    </row>
    <row r="8" spans="1:17" ht="15.75" customHeight="1" thickTop="1" thickBot="1">
      <c r="A8" s="1"/>
      <c r="B8" s="1"/>
      <c r="C8" s="8"/>
      <c r="D8" s="13" t="s">
        <v>11</v>
      </c>
      <c r="E8" s="11">
        <v>7.0000000000000007E-2</v>
      </c>
      <c r="F8" s="89"/>
      <c r="G8" s="14" t="s">
        <v>12</v>
      </c>
      <c r="H8" s="5"/>
      <c r="I8" s="91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8"/>
      <c r="D9" s="13" t="s">
        <v>13</v>
      </c>
      <c r="E9" s="11">
        <v>0.03</v>
      </c>
      <c r="F9" s="87"/>
      <c r="G9" s="5" t="s">
        <v>14</v>
      </c>
      <c r="H9" s="15"/>
      <c r="I9" s="15">
        <v>5</v>
      </c>
      <c r="J9" s="1"/>
      <c r="K9" s="1"/>
      <c r="L9" s="1"/>
      <c r="M9" s="119"/>
      <c r="N9" s="117"/>
      <c r="O9" s="117"/>
      <c r="P9" s="1"/>
      <c r="Q9" s="1"/>
    </row>
    <row r="10" spans="1:17" ht="15.75" customHeight="1" thickTop="1" thickBot="1">
      <c r="A10" s="1"/>
      <c r="B10" s="1"/>
      <c r="C10" s="8"/>
      <c r="D10" s="13" t="s">
        <v>15</v>
      </c>
      <c r="E10" s="11">
        <v>5.0000000000000001E-3</v>
      </c>
      <c r="F10" s="8"/>
      <c r="G10" s="5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8"/>
      <c r="D11" s="13" t="s">
        <v>17</v>
      </c>
      <c r="E11" s="11">
        <v>3.0000000000000001E-3</v>
      </c>
      <c r="F11" s="8"/>
      <c r="G11" s="5" t="s">
        <v>18</v>
      </c>
      <c r="H11" s="15"/>
      <c r="I11" s="15">
        <v>3</v>
      </c>
      <c r="J11" s="1"/>
      <c r="K11" s="1"/>
      <c r="L11" s="1"/>
      <c r="M11" s="119"/>
      <c r="N11" s="117"/>
      <c r="O11" s="117"/>
      <c r="P11" s="1"/>
      <c r="Q11" s="1"/>
    </row>
    <row r="12" spans="1:17" ht="15.75" customHeight="1" thickTop="1" thickBot="1">
      <c r="A12" s="1"/>
      <c r="B12" s="1"/>
      <c r="C12" s="8"/>
      <c r="D12" s="13" t="s">
        <v>19</v>
      </c>
      <c r="E12" s="86">
        <f>1-(E7+E8+E9+E10+E11)</f>
        <v>8.1999999999999851E-2</v>
      </c>
      <c r="F12" s="88"/>
      <c r="G12" s="5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8"/>
      <c r="G13" s="5" t="s">
        <v>21</v>
      </c>
      <c r="H13" s="15"/>
      <c r="I13" s="15">
        <v>1</v>
      </c>
      <c r="J13" s="1"/>
      <c r="K13" s="1"/>
      <c r="L13" s="1"/>
      <c r="M13" s="119"/>
      <c r="N13" s="117"/>
      <c r="O13" s="117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5"/>
      <c r="B15" s="5"/>
      <c r="C15" s="5"/>
      <c r="D15" s="5"/>
      <c r="E15" s="6" t="s">
        <v>22</v>
      </c>
      <c r="F15" s="5"/>
      <c r="G15" s="5"/>
      <c r="H15" s="5"/>
      <c r="I15" s="5"/>
      <c r="J15" s="5"/>
      <c r="K15" s="1"/>
      <c r="L15" s="1"/>
      <c r="M15" s="119"/>
      <c r="N15" s="117"/>
      <c r="O15" s="117"/>
      <c r="P15" s="1"/>
      <c r="Q15" s="1"/>
    </row>
    <row r="16" spans="1:17" ht="15.75" customHeight="1" thickTop="1" thickBot="1">
      <c r="A16" s="17"/>
      <c r="B16" s="15"/>
      <c r="C16" s="120" t="s">
        <v>23</v>
      </c>
      <c r="D16" s="121"/>
      <c r="E16" s="122"/>
      <c r="F16" s="120" t="s">
        <v>24</v>
      </c>
      <c r="G16" s="121"/>
      <c r="H16" s="122"/>
      <c r="I16" s="9" t="s">
        <v>25</v>
      </c>
      <c r="J16" s="15"/>
      <c r="K16" s="1"/>
      <c r="L16" s="1"/>
      <c r="M16" s="1"/>
      <c r="N16" s="1"/>
      <c r="O16" s="1"/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94"/>
      <c r="M17" s="95" t="s">
        <v>35</v>
      </c>
      <c r="N17" s="95" t="s">
        <v>34</v>
      </c>
      <c r="O17" s="95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1562.1428571428573</v>
      </c>
      <c r="D18" s="21">
        <f>F29*E7</f>
        <v>2187</v>
      </c>
      <c r="E18" s="22">
        <f>D18/D27</f>
        <v>7.3547922171510918E-2</v>
      </c>
      <c r="F18" s="21">
        <f t="shared" ref="F18:G26" si="0">C18+I18</f>
        <v>44.839285714285779</v>
      </c>
      <c r="G18" s="21">
        <f>-O23/2</f>
        <v>62.775000000000091</v>
      </c>
      <c r="H18" s="22">
        <f>G18/G27</f>
        <v>2.0961567954381399E-3</v>
      </c>
      <c r="I18" s="21">
        <f>J18/D13*B18</f>
        <v>-1517.3035714285716</v>
      </c>
      <c r="J18" s="21">
        <f>G18-D18</f>
        <v>-2124.2249999999999</v>
      </c>
      <c r="K18" s="1"/>
      <c r="L18" s="99" t="s">
        <v>36</v>
      </c>
      <c r="M18" s="100">
        <f t="shared" ref="M18:M22" si="1">-D18</f>
        <v>-2187</v>
      </c>
      <c r="N18" s="100">
        <f>M18/22.4*B18</f>
        <v>-1562.1428571428573</v>
      </c>
      <c r="O18" s="100">
        <f>M18+D18</f>
        <v>0</v>
      </c>
      <c r="Q18" s="23"/>
      <c r="R18" s="23"/>
    </row>
    <row r="19" spans="1:19" ht="15.75" customHeight="1" thickTop="1" thickBot="1">
      <c r="A19" s="20" t="s">
        <v>11</v>
      </c>
      <c r="B19" s="15">
        <v>30</v>
      </c>
      <c r="C19" s="21">
        <f>D19/D13*B19</f>
        <v>253.12500000000006</v>
      </c>
      <c r="D19" s="21">
        <f>F29*E8</f>
        <v>189.00000000000003</v>
      </c>
      <c r="E19" s="22">
        <f>D19/D27</f>
        <v>6.3559932740811917E-3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-253.12500000000006</v>
      </c>
      <c r="J19" s="21">
        <f t="shared" ref="J19:J22" si="2">-D19</f>
        <v>-189.00000000000003</v>
      </c>
      <c r="K19" s="1"/>
      <c r="L19" s="99" t="s">
        <v>37</v>
      </c>
      <c r="M19" s="100">
        <f t="shared" si="1"/>
        <v>-189.00000000000003</v>
      </c>
      <c r="N19" s="100">
        <f>M19/D13*B19</f>
        <v>-253.12500000000006</v>
      </c>
      <c r="O19" s="100">
        <f>J19+D19</f>
        <v>0</v>
      </c>
      <c r="Q19" s="23"/>
      <c r="R19" s="23"/>
    </row>
    <row r="20" spans="1:19" ht="15.75" customHeight="1" thickTop="1" thickBot="1">
      <c r="A20" s="20" t="s">
        <v>13</v>
      </c>
      <c r="B20" s="15">
        <v>44</v>
      </c>
      <c r="C20" s="21">
        <f>D20/D13*B20</f>
        <v>159.10714285714286</v>
      </c>
      <c r="D20" s="21">
        <f>F29*E9</f>
        <v>81</v>
      </c>
      <c r="E20" s="22">
        <f>D20/D27</f>
        <v>2.7239971174633673E-3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-159.10714285714286</v>
      </c>
      <c r="J20" s="21">
        <f t="shared" si="2"/>
        <v>-81</v>
      </c>
      <c r="K20" s="1"/>
      <c r="L20" s="99" t="s">
        <v>38</v>
      </c>
      <c r="M20" s="100">
        <f t="shared" si="1"/>
        <v>-81</v>
      </c>
      <c r="N20" s="100">
        <f>M20/D13*B20</f>
        <v>-159.10714285714286</v>
      </c>
      <c r="O20" s="100">
        <f t="shared" ref="O20:O26" si="3">M20+D20</f>
        <v>0</v>
      </c>
      <c r="Q20" s="23"/>
      <c r="R20" s="23"/>
      <c r="S20" s="23"/>
    </row>
    <row r="21" spans="1:19" ht="15.75" customHeight="1" thickTop="1" thickBot="1">
      <c r="A21" s="20" t="s">
        <v>15</v>
      </c>
      <c r="B21" s="15">
        <v>58</v>
      </c>
      <c r="C21" s="21">
        <f>D21/D13*B21</f>
        <v>34.955357142857146</v>
      </c>
      <c r="D21" s="21">
        <f>F29*E10</f>
        <v>13.5</v>
      </c>
      <c r="E21" s="22">
        <f>D21/D27</f>
        <v>4.5399951957722788E-4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-34.955357142857146</v>
      </c>
      <c r="J21" s="21">
        <f t="shared" si="2"/>
        <v>-13.5</v>
      </c>
      <c r="K21" s="1"/>
      <c r="L21" s="99" t="s">
        <v>39</v>
      </c>
      <c r="M21" s="100">
        <f t="shared" si="1"/>
        <v>-13.5</v>
      </c>
      <c r="N21" s="100">
        <f>M21/D13*B21</f>
        <v>-34.955357142857146</v>
      </c>
      <c r="O21" s="100">
        <f t="shared" si="3"/>
        <v>0</v>
      </c>
      <c r="Q21" s="23"/>
      <c r="R21" s="23"/>
    </row>
    <row r="22" spans="1:19" ht="15.75" customHeight="1" thickTop="1" thickBot="1">
      <c r="A22" s="20" t="s">
        <v>17</v>
      </c>
      <c r="B22" s="15">
        <v>72</v>
      </c>
      <c r="C22" s="21">
        <f>D22/D13*B22</f>
        <v>26.035714285714285</v>
      </c>
      <c r="D22" s="21">
        <f>F29*E11</f>
        <v>8.1</v>
      </c>
      <c r="E22" s="22">
        <f>D22/D27</f>
        <v>2.7239971174633672E-4</v>
      </c>
      <c r="F22" s="21">
        <f t="shared" si="0"/>
        <v>0</v>
      </c>
      <c r="G22" s="24">
        <f t="shared" si="0"/>
        <v>0</v>
      </c>
      <c r="H22" s="22">
        <f>G22/G27</f>
        <v>0</v>
      </c>
      <c r="I22" s="21">
        <f>J22/D13*B22</f>
        <v>-26.035714285714285</v>
      </c>
      <c r="J22" s="21">
        <f t="shared" si="2"/>
        <v>-8.1</v>
      </c>
      <c r="K22" s="8"/>
      <c r="L22" s="96" t="s">
        <v>40</v>
      </c>
      <c r="M22" s="100">
        <f t="shared" si="1"/>
        <v>-8.1</v>
      </c>
      <c r="N22" s="100">
        <f>M22/D13*B22</f>
        <v>-26.035714285714285</v>
      </c>
      <c r="O22" s="100">
        <f t="shared" si="3"/>
        <v>0</v>
      </c>
      <c r="R22" s="23"/>
      <c r="S22" s="1"/>
    </row>
    <row r="23" spans="1:19" ht="15.75" customHeight="1" thickTop="1" thickBot="1">
      <c r="A23" s="20" t="s">
        <v>41</v>
      </c>
      <c r="B23" s="15">
        <v>32</v>
      </c>
      <c r="C23" s="21">
        <f>D23/D13*B23</f>
        <v>7810.7142857142862</v>
      </c>
      <c r="D23" s="21">
        <f>F29*E7*I7*2</f>
        <v>5467.5</v>
      </c>
      <c r="E23" s="22">
        <f>D23/D27</f>
        <v>0.18386980542877729</v>
      </c>
      <c r="F23" s="25">
        <f t="shared" si="0"/>
        <v>0</v>
      </c>
      <c r="G23" s="26">
        <f t="shared" si="0"/>
        <v>0</v>
      </c>
      <c r="H23" s="22">
        <f>G23/G27</f>
        <v>0</v>
      </c>
      <c r="I23" s="21">
        <f>J23/D13*B23</f>
        <v>-7810.7142857142862</v>
      </c>
      <c r="J23" s="21">
        <f>J22*8+J21*6.5+J20*5+J19*3.5+J18*2</f>
        <v>-5467.5</v>
      </c>
      <c r="K23" s="8"/>
      <c r="L23" s="97" t="s">
        <v>42</v>
      </c>
      <c r="M23" s="100">
        <f>(M22*8+M21*6.5+M20*5+M19*3.5+M18*2)</f>
        <v>-5593.05</v>
      </c>
      <c r="N23" s="100">
        <f>M23/D13*B23</f>
        <v>-7990.0714285714294</v>
      </c>
      <c r="O23" s="100">
        <f t="shared" si="3"/>
        <v>-125.55000000000018</v>
      </c>
      <c r="Q23" s="23"/>
      <c r="R23" s="23"/>
      <c r="S23" s="1"/>
    </row>
    <row r="24" spans="1:19" ht="15.75" customHeight="1" thickTop="1" thickBot="1">
      <c r="A24" s="20" t="s">
        <v>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5578.03125</v>
      </c>
      <c r="G24" s="21">
        <f t="shared" si="0"/>
        <v>2839.7249999999999</v>
      </c>
      <c r="H24" s="22">
        <f>G24/G27</f>
        <v>9.4822920843099373E-2</v>
      </c>
      <c r="I24" s="21">
        <f>J24/D13*B24</f>
        <v>5578.03125</v>
      </c>
      <c r="J24" s="21">
        <f>-J22*5+(-J21*4)+(-J20*3)+(-J19*2)+(-J18*1)</f>
        <v>2839.7249999999999</v>
      </c>
      <c r="K24" s="8"/>
      <c r="L24" s="98" t="s">
        <v>44</v>
      </c>
      <c r="M24" s="100">
        <f>-(M22*8+M21*4+M20*3+M19*2+M18)</f>
        <v>2926.8</v>
      </c>
      <c r="N24" s="100">
        <f>M24/D13*B24</f>
        <v>5749.0714285714294</v>
      </c>
      <c r="O24" s="100">
        <f t="shared" si="3"/>
        <v>2926.8</v>
      </c>
      <c r="Q24" s="23"/>
      <c r="R24" s="23"/>
      <c r="S24" s="1"/>
    </row>
    <row r="25" spans="1:19" ht="15.75" customHeight="1" thickTop="1" thickBot="1">
      <c r="A25" s="20" t="s">
        <v>45</v>
      </c>
      <c r="B25" s="15">
        <v>18</v>
      </c>
      <c r="C25" s="21">
        <f>D25/D13*B25</f>
        <v>803.57142857142867</v>
      </c>
      <c r="D25" s="27">
        <v>1000</v>
      </c>
      <c r="E25" s="22">
        <f>D25/D27</f>
        <v>3.3629594042757623E-2</v>
      </c>
      <c r="F25" s="21">
        <f t="shared" si="0"/>
        <v>5026.7812500000009</v>
      </c>
      <c r="G25" s="21">
        <f t="shared" si="0"/>
        <v>6255.55</v>
      </c>
      <c r="H25" s="22">
        <f>G25/G27</f>
        <v>0.20888273423660753</v>
      </c>
      <c r="I25" s="21">
        <f>J25/D13*B25</f>
        <v>4223.2098214285725</v>
      </c>
      <c r="J25" s="21">
        <f>-J22*6+(-J21*5)+(-J20*4)+(-J19*3)+(-J18*2)</f>
        <v>5255.55</v>
      </c>
      <c r="K25" s="8"/>
      <c r="L25" s="98" t="s">
        <v>46</v>
      </c>
      <c r="M25" s="100">
        <f>-(M22*6+M21*5+M20*4+M19*3+M18*2)</f>
        <v>5381.1</v>
      </c>
      <c r="N25" s="100">
        <f>M25/D13*B25</f>
        <v>4324.0982142857147</v>
      </c>
      <c r="O25" s="100">
        <f t="shared" si="3"/>
        <v>6381.1</v>
      </c>
      <c r="Q25" s="23"/>
      <c r="R25" s="23"/>
      <c r="S25" s="1"/>
    </row>
    <row r="26" spans="1:19" ht="15.75" customHeight="1" thickTop="1" thickBot="1">
      <c r="A26" s="20" t="s">
        <v>47</v>
      </c>
      <c r="B26" s="15">
        <v>28</v>
      </c>
      <c r="C26" s="24">
        <f>D26/D13*B26</f>
        <v>25987.017857142862</v>
      </c>
      <c r="D26" s="21">
        <f>D23*79/21+F29*(1-E7-E8-E9-E10-E11)</f>
        <v>20789.614285714288</v>
      </c>
      <c r="E26" s="28">
        <f>D26/D27</f>
        <v>0.69914628873408602</v>
      </c>
      <c r="F26" s="24">
        <f t="shared" si="0"/>
        <v>25987.017857142862</v>
      </c>
      <c r="G26" s="21">
        <f t="shared" si="0"/>
        <v>20789.614285714288</v>
      </c>
      <c r="H26" s="28">
        <f>G26/G27</f>
        <v>0.69419818812485501</v>
      </c>
      <c r="I26" s="24">
        <f>J26/D13*B26</f>
        <v>0</v>
      </c>
      <c r="J26" s="21">
        <v>0</v>
      </c>
      <c r="K26" s="1"/>
      <c r="L26" s="98" t="s">
        <v>48</v>
      </c>
      <c r="M26" s="100">
        <v>0</v>
      </c>
      <c r="N26" s="100">
        <f>M26/D13*B26</f>
        <v>0</v>
      </c>
      <c r="O26" s="100">
        <f t="shared" si="3"/>
        <v>20789.614285714288</v>
      </c>
      <c r="P26" s="23"/>
      <c r="Q26" s="23"/>
    </row>
    <row r="27" spans="1:19" ht="15.75" customHeight="1" thickTop="1" thickBot="1">
      <c r="A27" s="29" t="s">
        <v>49</v>
      </c>
      <c r="B27" s="10"/>
      <c r="C27" s="26">
        <f t="shared" ref="C27:J27" si="4">SUM(C18:C26)</f>
        <v>36636.669642857152</v>
      </c>
      <c r="D27" s="25">
        <f t="shared" si="4"/>
        <v>29735.71428571429</v>
      </c>
      <c r="E27" s="30">
        <f t="shared" si="4"/>
        <v>1</v>
      </c>
      <c r="F27" s="26">
        <f t="shared" si="4"/>
        <v>36636.669642857145</v>
      </c>
      <c r="G27" s="25">
        <f t="shared" si="4"/>
        <v>29947.664285714287</v>
      </c>
      <c r="H27" s="30">
        <f t="shared" si="4"/>
        <v>1</v>
      </c>
      <c r="I27" s="26">
        <f t="shared" si="4"/>
        <v>0</v>
      </c>
      <c r="J27" s="21">
        <f t="shared" si="4"/>
        <v>211.94999999999982</v>
      </c>
      <c r="K27" s="1"/>
      <c r="L27" s="1"/>
      <c r="M27" s="31"/>
      <c r="N27" s="1"/>
      <c r="O27" s="23"/>
      <c r="P27" s="23"/>
      <c r="Q27" s="23"/>
    </row>
    <row r="28" spans="1:19" ht="15.75" customHeight="1" thickTop="1" thickBo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32"/>
      <c r="B29" s="1"/>
      <c r="C29" s="33" t="s">
        <v>50</v>
      </c>
      <c r="D29" s="1"/>
      <c r="E29" s="8"/>
      <c r="F29" s="15">
        <f>E6*I6</f>
        <v>2700</v>
      </c>
      <c r="G29" s="1"/>
      <c r="H29" s="1" t="s">
        <v>51</v>
      </c>
      <c r="I29" s="1">
        <v>525</v>
      </c>
      <c r="J29" s="1" t="s">
        <v>52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4"/>
      <c r="B30" s="35" t="s">
        <v>53</v>
      </c>
      <c r="C30" s="36" t="s">
        <v>54</v>
      </c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37" t="s">
        <v>26</v>
      </c>
      <c r="B31" s="38" t="s">
        <v>55</v>
      </c>
      <c r="C31" s="38" t="s">
        <v>56</v>
      </c>
      <c r="D31" s="1"/>
      <c r="E31" s="1"/>
      <c r="F31" s="1"/>
      <c r="G31" s="1"/>
      <c r="H31" s="39"/>
      <c r="I31" s="1"/>
      <c r="J31" s="1"/>
      <c r="K31" s="1"/>
      <c r="L31" s="1" t="s">
        <v>57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0">
        <v>35.700000000000003</v>
      </c>
      <c r="C32" s="40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0">
        <v>52.49</v>
      </c>
      <c r="C33" s="40">
        <v>-84</v>
      </c>
      <c r="D33" s="1"/>
      <c r="E33" s="1"/>
      <c r="F33" s="4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0">
        <v>73.599999999999994</v>
      </c>
      <c r="C34" s="40">
        <f>-103.85</f>
        <v>-103.85</v>
      </c>
      <c r="D34" s="1"/>
      <c r="E34" s="1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0">
        <v>98.49</v>
      </c>
      <c r="C35" s="40">
        <f>-125.77</f>
        <v>-125.77</v>
      </c>
      <c r="D35" s="1"/>
      <c r="E35" s="93"/>
      <c r="F35" s="41" t="s">
        <v>59</v>
      </c>
      <c r="G35" s="41" t="s">
        <v>60</v>
      </c>
      <c r="H35" s="42" t="s">
        <v>61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0">
        <v>120.04</v>
      </c>
      <c r="C36" s="40">
        <f>-146.36</f>
        <v>-146.36000000000001</v>
      </c>
      <c r="D36" s="1"/>
      <c r="E36" s="43"/>
      <c r="F36" s="40">
        <f>I29*B42*D27/22.4*1000/3600</f>
        <v>5832609.1601562509</v>
      </c>
      <c r="G36" s="44">
        <f>(J22*C45/1+J21*C46/1+J20*C47/1+J19*C48/1+J18*C49/1)/22.4*(1000/3600)*1000</f>
        <v>27316113.532366075</v>
      </c>
      <c r="H36" s="45">
        <f>F36+G36</f>
        <v>33148722.692522325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41</v>
      </c>
      <c r="B37" s="40">
        <v>29.38</v>
      </c>
      <c r="C37" s="40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43</v>
      </c>
      <c r="B38" s="40">
        <v>37.14</v>
      </c>
      <c r="C38" s="40">
        <f>-393.51</f>
        <v>-393.51</v>
      </c>
      <c r="D38" s="1"/>
      <c r="E38" s="1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45</v>
      </c>
      <c r="B39" s="40">
        <v>33.6</v>
      </c>
      <c r="C39" s="40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47</v>
      </c>
      <c r="B40" s="40">
        <v>29.12</v>
      </c>
      <c r="C40" s="40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5"/>
      <c r="B41" s="46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7" t="s">
        <v>62</v>
      </c>
      <c r="B42" s="45">
        <f>B32*E18+B33*E19+B34*E20+B35*E21+B36*E22+B37*E23+B38*E24+B39*E25+B40*E26</f>
        <v>30.128375541676675</v>
      </c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7" t="s">
        <v>63</v>
      </c>
      <c r="B43" s="45">
        <f>B32*H18+B33*H19+B34*H20+B35*H21+B36*H22+B37*H23+B38*H24+B39*H25+B40*H26</f>
        <v>30.830067186255647</v>
      </c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0"/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8"/>
      <c r="B45" s="51" t="s">
        <v>64</v>
      </c>
      <c r="C45" s="45">
        <f>((5*C38+6*C39)-(C36+8*C37))</f>
        <v>-3272.1699999999996</v>
      </c>
      <c r="D45" s="1" t="s">
        <v>65</v>
      </c>
      <c r="E45" s="1"/>
      <c r="F45" s="1"/>
      <c r="G45" s="1"/>
      <c r="H45" s="1"/>
      <c r="I45" s="1"/>
      <c r="J45" s="1"/>
      <c r="K45" s="5"/>
      <c r="L45" s="108" t="s">
        <v>8</v>
      </c>
      <c r="M45" s="52" t="s">
        <v>66</v>
      </c>
      <c r="N45" s="1"/>
      <c r="O45" s="1"/>
      <c r="P45" s="1"/>
      <c r="Q45" s="1"/>
    </row>
    <row r="46" spans="1:17" ht="15.75" customHeight="1" thickTop="1" thickBot="1">
      <c r="A46" s="8"/>
      <c r="B46" s="51" t="s">
        <v>67</v>
      </c>
      <c r="C46" s="45">
        <f>((4*C38+5*C39)-(1*C35))</f>
        <v>-2657.42</v>
      </c>
      <c r="D46" s="1" t="s">
        <v>65</v>
      </c>
      <c r="E46" s="1"/>
      <c r="F46" s="1"/>
      <c r="G46" s="1"/>
      <c r="H46" s="1"/>
      <c r="I46" s="1"/>
      <c r="J46" s="8"/>
      <c r="K46" s="107" t="s">
        <v>68</v>
      </c>
      <c r="L46" s="95">
        <v>0.81</v>
      </c>
      <c r="M46" s="40">
        <v>35.700000000000003</v>
      </c>
      <c r="N46" s="1"/>
      <c r="O46" s="1"/>
      <c r="P46" s="1"/>
      <c r="Q46" s="1"/>
    </row>
    <row r="47" spans="1:17" ht="15.75" customHeight="1" thickTop="1" thickBot="1">
      <c r="A47" s="8"/>
      <c r="B47" s="51" t="s">
        <v>69</v>
      </c>
      <c r="C47" s="45">
        <f>((3*C38+4*C39)-(1*C34))</f>
        <v>-2044</v>
      </c>
      <c r="D47" s="1" t="s">
        <v>65</v>
      </c>
      <c r="E47" s="1"/>
      <c r="F47" s="1"/>
      <c r="G47" s="1"/>
      <c r="H47" s="1"/>
      <c r="I47" s="1"/>
      <c r="J47" s="8"/>
      <c r="K47" s="107" t="s">
        <v>70</v>
      </c>
      <c r="L47" s="95">
        <v>7.0000000000000007E-2</v>
      </c>
      <c r="M47" s="40">
        <v>52.49</v>
      </c>
      <c r="N47" s="1"/>
      <c r="O47" s="1"/>
      <c r="P47" s="1"/>
      <c r="Q47" s="1"/>
    </row>
    <row r="48" spans="1:17" ht="15.75" customHeight="1" thickTop="1" thickBot="1">
      <c r="A48" s="8"/>
      <c r="B48" s="51" t="s">
        <v>71</v>
      </c>
      <c r="C48" s="45">
        <f>((2*C38+3*C39)-(C33))</f>
        <v>-1428.51</v>
      </c>
      <c r="D48" s="1" t="s">
        <v>65</v>
      </c>
      <c r="E48" s="1"/>
      <c r="F48" s="1"/>
      <c r="G48" s="1"/>
      <c r="H48" s="1"/>
      <c r="I48" s="1"/>
      <c r="J48" s="8"/>
      <c r="K48" s="107" t="s">
        <v>72</v>
      </c>
      <c r="L48" s="95">
        <v>0.03</v>
      </c>
      <c r="M48" s="40">
        <v>73.599999999999994</v>
      </c>
      <c r="N48" s="1"/>
      <c r="O48" s="1"/>
      <c r="P48" s="1"/>
      <c r="Q48" s="1"/>
    </row>
    <row r="49" spans="1:17" ht="15.75" customHeight="1" thickTop="1" thickBot="1">
      <c r="A49" s="8"/>
      <c r="B49" s="51" t="s">
        <v>73</v>
      </c>
      <c r="C49" s="45">
        <f>((1*C38+2*C39)-(1*C32))</f>
        <v>-802.57</v>
      </c>
      <c r="D49" s="1" t="s">
        <v>65</v>
      </c>
      <c r="E49" s="1"/>
      <c r="F49" s="1"/>
      <c r="G49" s="1"/>
      <c r="H49" s="1"/>
      <c r="I49" s="1"/>
      <c r="J49" s="8"/>
      <c r="K49" s="107" t="s">
        <v>74</v>
      </c>
      <c r="L49" s="95">
        <v>5.0000000000000001E-3</v>
      </c>
      <c r="M49" s="40">
        <v>98.49</v>
      </c>
      <c r="N49" s="6" t="s">
        <v>75</v>
      </c>
      <c r="O49" s="1"/>
      <c r="P49" s="1"/>
      <c r="Q49" s="1"/>
    </row>
    <row r="50" spans="1:17" ht="15.75" customHeight="1" thickTop="1" thickBot="1">
      <c r="A50" s="1"/>
      <c r="B50" s="23"/>
      <c r="C50" s="23"/>
      <c r="D50" s="1"/>
      <c r="E50" s="1"/>
      <c r="F50" s="1"/>
      <c r="G50" s="1"/>
      <c r="H50" s="1"/>
      <c r="I50" s="1"/>
      <c r="J50" s="8"/>
      <c r="K50" s="107" t="s">
        <v>76</v>
      </c>
      <c r="L50" s="95">
        <v>3.0000000000000001E-3</v>
      </c>
      <c r="M50" s="40">
        <v>120.04</v>
      </c>
      <c r="N50" s="53">
        <f>L46*M46+L47*M47+L48*M48+L49*M49+L50*M50+L51*M51</f>
        <v>38.039709999999999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5"/>
      <c r="H51" s="1"/>
      <c r="I51" s="1"/>
      <c r="J51" s="8"/>
      <c r="K51" s="107" t="s">
        <v>19</v>
      </c>
      <c r="L51" s="95">
        <f>1-(L46+L47+L48+L49+L50)</f>
        <v>8.1999999999999851E-2</v>
      </c>
      <c r="M51" s="40">
        <v>29.12</v>
      </c>
      <c r="N51" s="1"/>
      <c r="O51" s="1"/>
      <c r="P51" s="1"/>
      <c r="Q51" s="1"/>
    </row>
    <row r="52" spans="1:17" ht="15.75" customHeight="1" thickTop="1" thickBot="1">
      <c r="A52" s="4" t="s">
        <v>77</v>
      </c>
      <c r="B52" s="1"/>
      <c r="C52" s="1"/>
      <c r="D52" s="1"/>
      <c r="E52" s="33" t="s">
        <v>78</v>
      </c>
      <c r="F52" s="8"/>
      <c r="G52" s="15">
        <f>E6-F29</f>
        <v>6300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6" t="s">
        <v>79</v>
      </c>
      <c r="E53" s="117"/>
      <c r="F53" s="117"/>
      <c r="G53" s="117"/>
      <c r="H53" s="117"/>
      <c r="I53" s="117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5"/>
      <c r="B54" s="5"/>
      <c r="C54" s="5"/>
      <c r="D54" s="5"/>
      <c r="E54" s="5"/>
      <c r="F54" s="5"/>
      <c r="G54" s="5"/>
      <c r="H54" s="5"/>
      <c r="I54" s="54">
        <v>22.4</v>
      </c>
      <c r="J54" s="5"/>
      <c r="K54" s="55" t="s">
        <v>80</v>
      </c>
      <c r="L54" s="55" t="s">
        <v>81</v>
      </c>
      <c r="M54" s="55" t="s">
        <v>82</v>
      </c>
      <c r="N54" s="56"/>
      <c r="O54" s="56"/>
      <c r="P54" s="1"/>
      <c r="Q54" s="1"/>
    </row>
    <row r="55" spans="1:17" ht="15.75" customHeight="1" thickTop="1" thickBot="1">
      <c r="A55" s="57" t="s">
        <v>26</v>
      </c>
      <c r="B55" s="41" t="s">
        <v>27</v>
      </c>
      <c r="C55" s="41" t="s">
        <v>28</v>
      </c>
      <c r="D55" s="41" t="s">
        <v>29</v>
      </c>
      <c r="E55" s="41" t="s">
        <v>30</v>
      </c>
      <c r="F55" s="41" t="s">
        <v>31</v>
      </c>
      <c r="G55" s="41" t="s">
        <v>32</v>
      </c>
      <c r="H55" s="41" t="s">
        <v>33</v>
      </c>
      <c r="I55" s="41" t="s">
        <v>34</v>
      </c>
      <c r="J55" s="41" t="s">
        <v>35</v>
      </c>
      <c r="K55" s="41" t="s">
        <v>83</v>
      </c>
      <c r="L55" s="41" t="s">
        <v>84</v>
      </c>
      <c r="M55" s="41" t="s">
        <v>85</v>
      </c>
      <c r="N55" s="58"/>
      <c r="O55" s="1"/>
      <c r="P55" s="1"/>
      <c r="Q55" s="1"/>
    </row>
    <row r="56" spans="1:17" ht="15.75" customHeight="1" thickTop="1" thickBot="1">
      <c r="A56" s="20" t="s">
        <v>9</v>
      </c>
      <c r="B56" s="59">
        <v>16</v>
      </c>
      <c r="C56" s="59">
        <f>D56/I54*B56</f>
        <v>3689.8392857142858</v>
      </c>
      <c r="D56" s="59">
        <f>G$52*L46+G18</f>
        <v>5165.7749999999996</v>
      </c>
      <c r="E56" s="40">
        <f>D56/D$67</f>
        <v>0.14251332056272392</v>
      </c>
      <c r="F56" s="21">
        <f>G56/I$54*B56</f>
        <v>0</v>
      </c>
      <c r="G56" s="21">
        <f t="shared" ref="G56:G66" si="5">D56+J56</f>
        <v>0</v>
      </c>
      <c r="H56" s="40">
        <f>G56/G$67</f>
        <v>0</v>
      </c>
      <c r="I56" s="59">
        <f>J56/I$54*B56</f>
        <v>-3689.8392857142858</v>
      </c>
      <c r="J56" s="59">
        <f t="shared" ref="J56:J61" si="6">SUM(K56:M56)</f>
        <v>-5165.7749999999996</v>
      </c>
      <c r="K56" s="59">
        <v>-4586.05</v>
      </c>
      <c r="L56" s="59">
        <f>-D56-K56</f>
        <v>-579.72499999999945</v>
      </c>
      <c r="M56" s="59">
        <v>0</v>
      </c>
      <c r="N56" s="60"/>
      <c r="O56" s="61"/>
      <c r="P56" s="1"/>
      <c r="Q56" s="23"/>
    </row>
    <row r="57" spans="1:17" ht="15.75" customHeight="1" thickTop="1" thickBot="1">
      <c r="A57" s="20" t="s">
        <v>11</v>
      </c>
      <c r="B57" s="59">
        <v>30</v>
      </c>
      <c r="C57" s="59">
        <f>D57/I54*B57</f>
        <v>590.62500000000011</v>
      </c>
      <c r="D57" s="59">
        <f t="shared" ref="D57:D60" si="7">G$52*L47+G19</f>
        <v>441.00000000000006</v>
      </c>
      <c r="E57" s="40">
        <f t="shared" ref="E57:E66" si="8">D57/D$67</f>
        <v>1.2166301158715056E-2</v>
      </c>
      <c r="F57" s="21">
        <f t="shared" ref="F57:F66" si="9">G57/I$54*B57</f>
        <v>0</v>
      </c>
      <c r="G57" s="21">
        <f t="shared" si="5"/>
        <v>0</v>
      </c>
      <c r="H57" s="40">
        <f t="shared" ref="H57:H66" si="10">G57/G$67</f>
        <v>0</v>
      </c>
      <c r="I57" s="59">
        <f t="shared" ref="I57:I66" si="11">J57/I$54*B57</f>
        <v>-590.62500000000011</v>
      </c>
      <c r="J57" s="59">
        <f t="shared" si="6"/>
        <v>-441.00000000000006</v>
      </c>
      <c r="K57" s="59">
        <f t="shared" ref="K57:K58" si="12">-D57</f>
        <v>-441.00000000000006</v>
      </c>
      <c r="L57" s="59">
        <v>0</v>
      </c>
      <c r="M57" s="102">
        <v>0</v>
      </c>
      <c r="N57" s="62"/>
      <c r="O57" s="1"/>
      <c r="P57" s="1"/>
      <c r="Q57" s="23"/>
    </row>
    <row r="58" spans="1:17" ht="15.75" customHeight="1" thickTop="1" thickBot="1">
      <c r="A58" s="20" t="s">
        <v>13</v>
      </c>
      <c r="B58" s="59">
        <v>44</v>
      </c>
      <c r="C58" s="59">
        <f>D58/I54*B58</f>
        <v>371.25</v>
      </c>
      <c r="D58" s="59">
        <f t="shared" si="7"/>
        <v>189</v>
      </c>
      <c r="E58" s="40">
        <f t="shared" si="8"/>
        <v>5.2141290680207371E-3</v>
      </c>
      <c r="F58" s="21">
        <f t="shared" si="9"/>
        <v>0</v>
      </c>
      <c r="G58" s="21">
        <f t="shared" si="5"/>
        <v>0</v>
      </c>
      <c r="H58" s="40">
        <f t="shared" si="10"/>
        <v>0</v>
      </c>
      <c r="I58" s="59">
        <f t="shared" si="11"/>
        <v>-371.25</v>
      </c>
      <c r="J58" s="59">
        <f>SUM(K58:M58)</f>
        <v>-189</v>
      </c>
      <c r="K58" s="59">
        <f t="shared" si="12"/>
        <v>-189</v>
      </c>
      <c r="L58" s="59">
        <v>0</v>
      </c>
      <c r="M58" s="59">
        <v>0</v>
      </c>
      <c r="N58" s="1"/>
      <c r="O58" s="1"/>
      <c r="P58" s="1"/>
      <c r="Q58" s="23"/>
    </row>
    <row r="59" spans="1:17" ht="15.75" customHeight="1" thickTop="1" thickBot="1">
      <c r="A59" s="20" t="s">
        <v>15</v>
      </c>
      <c r="B59" s="59">
        <v>58</v>
      </c>
      <c r="C59" s="59">
        <f>D59/I54*B59</f>
        <v>81.5625</v>
      </c>
      <c r="D59" s="59">
        <f t="shared" si="7"/>
        <v>31.5</v>
      </c>
      <c r="E59" s="22">
        <f t="shared" si="8"/>
        <v>8.6902151133678952E-4</v>
      </c>
      <c r="F59" s="21">
        <f t="shared" si="9"/>
        <v>0</v>
      </c>
      <c r="G59" s="21">
        <f t="shared" si="5"/>
        <v>0</v>
      </c>
      <c r="H59" s="40">
        <f t="shared" si="10"/>
        <v>0</v>
      </c>
      <c r="I59" s="59">
        <f t="shared" si="11"/>
        <v>-81.5625</v>
      </c>
      <c r="J59" s="59">
        <f t="shared" si="6"/>
        <v>-31.5</v>
      </c>
      <c r="K59" s="59">
        <f>-D59</f>
        <v>-31.5</v>
      </c>
      <c r="L59" s="59">
        <v>0</v>
      </c>
      <c r="M59" s="59">
        <v>0</v>
      </c>
      <c r="N59" s="1"/>
      <c r="O59" s="1"/>
      <c r="P59" s="1"/>
      <c r="Q59" s="23"/>
    </row>
    <row r="60" spans="1:17" ht="15.75" customHeight="1" thickTop="1" thickBot="1">
      <c r="A60" s="20" t="s">
        <v>17</v>
      </c>
      <c r="B60" s="59">
        <v>72</v>
      </c>
      <c r="C60" s="59">
        <f>D60/I54*B60</f>
        <v>60.750000000000007</v>
      </c>
      <c r="D60" s="59">
        <f t="shared" si="7"/>
        <v>18.900000000000002</v>
      </c>
      <c r="E60" s="22">
        <f t="shared" si="8"/>
        <v>5.2141290680207382E-4</v>
      </c>
      <c r="F60" s="21">
        <f t="shared" si="9"/>
        <v>0</v>
      </c>
      <c r="G60" s="21">
        <f t="shared" si="5"/>
        <v>0</v>
      </c>
      <c r="H60" s="40">
        <f t="shared" si="10"/>
        <v>0</v>
      </c>
      <c r="I60" s="59">
        <f t="shared" si="11"/>
        <v>-60.750000000000007</v>
      </c>
      <c r="J60" s="59">
        <f t="shared" si="6"/>
        <v>-18.900000000000002</v>
      </c>
      <c r="K60" s="59">
        <f>-D60-M60</f>
        <v>-18.900000000000002</v>
      </c>
      <c r="L60" s="59">
        <v>0</v>
      </c>
      <c r="M60" s="59">
        <v>0</v>
      </c>
      <c r="N60" s="1"/>
      <c r="O60" s="1"/>
      <c r="P60" s="1"/>
      <c r="Q60" s="23"/>
    </row>
    <row r="61" spans="1:17" ht="15.75" customHeight="1" thickTop="1" thickBot="1">
      <c r="A61" s="20" t="s">
        <v>86</v>
      </c>
      <c r="B61" s="59">
        <v>32</v>
      </c>
      <c r="C61" s="59">
        <f>D61</f>
        <v>0</v>
      </c>
      <c r="D61" s="59">
        <f>G23</f>
        <v>0</v>
      </c>
      <c r="E61" s="22">
        <f t="shared" si="8"/>
        <v>0</v>
      </c>
      <c r="F61" s="21">
        <f t="shared" si="9"/>
        <v>0</v>
      </c>
      <c r="G61" s="21">
        <f t="shared" si="5"/>
        <v>0</v>
      </c>
      <c r="H61" s="40">
        <f t="shared" si="10"/>
        <v>0</v>
      </c>
      <c r="I61" s="59">
        <f t="shared" si="11"/>
        <v>0</v>
      </c>
      <c r="J61" s="59">
        <f t="shared" si="6"/>
        <v>0</v>
      </c>
      <c r="K61" s="59">
        <v>0</v>
      </c>
      <c r="L61" s="59">
        <v>0</v>
      </c>
      <c r="M61" s="59">
        <f>M60*2.5+M59*2+M58*1.5+M57*1+M56*0.5</f>
        <v>0</v>
      </c>
      <c r="N61" s="1"/>
      <c r="O61" s="1"/>
      <c r="P61" s="1"/>
      <c r="Q61" s="23"/>
    </row>
    <row r="62" spans="1:17" ht="15.75" customHeight="1" thickTop="1" thickBot="1">
      <c r="A62" s="20" t="s">
        <v>43</v>
      </c>
      <c r="B62" s="59">
        <v>44</v>
      </c>
      <c r="C62" s="59">
        <f>D62/I54*B62</f>
        <v>5578.03125</v>
      </c>
      <c r="D62" s="59">
        <f t="shared" ref="D62:D63" si="13">G24</f>
        <v>2839.7249999999999</v>
      </c>
      <c r="E62" s="40">
        <f t="shared" si="8"/>
        <v>7.8342289247011573E-2</v>
      </c>
      <c r="F62" s="21">
        <f t="shared" si="9"/>
        <v>4439.2857142857156</v>
      </c>
      <c r="G62" s="21">
        <f t="shared" si="5"/>
        <v>2260.0000000000005</v>
      </c>
      <c r="H62" s="40">
        <f t="shared" si="10"/>
        <v>4.5274055419221443E-2</v>
      </c>
      <c r="I62" s="59">
        <f t="shared" si="11"/>
        <v>-1138.7455357142846</v>
      </c>
      <c r="J62" s="59">
        <f>SUM(K62:M62)</f>
        <v>-579.72499999999945</v>
      </c>
      <c r="K62" s="59">
        <v>0</v>
      </c>
      <c r="L62" s="59">
        <f>L60*5+L59*4+L58*3+L57*2+L56</f>
        <v>-579.72499999999945</v>
      </c>
      <c r="M62" s="59">
        <v>0</v>
      </c>
      <c r="N62" s="1"/>
      <c r="O62" s="1"/>
      <c r="P62" s="1"/>
      <c r="Q62" s="23"/>
    </row>
    <row r="63" spans="1:17" ht="15.75" customHeight="1" thickTop="1" thickBot="1">
      <c r="A63" s="20" t="s">
        <v>45</v>
      </c>
      <c r="B63" s="59">
        <v>18</v>
      </c>
      <c r="C63" s="59">
        <f>D63/I54*B63</f>
        <v>5026.78125</v>
      </c>
      <c r="D63" s="59">
        <f t="shared" si="13"/>
        <v>6255.55</v>
      </c>
      <c r="E63" s="40">
        <f t="shared" si="8"/>
        <v>0.172578016356916</v>
      </c>
      <c r="F63" s="21">
        <f t="shared" si="9"/>
        <v>0</v>
      </c>
      <c r="G63" s="21">
        <f t="shared" si="5"/>
        <v>0</v>
      </c>
      <c r="H63" s="40">
        <f t="shared" si="10"/>
        <v>0</v>
      </c>
      <c r="I63" s="59">
        <f t="shared" si="11"/>
        <v>-5026.78125</v>
      </c>
      <c r="J63" s="59">
        <f t="shared" ref="J63:J66" si="14">SUM(K63:M63)</f>
        <v>-6255.55</v>
      </c>
      <c r="K63" s="59">
        <f>K60*5+K59*4+K58*3+K57*2+K56</f>
        <v>-6255.55</v>
      </c>
      <c r="L63" s="59">
        <v>0</v>
      </c>
      <c r="M63" s="59">
        <v>0</v>
      </c>
      <c r="N63" s="1"/>
      <c r="O63" s="1"/>
      <c r="P63" s="1"/>
      <c r="Q63" s="23"/>
    </row>
    <row r="64" spans="1:17" ht="15.75" customHeight="1" thickTop="1" thickBot="1">
      <c r="A64" s="20" t="s">
        <v>87</v>
      </c>
      <c r="B64" s="59">
        <v>28</v>
      </c>
      <c r="C64" s="59">
        <v>0</v>
      </c>
      <c r="D64" s="59">
        <v>0</v>
      </c>
      <c r="E64" s="40">
        <f t="shared" si="8"/>
        <v>0</v>
      </c>
      <c r="F64" s="21">
        <f t="shared" si="9"/>
        <v>9268.75</v>
      </c>
      <c r="G64" s="21">
        <f t="shared" si="5"/>
        <v>7414.9999999999991</v>
      </c>
      <c r="H64" s="40">
        <f t="shared" si="10"/>
        <v>0.14854297386439244</v>
      </c>
      <c r="I64" s="59">
        <f t="shared" si="11"/>
        <v>9268.75</v>
      </c>
      <c r="J64" s="59">
        <f t="shared" si="14"/>
        <v>7414.9999999999991</v>
      </c>
      <c r="K64" s="59">
        <f>-K63</f>
        <v>6255.55</v>
      </c>
      <c r="L64" s="59">
        <f>-2*L62</f>
        <v>1159.4499999999989</v>
      </c>
      <c r="M64" s="59">
        <f>-M60*5-M59*4-M58*3-M57*2-M56</f>
        <v>0</v>
      </c>
      <c r="N64" s="1"/>
      <c r="O64" s="1"/>
      <c r="P64" s="1"/>
      <c r="Q64" s="23"/>
    </row>
    <row r="65" spans="1:17" ht="15.75" customHeight="1" thickTop="1" thickBot="1">
      <c r="A65" s="20" t="s">
        <v>88</v>
      </c>
      <c r="B65" s="59">
        <v>2</v>
      </c>
      <c r="C65" s="59">
        <v>0</v>
      </c>
      <c r="D65" s="59">
        <v>0</v>
      </c>
      <c r="E65" s="40">
        <f t="shared" si="8"/>
        <v>0</v>
      </c>
      <c r="F65" s="21">
        <f t="shared" si="9"/>
        <v>1690.8035714285716</v>
      </c>
      <c r="G65" s="21">
        <f t="shared" si="5"/>
        <v>18937</v>
      </c>
      <c r="H65" s="40">
        <f t="shared" si="10"/>
        <v>0.37936052543088333</v>
      </c>
      <c r="I65" s="59">
        <f t="shared" si="11"/>
        <v>1690.8035714285716</v>
      </c>
      <c r="J65" s="59">
        <f t="shared" si="14"/>
        <v>18937</v>
      </c>
      <c r="K65" s="59">
        <f>-K60*11-K59*9-K58*7-K57*5-K56*3</f>
        <v>17777.550000000003</v>
      </c>
      <c r="L65" s="59">
        <f>-L60*6-L59*5-L58*4-L57*3-L56*2</f>
        <v>1159.4499999999989</v>
      </c>
      <c r="M65" s="59">
        <f>-M60*6-M59*5-M58*4-M57*3-M56*2</f>
        <v>0</v>
      </c>
      <c r="N65" s="1"/>
      <c r="O65" s="1"/>
      <c r="P65" s="1"/>
      <c r="Q65" s="23"/>
    </row>
    <row r="66" spans="1:17" ht="15.75" customHeight="1" thickTop="1" thickBot="1">
      <c r="A66" s="20" t="s">
        <v>47</v>
      </c>
      <c r="B66" s="59">
        <v>28</v>
      </c>
      <c r="C66" s="59">
        <f>D66/I54*B66</f>
        <v>26632.767857142859</v>
      </c>
      <c r="D66" s="59">
        <f>G52*L51+G26</f>
        <v>21306.214285714286</v>
      </c>
      <c r="E66" s="40">
        <f t="shared" si="8"/>
        <v>0.58779550918847379</v>
      </c>
      <c r="F66" s="21">
        <f t="shared" si="9"/>
        <v>26632.767857142859</v>
      </c>
      <c r="G66" s="21">
        <f t="shared" si="5"/>
        <v>21306.214285714286</v>
      </c>
      <c r="H66" s="40">
        <f t="shared" si="10"/>
        <v>0.42682244528550267</v>
      </c>
      <c r="I66" s="59">
        <f t="shared" si="11"/>
        <v>0</v>
      </c>
      <c r="J66" s="59">
        <f t="shared" si="14"/>
        <v>0</v>
      </c>
      <c r="K66" s="59">
        <v>0</v>
      </c>
      <c r="L66" s="59">
        <v>0</v>
      </c>
      <c r="M66" s="59">
        <v>0</v>
      </c>
      <c r="N66" s="1"/>
      <c r="O66" s="1"/>
      <c r="P66" s="1"/>
      <c r="Q66" s="23"/>
    </row>
    <row r="67" spans="1:17" ht="15.75" customHeight="1" thickTop="1" thickBot="1">
      <c r="A67" s="29" t="s">
        <v>49</v>
      </c>
      <c r="B67" s="59"/>
      <c r="C67" s="101">
        <f t="shared" ref="C67:H67" si="15">SUM(C56:C66)</f>
        <v>42031.607142857145</v>
      </c>
      <c r="D67" s="59">
        <f t="shared" si="15"/>
        <v>36247.664285714287</v>
      </c>
      <c r="E67" s="22">
        <f t="shared" si="15"/>
        <v>1</v>
      </c>
      <c r="F67" s="63">
        <f t="shared" si="15"/>
        <v>42031.607142857145</v>
      </c>
      <c r="G67" s="21">
        <f t="shared" si="15"/>
        <v>49918.21428571429</v>
      </c>
      <c r="H67" s="22">
        <f t="shared" si="15"/>
        <v>1</v>
      </c>
      <c r="I67" s="59">
        <f>SUM(I56:I66)</f>
        <v>9.0949470177292824E-13</v>
      </c>
      <c r="J67" s="59">
        <f>SUM(J56:J66)</f>
        <v>13670.55</v>
      </c>
      <c r="K67" s="59">
        <f>SUM(K56:K66)</f>
        <v>12511.100000000002</v>
      </c>
      <c r="L67" s="59">
        <f>SUM(L56:L66)</f>
        <v>1159.4499999999989</v>
      </c>
      <c r="M67" s="59">
        <f>SUM(M56:M66)</f>
        <v>0</v>
      </c>
      <c r="N67" s="1"/>
      <c r="O67" s="1"/>
      <c r="P67" s="1"/>
      <c r="Q67" s="23"/>
    </row>
    <row r="68" spans="1:17" ht="15.75" customHeight="1" thickTop="1" thickBot="1">
      <c r="A68" s="1"/>
      <c r="B68" s="1"/>
      <c r="C68" s="23"/>
      <c r="D68" s="23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5"/>
      <c r="C69" s="5"/>
      <c r="D69" s="5"/>
      <c r="E69" s="1"/>
      <c r="F69" s="1"/>
      <c r="G69" s="64" t="s">
        <v>89</v>
      </c>
      <c r="H69" s="8"/>
      <c r="I69" s="40">
        <f>G65/G64</f>
        <v>2.5538772757923134</v>
      </c>
      <c r="J69" s="1"/>
      <c r="K69" s="23"/>
      <c r="L69" s="1"/>
      <c r="M69" s="1"/>
      <c r="N69" s="1"/>
      <c r="O69" s="1"/>
      <c r="P69" s="1"/>
      <c r="Q69" s="1"/>
    </row>
    <row r="70" spans="1:17" ht="15.75" customHeight="1" thickTop="1" thickBot="1">
      <c r="A70" s="8"/>
      <c r="B70" s="67" t="s">
        <v>90</v>
      </c>
      <c r="C70" s="15"/>
      <c r="D70" s="15">
        <v>5</v>
      </c>
      <c r="E70" s="3" t="s">
        <v>91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80</v>
      </c>
      <c r="B71" s="67" t="s">
        <v>92</v>
      </c>
      <c r="C71" s="5"/>
      <c r="D71" s="15">
        <v>4</v>
      </c>
      <c r="E71" s="1" t="s">
        <v>91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8"/>
      <c r="B72" s="67" t="s">
        <v>93</v>
      </c>
      <c r="C72" s="5"/>
      <c r="D72" s="15">
        <v>3</v>
      </c>
      <c r="E72" s="1" t="s">
        <v>91</v>
      </c>
      <c r="F72" s="65"/>
      <c r="G72" s="1"/>
      <c r="H72" s="1"/>
      <c r="I72" s="106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8"/>
      <c r="B73" s="67" t="s">
        <v>94</v>
      </c>
      <c r="C73" s="5"/>
      <c r="D73" s="15">
        <v>2</v>
      </c>
      <c r="E73" s="1" t="s">
        <v>91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8"/>
      <c r="B74" s="67" t="s">
        <v>95</v>
      </c>
      <c r="C74" s="5"/>
      <c r="D74" s="15">
        <v>1</v>
      </c>
      <c r="E74" s="1" t="s">
        <v>91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8"/>
      <c r="B75" s="10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8"/>
      <c r="B76" s="67" t="s">
        <v>96</v>
      </c>
      <c r="C76" s="5"/>
      <c r="D76" s="15">
        <v>6</v>
      </c>
      <c r="E76" s="1" t="s">
        <v>91</v>
      </c>
      <c r="F76" s="65"/>
      <c r="G76" s="1"/>
      <c r="H76" s="23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81</v>
      </c>
      <c r="B77" s="103" t="s">
        <v>97</v>
      </c>
      <c r="C77" s="5"/>
      <c r="D77" s="15"/>
      <c r="E77" s="3" t="s">
        <v>98</v>
      </c>
      <c r="F77" s="65"/>
      <c r="G77" s="1"/>
      <c r="H77" s="1"/>
      <c r="I77" s="1"/>
      <c r="J77" s="1"/>
      <c r="K77" s="23"/>
      <c r="L77" s="1"/>
      <c r="M77" s="23"/>
      <c r="N77" s="1"/>
      <c r="O77" s="1"/>
      <c r="P77" s="1"/>
      <c r="Q77" s="1"/>
    </row>
    <row r="78" spans="1:17" ht="15.75" customHeight="1" thickTop="1" thickBot="1">
      <c r="A78" s="8"/>
      <c r="B78" s="103" t="s">
        <v>99</v>
      </c>
      <c r="C78" s="103"/>
      <c r="D78" s="15"/>
      <c r="E78" s="1" t="s">
        <v>98</v>
      </c>
      <c r="F78" s="65"/>
      <c r="G78" s="1"/>
      <c r="H78" s="1"/>
      <c r="I78" s="1"/>
      <c r="J78" s="1"/>
      <c r="K78" s="1"/>
      <c r="L78" s="23"/>
      <c r="M78" s="23"/>
      <c r="N78" s="1"/>
      <c r="O78" s="1"/>
      <c r="P78" s="1"/>
      <c r="Q78" s="1"/>
    </row>
    <row r="79" spans="1:17" ht="15.75" customHeight="1" thickTop="1" thickBot="1">
      <c r="A79" s="8"/>
      <c r="B79" s="103" t="s">
        <v>100</v>
      </c>
      <c r="C79" s="103"/>
      <c r="D79" s="15"/>
      <c r="E79" s="1" t="s">
        <v>98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8"/>
      <c r="B80" s="103" t="s">
        <v>101</v>
      </c>
      <c r="C80" s="103"/>
      <c r="D80" s="15"/>
      <c r="E80" s="1" t="s">
        <v>98</v>
      </c>
      <c r="F80" s="65"/>
      <c r="G80" s="1"/>
      <c r="H80" s="1"/>
      <c r="I80" s="1"/>
      <c r="J80" s="1"/>
      <c r="K80" s="23"/>
      <c r="L80" s="1"/>
      <c r="M80" s="23"/>
      <c r="N80" s="1"/>
      <c r="O80" s="1"/>
      <c r="P80" s="1"/>
      <c r="Q80" s="1"/>
    </row>
    <row r="81" spans="1:17" ht="15.75" customHeight="1" thickTop="1" thickBot="1">
      <c r="A81" s="8"/>
      <c r="B81" s="104"/>
      <c r="C81" s="104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8"/>
      <c r="B82" s="103" t="s">
        <v>102</v>
      </c>
      <c r="C82" s="103"/>
      <c r="D82" s="15"/>
      <c r="E82" s="1" t="s">
        <v>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82</v>
      </c>
      <c r="B83" s="103" t="s">
        <v>103</v>
      </c>
      <c r="C83" s="103"/>
      <c r="D83" s="15"/>
      <c r="E83" s="1" t="s">
        <v>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8"/>
      <c r="B84" s="103" t="s">
        <v>104</v>
      </c>
      <c r="C84" s="103"/>
      <c r="D84" s="15"/>
      <c r="E84" s="1" t="s">
        <v>98</v>
      </c>
      <c r="F84" s="1"/>
      <c r="G84" s="1"/>
      <c r="H84" s="1"/>
      <c r="I84" s="1"/>
      <c r="J84" s="1"/>
      <c r="K84" s="1"/>
      <c r="L84" s="1"/>
      <c r="M84" s="1"/>
      <c r="N84" s="23"/>
      <c r="O84" s="23"/>
      <c r="P84" s="23"/>
      <c r="Q84" s="23"/>
    </row>
    <row r="85" spans="1:17" ht="15.75" customHeight="1" thickTop="1" thickBot="1">
      <c r="A85" s="8"/>
      <c r="B85" s="103" t="s">
        <v>105</v>
      </c>
      <c r="C85" s="103"/>
      <c r="D85" s="15"/>
      <c r="E85" s="1" t="s">
        <v>98</v>
      </c>
      <c r="F85" s="1"/>
      <c r="G85" s="1"/>
      <c r="H85" s="1"/>
      <c r="I85" s="1"/>
      <c r="J85" s="1"/>
      <c r="K85" s="1"/>
      <c r="L85" s="1"/>
      <c r="M85" s="1"/>
      <c r="N85" s="23"/>
      <c r="O85" s="23"/>
      <c r="P85" s="23"/>
      <c r="Q85" s="23"/>
    </row>
    <row r="86" spans="1:17" ht="15.75" customHeight="1" thickTop="1" thickBot="1">
      <c r="A86" s="8"/>
      <c r="B86" s="103" t="s">
        <v>106</v>
      </c>
      <c r="C86" s="103"/>
      <c r="D86" s="15"/>
      <c r="E86" s="1" t="s">
        <v>98</v>
      </c>
      <c r="F86" s="1"/>
      <c r="G86" s="1"/>
      <c r="H86" s="1"/>
      <c r="I86" s="1"/>
      <c r="J86" s="1"/>
      <c r="K86" s="1"/>
      <c r="L86" s="1"/>
      <c r="M86" s="1"/>
      <c r="N86" s="23"/>
      <c r="O86" s="23"/>
      <c r="P86" s="23"/>
      <c r="Q86" s="23"/>
    </row>
    <row r="87" spans="1:17" ht="15.75" customHeight="1" thickTop="1">
      <c r="A87" s="1"/>
      <c r="B87" s="32"/>
      <c r="C87" s="32"/>
      <c r="D87" s="32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23"/>
    </row>
    <row r="88" spans="1:17" ht="15.75" customHeight="1">
      <c r="A88" s="68"/>
      <c r="B88" s="68"/>
      <c r="C88" s="49"/>
      <c r="D88" s="48"/>
      <c r="E88" s="1"/>
      <c r="F88" s="118" t="s">
        <v>107</v>
      </c>
      <c r="G88" s="117"/>
      <c r="H88" s="117"/>
      <c r="I88" s="117"/>
      <c r="J88" s="32"/>
      <c r="K88" s="32"/>
      <c r="L88" s="32"/>
      <c r="M88" s="32"/>
      <c r="N88" s="32"/>
      <c r="O88" s="23"/>
      <c r="P88" s="23"/>
      <c r="Q88" s="23"/>
    </row>
    <row r="89" spans="1:17" ht="15.75" customHeight="1" thickBot="1">
      <c r="A89" s="5"/>
      <c r="B89" s="35" t="s">
        <v>108</v>
      </c>
      <c r="C89" s="36" t="s">
        <v>54</v>
      </c>
      <c r="D89" s="48"/>
      <c r="E89" s="5"/>
      <c r="F89" s="5"/>
      <c r="G89" s="1"/>
      <c r="H89" s="69"/>
      <c r="I89" s="70"/>
      <c r="J89" s="70"/>
      <c r="K89" s="70"/>
      <c r="L89" s="70"/>
      <c r="M89" s="70"/>
      <c r="N89" s="71"/>
      <c r="O89" s="23"/>
      <c r="P89" s="23"/>
      <c r="Q89" s="23"/>
    </row>
    <row r="90" spans="1:17" ht="15.75" customHeight="1" thickTop="1" thickBot="1">
      <c r="A90" s="72" t="s">
        <v>26</v>
      </c>
      <c r="B90" s="73" t="s">
        <v>55</v>
      </c>
      <c r="C90" s="73" t="s">
        <v>56</v>
      </c>
      <c r="D90" s="74">
        <v>11</v>
      </c>
      <c r="E90" s="109" t="s">
        <v>90</v>
      </c>
      <c r="F90" s="8"/>
      <c r="G90" s="8"/>
      <c r="H90" s="75" t="s">
        <v>109</v>
      </c>
      <c r="I90" s="75" t="s">
        <v>110</v>
      </c>
      <c r="J90" s="75" t="s">
        <v>111</v>
      </c>
      <c r="K90" s="75" t="s">
        <v>112</v>
      </c>
      <c r="L90" s="75" t="s">
        <v>113</v>
      </c>
      <c r="M90" s="75" t="s">
        <v>114</v>
      </c>
      <c r="N90" s="32"/>
      <c r="O90" s="1"/>
      <c r="P90" s="1"/>
      <c r="Q90" s="1"/>
    </row>
    <row r="91" spans="1:17" ht="15.75" customHeight="1" thickTop="1" thickBot="1">
      <c r="A91" s="20" t="s">
        <v>9</v>
      </c>
      <c r="B91" s="40">
        <v>35.700000000000003</v>
      </c>
      <c r="C91" s="40">
        <v>-74.599999999999994</v>
      </c>
      <c r="D91" s="74">
        <v>12</v>
      </c>
      <c r="E91" s="109" t="s">
        <v>92</v>
      </c>
      <c r="F91" s="8"/>
      <c r="G91" s="8"/>
      <c r="H91" s="21">
        <f>H36</f>
        <v>33148722.692522325</v>
      </c>
      <c r="I91" s="76">
        <f>E6*(1-I6)/I54*N50*20*1000/3600</f>
        <v>59437.046875000007</v>
      </c>
      <c r="J91" s="76">
        <f>(K60/I54*C108+K59/I54*C107+K58/I54*C106+K57/I54*C105+K56/I54*C104)*1000/3600*1000</f>
        <v>-15214194.61805556</v>
      </c>
      <c r="K91" s="76">
        <f>(L56/I54*C109+L57/I54*C110+L58/I54*C111+L59/I54*C112+L60/I54*C113)*1000/3600*1000</f>
        <v>-1776054.8270089265</v>
      </c>
      <c r="L91" s="111">
        <f>(M56/I54*C114+M57/I54*C115+M58/I54*C116+M59/I54*C117+M60/I54*C118)*1000/3600*1000</f>
        <v>0</v>
      </c>
      <c r="M91" s="21">
        <f>H91+I91+J91+K91+L91</f>
        <v>16217910.294332838</v>
      </c>
      <c r="N91" s="77"/>
      <c r="O91" s="1"/>
      <c r="P91" s="1"/>
      <c r="Q91" s="1"/>
    </row>
    <row r="92" spans="1:17" ht="15.75" customHeight="1" thickTop="1" thickBot="1">
      <c r="A92" s="20" t="s">
        <v>11</v>
      </c>
      <c r="B92" s="40">
        <v>52.49</v>
      </c>
      <c r="C92" s="40">
        <v>-84</v>
      </c>
      <c r="D92" s="74">
        <v>13</v>
      </c>
      <c r="E92" s="109" t="s">
        <v>93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0">
        <v>73.599999999999994</v>
      </c>
      <c r="C93" s="40">
        <f>-103.85</f>
        <v>-103.85</v>
      </c>
      <c r="D93" s="74">
        <v>14</v>
      </c>
      <c r="E93" s="109" t="s">
        <v>94</v>
      </c>
      <c r="F93" s="8"/>
      <c r="G93" s="1"/>
      <c r="H93" s="5"/>
      <c r="I93" s="5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0">
        <v>98.49</v>
      </c>
      <c r="C94" s="40">
        <f>-125.77</f>
        <v>-125.77</v>
      </c>
      <c r="D94" s="74">
        <v>15</v>
      </c>
      <c r="E94" s="109" t="s">
        <v>95</v>
      </c>
      <c r="F94" s="8"/>
      <c r="G94" s="8"/>
      <c r="H94" s="78" t="s">
        <v>115</v>
      </c>
      <c r="I94" s="79">
        <f>M91/(G67/D13*1000/3600*B103)</f>
        <v>891.73708830283897</v>
      </c>
      <c r="J94" s="1" t="s">
        <v>116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0">
        <v>120.04</v>
      </c>
      <c r="C95" s="40">
        <f>-146.36</f>
        <v>-146.36000000000001</v>
      </c>
      <c r="D95" s="8"/>
      <c r="E95" s="109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86</v>
      </c>
      <c r="B96" s="40">
        <v>29.38</v>
      </c>
      <c r="C96" s="40">
        <f>0</f>
        <v>0</v>
      </c>
      <c r="D96" s="74">
        <v>21</v>
      </c>
      <c r="E96" s="109" t="s">
        <v>96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43</v>
      </c>
      <c r="B97" s="40">
        <v>37.14</v>
      </c>
      <c r="C97" s="40">
        <f>-393.51</f>
        <v>-393.51</v>
      </c>
      <c r="D97" s="74">
        <v>22</v>
      </c>
      <c r="E97" s="110" t="s">
        <v>97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45</v>
      </c>
      <c r="B98" s="40">
        <v>33.6</v>
      </c>
      <c r="C98" s="40">
        <f>-241.83</f>
        <v>-241.83</v>
      </c>
      <c r="D98" s="74">
        <v>23</v>
      </c>
      <c r="E98" s="110" t="s">
        <v>99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87</v>
      </c>
      <c r="B99" s="40">
        <v>29.14</v>
      </c>
      <c r="C99" s="40">
        <v>-110.53</v>
      </c>
      <c r="D99" s="74">
        <v>24</v>
      </c>
      <c r="E99" s="110" t="s">
        <v>100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88</v>
      </c>
      <c r="B100" s="40">
        <v>28.84</v>
      </c>
      <c r="C100" s="40">
        <v>0</v>
      </c>
      <c r="D100" s="74">
        <v>25</v>
      </c>
      <c r="E100" s="110" t="s">
        <v>101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0" t="s">
        <v>47</v>
      </c>
      <c r="B101" s="40">
        <v>29.12</v>
      </c>
      <c r="C101" s="40">
        <v>0</v>
      </c>
      <c r="D101" s="8"/>
      <c r="E101" s="110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1" t="s">
        <v>117</v>
      </c>
      <c r="B102" s="82">
        <f>B91*E56+B92*E57+B93*E58+B94*E59+B95*E60+B96*E61+B97*E62+B98*E63+B99*E64+B100*E65+B101*E66</f>
        <v>32.083134125095349</v>
      </c>
      <c r="C102" s="71"/>
      <c r="D102" s="74">
        <v>31</v>
      </c>
      <c r="E102" s="110" t="s">
        <v>102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1" t="s">
        <v>118</v>
      </c>
      <c r="B103" s="83">
        <f>B91*H56+B92*H57+B93*H58+B94*H59+B95*H60+B96*H61+B97*H62+B98*H63+B99*H64+B100*H65+B101*H66</f>
        <v>29.379847836818794</v>
      </c>
      <c r="C103" s="84"/>
      <c r="D103" s="74">
        <v>32</v>
      </c>
      <c r="E103" s="110" t="s">
        <v>103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8"/>
      <c r="B104" s="51" t="s">
        <v>119</v>
      </c>
      <c r="C104" s="44">
        <f>C99+C100*3-C91-C98</f>
        <v>205.9</v>
      </c>
      <c r="D104" s="74">
        <v>33</v>
      </c>
      <c r="E104" s="110" t="s">
        <v>104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8"/>
      <c r="B105" s="51" t="s">
        <v>120</v>
      </c>
      <c r="C105" s="45">
        <f>C99*2+C100*5-C92-2*C98</f>
        <v>346.6</v>
      </c>
      <c r="D105" s="74">
        <v>34</v>
      </c>
      <c r="E105" s="110" t="s">
        <v>105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8"/>
      <c r="B106" s="51" t="s">
        <v>121</v>
      </c>
      <c r="C106" s="45">
        <f>3*C99+7*C100-C93-3*C98</f>
        <v>497.75</v>
      </c>
      <c r="D106" s="74">
        <v>35</v>
      </c>
      <c r="E106" s="103" t="s">
        <v>106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8"/>
      <c r="B107" s="51" t="s">
        <v>122</v>
      </c>
      <c r="C107" s="45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8"/>
      <c r="B108" s="51" t="s">
        <v>123</v>
      </c>
      <c r="C108" s="45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8"/>
      <c r="B109" s="51" t="s">
        <v>124</v>
      </c>
      <c r="C109" s="85">
        <f>2*C99-C91-C97</f>
        <v>247.04999999999998</v>
      </c>
      <c r="D109" s="1" t="s">
        <v>65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8"/>
      <c r="B110" s="51" t="s">
        <v>125</v>
      </c>
      <c r="C110" s="45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8"/>
      <c r="B111" s="51" t="s">
        <v>126</v>
      </c>
      <c r="C111" s="45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8"/>
      <c r="B112" s="51" t="s">
        <v>127</v>
      </c>
      <c r="C112" s="45">
        <f>8*C99-C94-4*C97</f>
        <v>815.56999999999994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8"/>
      <c r="B113" s="51" t="s">
        <v>128</v>
      </c>
      <c r="C113" s="45">
        <f>10*C99-C95-5*C97</f>
        <v>1008.61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8"/>
      <c r="B114" s="51" t="s">
        <v>129</v>
      </c>
      <c r="C114" s="45">
        <f>2*C99-2*C91</f>
        <v>-71.860000000000014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8"/>
      <c r="B115" s="51" t="s">
        <v>130</v>
      </c>
      <c r="C115" s="45">
        <f>2*C99-C92</f>
        <v>-137.06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8"/>
      <c r="B116" s="51" t="s">
        <v>131</v>
      </c>
      <c r="C116" s="45">
        <f>6*C99-2*C93</f>
        <v>-455.48000000000008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8"/>
      <c r="B117" s="51" t="s">
        <v>132</v>
      </c>
      <c r="C117" s="45">
        <f>4*C99-C94</f>
        <v>-316.35000000000002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8"/>
      <c r="B118" s="51" t="s">
        <v>133</v>
      </c>
      <c r="C118" s="45">
        <f>10*C99-2*C95</f>
        <v>-812.57999999999993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0,25 + 1,2</vt:lpstr>
      <vt:lpstr>0,25 + 1,25</vt:lpstr>
      <vt:lpstr>0,25 + 1,3</vt:lpstr>
      <vt:lpstr>0,25 + 1,35</vt:lpstr>
      <vt:lpstr>0,25 + 1,4</vt:lpstr>
      <vt:lpstr>0, 25 + 1,45</vt:lpstr>
      <vt:lpstr>0,3+1,15</vt:lpstr>
      <vt:lpstr>0,3 + 1,2</vt:lpstr>
      <vt:lpstr>0,3 + 1,25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2024-05-29T21:17:38Z</dcterms:created>
  <dcterms:modified xsi:type="dcterms:W3CDTF">2024-06-08T15:48:27Z</dcterms:modified>
</cp:coreProperties>
</file>