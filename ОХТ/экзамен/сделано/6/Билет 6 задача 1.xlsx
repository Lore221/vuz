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экзамен\6\"/>
    </mc:Choice>
  </mc:AlternateContent>
  <xr:revisionPtr revIDLastSave="0" documentId="13_ncr:1_{BD02DF04-958C-468E-8BCB-057F784A1A32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G30" i="1"/>
  <c r="C39" i="1"/>
  <c r="C38" i="1"/>
  <c r="K23" i="1"/>
  <c r="K19" i="1"/>
  <c r="K20" i="1"/>
  <c r="K21" i="1"/>
  <c r="K22" i="1"/>
  <c r="K18" i="1"/>
  <c r="M23" i="1"/>
  <c r="M19" i="1"/>
  <c r="M20" i="1"/>
  <c r="M21" i="1"/>
  <c r="M22" i="1"/>
  <c r="M18" i="1"/>
  <c r="L18" i="1"/>
  <c r="L19" i="1"/>
  <c r="L20" i="1"/>
  <c r="L23" i="1"/>
  <c r="H21" i="1"/>
  <c r="I21" i="1"/>
  <c r="G21" i="1" s="1"/>
  <c r="E18" i="1"/>
  <c r="C18" i="1" s="1"/>
  <c r="D21" i="1"/>
  <c r="E21" i="1" s="1"/>
  <c r="C21" i="1" s="1"/>
  <c r="D22" i="1"/>
  <c r="H22" i="1" s="1"/>
  <c r="E22" i="1"/>
  <c r="C22" i="1" s="1"/>
  <c r="D20" i="1"/>
  <c r="H20" i="1" s="1"/>
  <c r="E20" i="1"/>
  <c r="C20" i="1" s="1"/>
  <c r="D19" i="1"/>
  <c r="H19" i="1" s="1"/>
  <c r="F23" i="1"/>
  <c r="D18" i="1"/>
  <c r="H18" i="1" s="1"/>
  <c r="B36" i="1" a="1"/>
  <c r="B36" i="1" s="1"/>
  <c r="I18" i="1" l="1"/>
  <c r="H23" i="1"/>
  <c r="J18" i="1" s="1"/>
  <c r="J19" i="1"/>
  <c r="I19" i="1"/>
  <c r="G19" i="1" s="1"/>
  <c r="J21" i="1"/>
  <c r="J20" i="1"/>
  <c r="I20" i="1"/>
  <c r="G20" i="1" s="1"/>
  <c r="J22" i="1"/>
  <c r="I22" i="1"/>
  <c r="G22" i="1" s="1"/>
  <c r="E19" i="1"/>
  <c r="B37" i="1" l="1" a="1"/>
  <c r="B37" i="1" s="1"/>
  <c r="J23" i="1"/>
  <c r="C19" i="1"/>
  <c r="C23" i="1" s="1"/>
  <c r="E23" i="1"/>
  <c r="F30" i="1" s="1"/>
  <c r="I30" i="1" s="1"/>
  <c r="I23" i="1"/>
  <c r="G18" i="1"/>
  <c r="G23" i="1" s="1"/>
  <c r="J30" i="1" l="1"/>
  <c r="H30" i="1" s="1"/>
  <c r="G3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<sst xmlns="http://schemas.openxmlformats.org/spreadsheetml/2006/main" count="67" uniqueCount="55">
  <si>
    <t>ZN</t>
  </si>
  <si>
    <t>Вещество</t>
  </si>
  <si>
    <t>VNS</t>
  </si>
  <si>
    <t>GN</t>
  </si>
  <si>
    <t>VN</t>
  </si>
  <si>
    <t>NN</t>
  </si>
  <si>
    <t>GK</t>
  </si>
  <si>
    <t>VK</t>
  </si>
  <si>
    <t>NK</t>
  </si>
  <si>
    <t>ZK</t>
  </si>
  <si>
    <t>VR</t>
  </si>
  <si>
    <t>Задача 1 Материальный и тепловой баланс</t>
  </si>
  <si>
    <t>Состав исходной смеси</t>
  </si>
  <si>
    <t>XT</t>
  </si>
  <si>
    <t>T вх</t>
  </si>
  <si>
    <t>C</t>
  </si>
  <si>
    <t>м3/ч</t>
  </si>
  <si>
    <t xml:space="preserve">Qпот </t>
  </si>
  <si>
    <t>%</t>
  </si>
  <si>
    <t>С</t>
  </si>
  <si>
    <t>T вых</t>
  </si>
  <si>
    <t xml:space="preserve">Реакция </t>
  </si>
  <si>
    <t>Исходный поток</t>
  </si>
  <si>
    <t>Конечный поток</t>
  </si>
  <si>
    <t>Производительность</t>
  </si>
  <si>
    <t>ММ</t>
  </si>
  <si>
    <t>GR</t>
  </si>
  <si>
    <t>NR</t>
  </si>
  <si>
    <t>сумма</t>
  </si>
  <si>
    <t>Дж/(моль*/К)</t>
  </si>
  <si>
    <t>кДж/моль</t>
  </si>
  <si>
    <r>
      <t>Ср</t>
    </r>
    <r>
      <rPr>
        <b/>
        <vertAlign val="subscript"/>
        <sz val="10"/>
        <rFont val="Cambria"/>
        <family val="1"/>
        <charset val="204"/>
      </rPr>
      <t>298</t>
    </r>
  </si>
  <si>
    <r>
      <t>ΔH°</t>
    </r>
    <r>
      <rPr>
        <b/>
        <vertAlign val="subscript"/>
        <sz val="10"/>
        <rFont val="Cambria"/>
        <family val="1"/>
        <charset val="204"/>
      </rPr>
      <t>обр, 298</t>
    </r>
  </si>
  <si>
    <t>Дж/с</t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</si>
  <si>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вх</t>
    </r>
  </si>
  <si>
    <r>
      <t>Q</t>
    </r>
    <r>
      <rPr>
        <b/>
        <vertAlign val="subscript"/>
        <sz val="10"/>
        <rFont val="Arial Cyr"/>
        <family val="2"/>
        <charset val="204"/>
      </rPr>
      <t>хр</t>
    </r>
    <r>
      <rPr>
        <b/>
        <sz val="10"/>
        <rFont val="Arial Cyr"/>
        <family val="2"/>
        <charset val="204"/>
      </rPr>
      <t xml:space="preserve">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</si>
  <si>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то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</si>
  <si>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пот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</si>
  <si>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вых </t>
    </r>
  </si>
  <si>
    <t>политермический</t>
  </si>
  <si>
    <t>Расчет  доли компенсации</t>
  </si>
  <si>
    <r>
      <rPr>
        <b/>
        <sz val="10"/>
        <rFont val="Arial Cyr"/>
        <family val="2"/>
        <charset val="204"/>
      </rPr>
      <t xml:space="preserve">Cp </t>
    </r>
    <r>
      <rPr>
        <b/>
        <vertAlign val="subscript"/>
        <sz val="10"/>
        <rFont val="Cambria"/>
        <family val="1"/>
        <charset val="204"/>
      </rPr>
      <t>вх</t>
    </r>
  </si>
  <si>
    <t xml:space="preserve">ВЫВОД: </t>
  </si>
  <si>
    <r>
      <rPr>
        <b/>
        <sz val="10"/>
        <rFont val="Arial Cyr"/>
        <family val="2"/>
        <charset val="204"/>
      </rPr>
      <t>Cp</t>
    </r>
    <r>
      <rPr>
        <b/>
        <sz val="10"/>
        <rFont val="Cambria"/>
        <family val="1"/>
        <charset val="204"/>
      </rPr>
      <t xml:space="preserve"> </t>
    </r>
    <r>
      <rPr>
        <b/>
        <vertAlign val="subscript"/>
        <sz val="10"/>
        <rFont val="Cambria"/>
        <family val="1"/>
        <charset val="204"/>
      </rPr>
      <t>вых</t>
    </r>
  </si>
  <si>
    <r>
      <t>ΔH</t>
    </r>
    <r>
      <rPr>
        <b/>
        <sz val="10"/>
        <rFont val="Arial Cyr"/>
        <family val="2"/>
        <charset val="204"/>
      </rPr>
      <t>р</t>
    </r>
  </si>
  <si>
    <r>
      <t>q</t>
    </r>
    <r>
      <rPr>
        <b/>
        <sz val="10"/>
        <rFont val="Arial Cyr"/>
        <family val="2"/>
        <charset val="204"/>
      </rPr>
      <t>хр</t>
    </r>
  </si>
  <si>
    <t>CH4+CO2=2CO+2H2</t>
  </si>
  <si>
    <t>CH4</t>
  </si>
  <si>
    <t>CO2</t>
  </si>
  <si>
    <t>CO</t>
  </si>
  <si>
    <t>H2</t>
  </si>
  <si>
    <t>N2</t>
  </si>
  <si>
    <t>VRD</t>
  </si>
  <si>
    <t>по H2</t>
  </si>
  <si>
    <t>Для обеспечения политермического режима необходимо компенсировать 111% теплового эффекта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</si>
</sst>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"/>
    <numFmt numFmtId="165" formatCode="0.0_ "/>
    <numFmt numFmtId="166" formatCode="0.00_ "/>
  </numFmts>
  <fonts count="14" x14ac:knownFonts="1"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i/>
      <sz val="10"/>
      <name val="Arial Cyr"/>
      <family val="2"/>
      <charset val="204"/>
    </font>
    <font>
      <b/>
      <sz val="10"/>
      <color indexed="16"/>
      <name val="Arial Cyr"/>
      <family val="2"/>
      <charset val="204"/>
    </font>
    <font>
      <b/>
      <sz val="10"/>
      <color theme="5" tint="-0.4999847407452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name val="Arial Cyr"/>
      <family val="2"/>
      <charset val="204"/>
    </font>
    <font>
      <b/>
      <sz val="11"/>
      <name val="Cambria"/>
      <family val="1"/>
      <charset val="204"/>
    </font>
    <font>
      <b/>
      <vertAlign val="subscript"/>
      <sz val="10"/>
      <name val="Cambria"/>
      <family val="1"/>
      <charset val="204"/>
    </font>
    <font>
      <b/>
      <vertAlign val="subscript"/>
      <sz val="10"/>
      <name val="Arial Cyr"/>
      <family val="2"/>
      <charset val="204"/>
    </font>
    <font>
      <b/>
      <sz val="10"/>
      <name val="Cambria"/>
      <family val="1"/>
      <charset val="204"/>
    </font>
    <font>
      <b/>
      <sz val="12"/>
      <name val="Arial Cyr"/>
      <family val="2"/>
      <charset val="204"/>
    </font>
    <font>
      <b/>
      <sz val="10"/>
      <color theme="5" tint="-0.499984740745262"/>
      <name val="Arial Cyr"/>
      <charset val="204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23"/>
      </left>
      <right/>
      <top style="thick">
        <color indexed="23"/>
      </top>
      <bottom style="thick">
        <color indexed="23"/>
      </bottom>
      <diagonal/>
    </border>
    <border>
      <left/>
      <right/>
      <top style="thick">
        <color indexed="23"/>
      </top>
      <bottom style="thick">
        <color indexed="23"/>
      </bottom>
      <diagonal/>
    </border>
    <border>
      <left/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medium">
        <color indexed="23"/>
      </left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medium">
        <color indexed="23"/>
      </bottom>
      <diagonal/>
    </border>
    <border>
      <left/>
      <right style="thick">
        <color indexed="16"/>
      </right>
      <top style="thick">
        <color indexed="16"/>
      </top>
      <bottom style="thick">
        <color indexed="16"/>
      </bottom>
      <diagonal/>
    </border>
    <border>
      <left/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ck">
        <color indexed="16"/>
      </right>
      <top style="thick">
        <color indexed="16"/>
      </top>
      <bottom style="medium">
        <color indexed="64"/>
      </bottom>
      <diagonal/>
    </border>
    <border>
      <left/>
      <right style="medium">
        <color indexed="64"/>
      </right>
      <top style="thin">
        <color indexed="23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1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16"/>
      </left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4" fillId="2" borderId="1" xfId="1" applyFont="1" applyFill="1" applyBorder="1" applyAlignment="1">
      <alignment readingOrder="1"/>
    </xf>
    <xf numFmtId="0" fontId="5" fillId="2" borderId="2" xfId="1" applyFont="1" applyFill="1" applyBorder="1"/>
    <xf numFmtId="0" fontId="5" fillId="0" borderId="0" xfId="1" applyFont="1"/>
    <xf numFmtId="0" fontId="6" fillId="0" borderId="0" xfId="1" applyFont="1"/>
    <xf numFmtId="0" fontId="6" fillId="2" borderId="3" xfId="1" applyFont="1" applyFill="1" applyBorder="1" applyAlignment="1">
      <alignment horizontal="center"/>
    </xf>
    <xf numFmtId="0" fontId="1" fillId="0" borderId="4" xfId="1" applyBorder="1"/>
    <xf numFmtId="0" fontId="6" fillId="2" borderId="5" xfId="1" applyFont="1" applyFill="1" applyBorder="1"/>
    <xf numFmtId="0" fontId="1" fillId="0" borderId="6" xfId="1" applyBorder="1"/>
    <xf numFmtId="0" fontId="6" fillId="2" borderId="7" xfId="1" applyFont="1" applyFill="1" applyBorder="1"/>
    <xf numFmtId="0" fontId="1" fillId="0" borderId="8" xfId="1" applyBorder="1"/>
    <xf numFmtId="0" fontId="6" fillId="2" borderId="9" xfId="1" applyFont="1" applyFill="1" applyBorder="1" applyAlignment="1">
      <alignment horizontal="center"/>
    </xf>
    <xf numFmtId="0" fontId="1" fillId="0" borderId="10" xfId="1" applyBorder="1"/>
    <xf numFmtId="0" fontId="6" fillId="2" borderId="9" xfId="1" applyFont="1" applyFill="1" applyBorder="1"/>
    <xf numFmtId="0" fontId="6" fillId="2" borderId="11" xfId="1" applyFont="1" applyFill="1" applyBorder="1"/>
    <xf numFmtId="0" fontId="1" fillId="0" borderId="12" xfId="1" applyBorder="1"/>
    <xf numFmtId="0" fontId="6" fillId="2" borderId="13" xfId="1" applyFont="1" applyFill="1" applyBorder="1"/>
    <xf numFmtId="0" fontId="1" fillId="0" borderId="14" xfId="1" applyBorder="1"/>
    <xf numFmtId="0" fontId="6" fillId="2" borderId="15" xfId="1" applyFont="1" applyFill="1" applyBorder="1"/>
    <xf numFmtId="0" fontId="1" fillId="0" borderId="16" xfId="1" applyBorder="1"/>
    <xf numFmtId="0" fontId="6" fillId="2" borderId="13" xfId="1" applyFont="1" applyFill="1" applyBorder="1" applyAlignment="1">
      <alignment horizontal="center"/>
    </xf>
    <xf numFmtId="0" fontId="6" fillId="0" borderId="0" xfId="1" applyFont="1" applyAlignment="1">
      <alignment horizontal="center"/>
    </xf>
    <xf numFmtId="0" fontId="4" fillId="0" borderId="17" xfId="1" applyFont="1" applyBorder="1"/>
    <xf numFmtId="0" fontId="4" fillId="2" borderId="1" xfId="1" applyFont="1" applyFill="1" applyBorder="1"/>
    <xf numFmtId="0" fontId="4" fillId="2" borderId="20" xfId="1" applyFont="1" applyFill="1" applyBorder="1"/>
    <xf numFmtId="0" fontId="4" fillId="2" borderId="21" xfId="1" applyFont="1" applyFill="1" applyBorder="1"/>
    <xf numFmtId="0" fontId="4" fillId="2" borderId="22" xfId="1" applyFont="1" applyFill="1" applyBorder="1"/>
    <xf numFmtId="0" fontId="1" fillId="0" borderId="23" xfId="1" applyBorder="1" applyAlignment="1">
      <alignment horizontal="center"/>
    </xf>
    <xf numFmtId="1" fontId="1" fillId="0" borderId="24" xfId="1" applyNumberFormat="1" applyBorder="1"/>
    <xf numFmtId="0" fontId="1" fillId="0" borderId="25" xfId="1" applyBorder="1"/>
    <xf numFmtId="1" fontId="1" fillId="0" borderId="26" xfId="1" applyNumberFormat="1" applyBorder="1"/>
    <xf numFmtId="1" fontId="1" fillId="0" borderId="0" xfId="1" applyNumberFormat="1"/>
    <xf numFmtId="0" fontId="1" fillId="0" borderId="27" xfId="1" applyBorder="1" applyAlignment="1">
      <alignment horizontal="center"/>
    </xf>
    <xf numFmtId="0" fontId="1" fillId="0" borderId="28" xfId="1" applyBorder="1" applyAlignment="1">
      <alignment horizontal="center"/>
    </xf>
    <xf numFmtId="1" fontId="4" fillId="0" borderId="29" xfId="1" applyNumberFormat="1" applyFont="1" applyBorder="1"/>
    <xf numFmtId="0" fontId="1" fillId="0" borderId="29" xfId="1" applyBorder="1"/>
    <xf numFmtId="1" fontId="1" fillId="0" borderId="29" xfId="1" applyNumberFormat="1" applyBorder="1"/>
    <xf numFmtId="1" fontId="1" fillId="0" borderId="16" xfId="1" applyNumberFormat="1" applyBorder="1"/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6" fillId="2" borderId="1" xfId="1" applyFont="1" applyFill="1" applyBorder="1" applyAlignment="1">
      <alignment horizontal="center"/>
    </xf>
    <xf numFmtId="0" fontId="7" fillId="2" borderId="1" xfId="1" applyFont="1" applyFill="1" applyBorder="1"/>
    <xf numFmtId="0" fontId="7" fillId="2" borderId="2" xfId="1" applyFont="1" applyFill="1" applyBorder="1"/>
    <xf numFmtId="0" fontId="6" fillId="2" borderId="1" xfId="1" applyFont="1" applyFill="1" applyBorder="1"/>
    <xf numFmtId="0" fontId="6" fillId="2" borderId="30" xfId="1" applyFont="1" applyFill="1" applyBorder="1"/>
    <xf numFmtId="0" fontId="6" fillId="2" borderId="2" xfId="1" applyFont="1" applyFill="1" applyBorder="1"/>
    <xf numFmtId="0" fontId="6" fillId="2" borderId="31" xfId="1" applyFont="1" applyFill="1" applyBorder="1" applyAlignment="1">
      <alignment horizontal="center"/>
    </xf>
    <xf numFmtId="0" fontId="1" fillId="0" borderId="32" xfId="1" applyBorder="1"/>
    <xf numFmtId="0" fontId="1" fillId="0" borderId="33" xfId="1" applyBorder="1"/>
    <xf numFmtId="0" fontId="1" fillId="2" borderId="34" xfId="1" applyFill="1" applyBorder="1"/>
    <xf numFmtId="1" fontId="1" fillId="0" borderId="35" xfId="1" applyNumberFormat="1" applyBorder="1"/>
    <xf numFmtId="1" fontId="1" fillId="0" borderId="36" xfId="1" applyNumberFormat="1" applyBorder="1"/>
    <xf numFmtId="164" fontId="1" fillId="0" borderId="36" xfId="1" applyNumberFormat="1" applyBorder="1"/>
    <xf numFmtId="165" fontId="1" fillId="0" borderId="37" xfId="1" applyNumberFormat="1" applyBorder="1"/>
    <xf numFmtId="0" fontId="6" fillId="2" borderId="38" xfId="1" applyFont="1" applyFill="1" applyBorder="1" applyAlignment="1">
      <alignment horizontal="center"/>
    </xf>
    <xf numFmtId="0" fontId="1" fillId="0" borderId="39" xfId="1" applyBorder="1"/>
    <xf numFmtId="0" fontId="2" fillId="2" borderId="40" xfId="1" applyFont="1" applyFill="1" applyBorder="1"/>
    <xf numFmtId="0" fontId="1" fillId="0" borderId="41" xfId="1" applyBorder="1"/>
    <xf numFmtId="0" fontId="1" fillId="0" borderId="42" xfId="1" applyBorder="1"/>
    <xf numFmtId="0" fontId="1" fillId="0" borderId="43" xfId="1" applyBorder="1"/>
    <xf numFmtId="0" fontId="1" fillId="0" borderId="44" xfId="1" applyBorder="1"/>
    <xf numFmtId="166" fontId="1" fillId="0" borderId="39" xfId="1" applyNumberFormat="1" applyBorder="1"/>
    <xf numFmtId="166" fontId="1" fillId="0" borderId="0" xfId="1" applyNumberFormat="1"/>
    <xf numFmtId="0" fontId="6" fillId="2" borderId="45" xfId="1" applyFont="1" applyFill="1" applyBorder="1" applyAlignment="1">
      <alignment horizontal="center"/>
    </xf>
    <xf numFmtId="0" fontId="1" fillId="0" borderId="46" xfId="1" applyBorder="1"/>
    <xf numFmtId="0" fontId="1" fillId="0" borderId="47" xfId="1" applyBorder="1"/>
    <xf numFmtId="166" fontId="1" fillId="0" borderId="48" xfId="1" applyNumberFormat="1" applyBorder="1"/>
    <xf numFmtId="0" fontId="1" fillId="0" borderId="49" xfId="1" applyBorder="1"/>
    <xf numFmtId="0" fontId="6" fillId="2" borderId="40" xfId="1" applyFont="1" applyFill="1" applyBorder="1" applyAlignment="1">
      <alignment horizontal="center"/>
    </xf>
    <xf numFmtId="165" fontId="1" fillId="0" borderId="50" xfId="1" applyNumberFormat="1" applyBorder="1"/>
    <xf numFmtId="0" fontId="1" fillId="0" borderId="51" xfId="1" applyBorder="1"/>
    <xf numFmtId="0" fontId="11" fillId="2" borderId="1" xfId="1" applyFont="1" applyFill="1" applyBorder="1" applyAlignment="1">
      <alignment horizontal="center"/>
    </xf>
    <xf numFmtId="0" fontId="1" fillId="0" borderId="52" xfId="1" applyBorder="1"/>
    <xf numFmtId="0" fontId="11" fillId="2" borderId="53" xfId="1" applyFont="1" applyFill="1" applyBorder="1" applyAlignment="1">
      <alignment horizontal="center"/>
    </xf>
    <xf numFmtId="0" fontId="1" fillId="0" borderId="54" xfId="1" applyBorder="1"/>
    <xf numFmtId="0" fontId="11" fillId="0" borderId="0" xfId="1" applyFont="1" applyAlignment="1">
      <alignment horizontal="center"/>
    </xf>
    <xf numFmtId="1" fontId="12" fillId="0" borderId="24" xfId="1" applyNumberFormat="1" applyFont="1" applyBorder="1"/>
    <xf numFmtId="1" fontId="13" fillId="0" borderId="24" xfId="1" applyNumberFormat="1" applyFont="1" applyBorder="1"/>
    <xf numFmtId="166" fontId="1" fillId="0" borderId="0" xfId="1" applyNumberFormat="1" applyAlignment="1">
      <alignment horizontal="left" indent="3"/>
    </xf>
    <xf numFmtId="2" fontId="1" fillId="0" borderId="24" xfId="1" applyNumberFormat="1" applyBorder="1" applyAlignment="1">
      <alignment horizontal="right"/>
    </xf>
    <xf numFmtId="1" fontId="6" fillId="0" borderId="29" xfId="1" applyNumberFormat="1" applyFont="1" applyBorder="1" applyAlignment="1">
      <alignment horizontal="right"/>
    </xf>
    <xf numFmtId="0" fontId="1" fillId="0" borderId="24" xfId="1" applyBorder="1" applyAlignment="1">
      <alignment horizontal="right"/>
    </xf>
    <xf numFmtId="0" fontId="1" fillId="0" borderId="29" xfId="1" applyBorder="1" applyAlignment="1">
      <alignment horizontal="right"/>
    </xf>
    <xf numFmtId="0" fontId="3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6" fillId="0" borderId="55" xfId="1" applyFont="1" applyBorder="1" applyAlignment="1">
      <alignment horizontal="center"/>
    </xf>
    <xf numFmtId="0" fontId="6" fillId="0" borderId="18" xfId="1" applyFont="1" applyBorder="1" applyAlignment="1">
      <alignment horizontal="center"/>
    </xf>
    <xf numFmtId="0" fontId="6" fillId="0" borderId="19" xfId="1" applyFont="1" applyBorder="1" applyAlignment="1">
      <alignment horizontal="center"/>
    </xf>
  </cellXfs>
  <cellStyles count="2">
    <cellStyle name="Обычный" xfId="0" builtinId="0"/>
    <cellStyle name="Обычный 2" xfId="1" xr:uid="{1436FAD9-531C-478E-969B-F1901402F3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3"/>
  <sheetViews>
    <sheetView tabSelected="1" topLeftCell="A6" workbookViewId="0">
      <selection activeCell="N12" sqref="N12"/>
    </sheetView>
  </sheetViews>
  <sheetFormatPr defaultRowHeight="15" x14ac:dyDescent="0.25"/>
  <cols>
    <col min="6" max="6" width="13.140625" bestFit="1" customWidth="1"/>
    <col min="7" max="7" width="10" bestFit="1" customWidth="1"/>
    <col min="8" max="8" width="9.5703125" bestFit="1" customWidth="1"/>
    <col min="10" max="10" width="11.140625" bestFit="1" customWidth="1"/>
  </cols>
  <sheetData>
    <row r="2" spans="1:14" x14ac:dyDescent="0.25">
      <c r="A2" s="1"/>
      <c r="B2" s="2"/>
      <c r="C2" s="1"/>
      <c r="D2" s="87" t="s">
        <v>11</v>
      </c>
      <c r="E2" s="87"/>
      <c r="F2" s="87"/>
      <c r="G2" s="87"/>
      <c r="H2" s="87"/>
      <c r="I2" s="3"/>
      <c r="J2" s="3"/>
      <c r="K2" s="3"/>
      <c r="L2" s="3"/>
      <c r="M2" s="3"/>
      <c r="N2" s="3"/>
    </row>
    <row r="3" spans="1:14" x14ac:dyDescent="0.25">
      <c r="A3" s="2"/>
      <c r="B3" s="2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thickBot="1" x14ac:dyDescent="0.3"/>
    <row r="5" spans="1:14" ht="15.75" thickBot="1" x14ac:dyDescent="0.3">
      <c r="A5" s="1"/>
      <c r="B5" s="4" t="s">
        <v>12</v>
      </c>
      <c r="C5" s="5"/>
      <c r="D5" s="6"/>
      <c r="E5" s="7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8" t="s">
        <v>47</v>
      </c>
      <c r="C6" s="9">
        <v>0.3</v>
      </c>
      <c r="D6" s="1"/>
      <c r="E6" s="10" t="s">
        <v>13</v>
      </c>
      <c r="F6" s="11">
        <v>0.76400000000000001</v>
      </c>
      <c r="H6" s="1"/>
      <c r="I6" s="12" t="s">
        <v>14</v>
      </c>
      <c r="J6" s="13">
        <v>900</v>
      </c>
      <c r="K6" s="1" t="s">
        <v>15</v>
      </c>
      <c r="L6" s="1"/>
      <c r="M6" s="1"/>
      <c r="N6" s="1"/>
    </row>
    <row r="7" spans="1:14" x14ac:dyDescent="0.25">
      <c r="A7" s="1"/>
      <c r="B7" s="14" t="s">
        <v>48</v>
      </c>
      <c r="C7" s="15">
        <v>0.6</v>
      </c>
      <c r="D7" s="1"/>
      <c r="E7" s="16" t="s">
        <v>2</v>
      </c>
      <c r="F7" s="15">
        <v>60000</v>
      </c>
      <c r="G7" s="1" t="s">
        <v>16</v>
      </c>
      <c r="H7" s="1"/>
      <c r="I7" s="17" t="s">
        <v>17</v>
      </c>
      <c r="J7" s="18">
        <v>3</v>
      </c>
      <c r="K7" s="1" t="s">
        <v>18</v>
      </c>
      <c r="L7" s="1"/>
      <c r="M7" s="1"/>
      <c r="N7" s="1"/>
    </row>
    <row r="8" spans="1:14" ht="15.75" thickBot="1" x14ac:dyDescent="0.3">
      <c r="A8" s="1"/>
      <c r="B8" s="14" t="s">
        <v>49</v>
      </c>
      <c r="C8" s="15">
        <v>0</v>
      </c>
      <c r="D8" s="1"/>
      <c r="E8" s="19" t="s">
        <v>52</v>
      </c>
      <c r="F8" s="20">
        <v>27500</v>
      </c>
      <c r="G8" s="1" t="s">
        <v>16</v>
      </c>
      <c r="H8" s="1"/>
      <c r="I8" s="21" t="s">
        <v>20</v>
      </c>
      <c r="J8" s="22">
        <f>797+25</f>
        <v>822</v>
      </c>
      <c r="K8" s="1" t="s">
        <v>19</v>
      </c>
      <c r="L8" s="1"/>
      <c r="M8" s="1"/>
      <c r="N8" s="1"/>
    </row>
    <row r="9" spans="1:14" x14ac:dyDescent="0.25">
      <c r="A9" s="1"/>
      <c r="B9" s="14" t="s">
        <v>50</v>
      </c>
      <c r="C9" s="15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thickBot="1" x14ac:dyDescent="0.3">
      <c r="A10" s="1"/>
      <c r="B10" s="23" t="s">
        <v>51</v>
      </c>
      <c r="C10" s="20">
        <v>0.1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6.5" thickTop="1" thickBot="1" x14ac:dyDescent="0.3">
      <c r="A11" s="1"/>
      <c r="B11" s="24"/>
      <c r="C11" s="1"/>
      <c r="D11" s="1"/>
      <c r="E11" s="25" t="s">
        <v>21</v>
      </c>
      <c r="F11" s="90" t="s">
        <v>46</v>
      </c>
      <c r="G11" s="91"/>
      <c r="H11" s="1"/>
      <c r="J11" s="1"/>
      <c r="K11" s="1"/>
      <c r="L11" s="1"/>
      <c r="M11" s="1"/>
      <c r="N11" s="1"/>
    </row>
    <row r="12" spans="1:14" ht="15.75" thickTop="1" x14ac:dyDescent="0.25">
      <c r="A12" s="1"/>
      <c r="B12" s="1"/>
      <c r="C12" s="1"/>
      <c r="D12" s="1"/>
      <c r="E12" s="3"/>
      <c r="F12" s="3"/>
      <c r="G12" s="3"/>
      <c r="H12" s="2"/>
      <c r="I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7"/>
      <c r="F13" s="7"/>
      <c r="G13" s="7"/>
      <c r="H13" s="1"/>
      <c r="I13" s="1"/>
      <c r="J13" s="1"/>
      <c r="K13" s="1"/>
      <c r="L13" s="1"/>
      <c r="M13" s="1"/>
      <c r="N13" s="1"/>
    </row>
    <row r="15" spans="1:14" x14ac:dyDescent="0.25">
      <c r="A15" s="1"/>
      <c r="B15" s="1"/>
      <c r="C15" s="1"/>
      <c r="D15" s="1"/>
      <c r="E15" s="1"/>
      <c r="F15" s="1">
        <v>22.4</v>
      </c>
      <c r="G15" s="1"/>
      <c r="H15" s="1"/>
      <c r="I15" s="1"/>
      <c r="J15" s="1"/>
      <c r="K15" s="1"/>
      <c r="L15" s="1"/>
      <c r="M15" s="1"/>
      <c r="N15" s="1"/>
    </row>
    <row r="16" spans="1:14" ht="15.75" thickBot="1" x14ac:dyDescent="0.3">
      <c r="A16" s="1"/>
      <c r="B16" s="1"/>
      <c r="C16" s="89" t="s">
        <v>22</v>
      </c>
      <c r="D16" s="89"/>
      <c r="E16" s="89"/>
      <c r="F16" s="89"/>
      <c r="G16" s="89" t="s">
        <v>23</v>
      </c>
      <c r="H16" s="89"/>
      <c r="I16" s="89"/>
      <c r="J16" s="89"/>
      <c r="K16" s="89" t="s">
        <v>24</v>
      </c>
      <c r="L16" s="89"/>
      <c r="M16" s="89"/>
      <c r="N16" s="1"/>
    </row>
    <row r="17" spans="1:15" ht="15.75" thickBot="1" x14ac:dyDescent="0.3">
      <c r="A17" s="26" t="s">
        <v>1</v>
      </c>
      <c r="B17" s="27" t="s">
        <v>25</v>
      </c>
      <c r="C17" s="28" t="s">
        <v>3</v>
      </c>
      <c r="D17" s="28" t="s">
        <v>4</v>
      </c>
      <c r="E17" s="28" t="s">
        <v>5</v>
      </c>
      <c r="F17" s="28" t="s">
        <v>0</v>
      </c>
      <c r="G17" s="28" t="s">
        <v>6</v>
      </c>
      <c r="H17" s="28" t="s">
        <v>7</v>
      </c>
      <c r="I17" s="28" t="s">
        <v>8</v>
      </c>
      <c r="J17" s="28" t="s">
        <v>9</v>
      </c>
      <c r="K17" s="28" t="s">
        <v>26</v>
      </c>
      <c r="L17" s="28" t="s">
        <v>10</v>
      </c>
      <c r="M17" s="29" t="s">
        <v>27</v>
      </c>
      <c r="N17" s="7"/>
      <c r="O17" s="7"/>
    </row>
    <row r="18" spans="1:15" x14ac:dyDescent="0.25">
      <c r="A18" s="8" t="s">
        <v>47</v>
      </c>
      <c r="B18" s="30">
        <v>16</v>
      </c>
      <c r="C18" s="31">
        <f>E18*B18</f>
        <v>12857.142857142859</v>
      </c>
      <c r="D18" s="32">
        <f>$D$23*F18</f>
        <v>18000</v>
      </c>
      <c r="E18" s="31">
        <f>D18/$F$15</f>
        <v>803.57142857142867</v>
      </c>
      <c r="F18" s="85">
        <v>0.3</v>
      </c>
      <c r="G18" s="31">
        <f>I18*B18</f>
        <v>3035.7142857142858</v>
      </c>
      <c r="H18" s="31">
        <f>D18+L18</f>
        <v>4250</v>
      </c>
      <c r="I18" s="31">
        <f>H18/$F$15</f>
        <v>189.73214285714286</v>
      </c>
      <c r="J18" s="83">
        <f>H18/$H$23</f>
        <v>4.8571428571428571E-2</v>
      </c>
      <c r="K18" s="31">
        <f>M18*B18</f>
        <v>-9821.4285714285725</v>
      </c>
      <c r="L18" s="31">
        <f>-L21/2</f>
        <v>-13750</v>
      </c>
      <c r="M18" s="33">
        <f>L18/$F$15</f>
        <v>-613.83928571428578</v>
      </c>
      <c r="N18" s="34"/>
      <c r="O18" s="34"/>
    </row>
    <row r="19" spans="1:15" x14ac:dyDescent="0.25">
      <c r="A19" s="14" t="s">
        <v>48</v>
      </c>
      <c r="B19" s="35">
        <v>44</v>
      </c>
      <c r="C19" s="31">
        <f t="shared" ref="C19:C22" si="0">E19*B19</f>
        <v>70714.285714285725</v>
      </c>
      <c r="D19" s="32">
        <f t="shared" ref="D19:D22" si="1">$D$23*F19</f>
        <v>36000</v>
      </c>
      <c r="E19" s="31">
        <f t="shared" ref="E19:E22" si="2">D19/$F$15</f>
        <v>1607.1428571428573</v>
      </c>
      <c r="F19" s="85">
        <v>0.6</v>
      </c>
      <c r="G19" s="31">
        <f t="shared" ref="G19:G22" si="3">I19*B19</f>
        <v>43705.357142857145</v>
      </c>
      <c r="H19" s="31">
        <f t="shared" ref="H19:H22" si="4">D19+L19</f>
        <v>22250</v>
      </c>
      <c r="I19" s="31">
        <f t="shared" ref="I19:I22" si="5">H19/$F$15</f>
        <v>993.30357142857144</v>
      </c>
      <c r="J19" s="83">
        <f t="shared" ref="J19:J22" si="6">H19/$H$23</f>
        <v>0.25428571428571428</v>
      </c>
      <c r="K19" s="31">
        <f t="shared" ref="K19:K22" si="7">M19*B19</f>
        <v>-27008.928571428572</v>
      </c>
      <c r="L19" s="31">
        <f>-L21/2</f>
        <v>-13750</v>
      </c>
      <c r="M19" s="33">
        <f t="shared" ref="M19:M22" si="8">L19/$F$15</f>
        <v>-613.83928571428578</v>
      </c>
      <c r="N19" s="34"/>
      <c r="O19" s="34"/>
    </row>
    <row r="20" spans="1:15" x14ac:dyDescent="0.25">
      <c r="A20" s="14" t="s">
        <v>49</v>
      </c>
      <c r="B20" s="35">
        <v>28</v>
      </c>
      <c r="C20" s="31">
        <f t="shared" si="0"/>
        <v>0</v>
      </c>
      <c r="D20" s="32">
        <f t="shared" si="1"/>
        <v>0</v>
      </c>
      <c r="E20" s="31">
        <f t="shared" si="2"/>
        <v>0</v>
      </c>
      <c r="F20" s="85">
        <v>0</v>
      </c>
      <c r="G20" s="31">
        <f t="shared" si="3"/>
        <v>34375</v>
      </c>
      <c r="H20" s="31">
        <f t="shared" si="4"/>
        <v>27500</v>
      </c>
      <c r="I20" s="31">
        <f t="shared" si="5"/>
        <v>1227.6785714285716</v>
      </c>
      <c r="J20" s="83">
        <f t="shared" si="6"/>
        <v>0.31428571428571428</v>
      </c>
      <c r="K20" s="31">
        <f t="shared" si="7"/>
        <v>34375</v>
      </c>
      <c r="L20" s="81">
        <f>L21</f>
        <v>27500</v>
      </c>
      <c r="M20" s="33">
        <f t="shared" si="8"/>
        <v>1227.6785714285716</v>
      </c>
      <c r="N20" s="34"/>
      <c r="O20" s="34"/>
    </row>
    <row r="21" spans="1:15" x14ac:dyDescent="0.25">
      <c r="A21" s="14" t="s">
        <v>50</v>
      </c>
      <c r="B21" s="35">
        <v>2</v>
      </c>
      <c r="C21" s="31">
        <f t="shared" si="0"/>
        <v>0</v>
      </c>
      <c r="D21" s="32">
        <f t="shared" si="1"/>
        <v>0</v>
      </c>
      <c r="E21" s="31">
        <f t="shared" si="2"/>
        <v>0</v>
      </c>
      <c r="F21" s="85">
        <v>0</v>
      </c>
      <c r="G21" s="31">
        <f t="shared" si="3"/>
        <v>2455.3571428571431</v>
      </c>
      <c r="H21" s="31">
        <f t="shared" si="4"/>
        <v>27500</v>
      </c>
      <c r="I21" s="31">
        <f t="shared" si="5"/>
        <v>1227.6785714285716</v>
      </c>
      <c r="J21" s="83">
        <f t="shared" si="6"/>
        <v>0.31428571428571428</v>
      </c>
      <c r="K21" s="31">
        <f t="shared" si="7"/>
        <v>2455.3571428571431</v>
      </c>
      <c r="L21" s="80">
        <v>27500</v>
      </c>
      <c r="M21" s="33">
        <f t="shared" si="8"/>
        <v>1227.6785714285716</v>
      </c>
      <c r="N21" s="34"/>
      <c r="O21" s="34"/>
    </row>
    <row r="22" spans="1:15" ht="15.75" thickBot="1" x14ac:dyDescent="0.3">
      <c r="A22" s="23" t="s">
        <v>51</v>
      </c>
      <c r="B22" s="35">
        <v>28</v>
      </c>
      <c r="C22" s="31">
        <f t="shared" si="0"/>
        <v>7500.0000000000009</v>
      </c>
      <c r="D22" s="32">
        <f t="shared" si="1"/>
        <v>6000</v>
      </c>
      <c r="E22" s="31">
        <f t="shared" si="2"/>
        <v>267.85714285714289</v>
      </c>
      <c r="F22" s="85">
        <v>0.1</v>
      </c>
      <c r="G22" s="31">
        <f t="shared" si="3"/>
        <v>7500.0000000000009</v>
      </c>
      <c r="H22" s="31">
        <f t="shared" si="4"/>
        <v>6000</v>
      </c>
      <c r="I22" s="31">
        <f t="shared" si="5"/>
        <v>267.85714285714289</v>
      </c>
      <c r="J22" s="83">
        <f t="shared" si="6"/>
        <v>6.8571428571428575E-2</v>
      </c>
      <c r="K22" s="31">
        <f t="shared" si="7"/>
        <v>0</v>
      </c>
      <c r="L22" s="31">
        <v>0</v>
      </c>
      <c r="M22" s="33">
        <f t="shared" si="8"/>
        <v>0</v>
      </c>
      <c r="N22" s="34"/>
      <c r="O22" s="34"/>
    </row>
    <row r="23" spans="1:15" ht="15.75" thickBot="1" x14ac:dyDescent="0.3">
      <c r="A23" s="23" t="s">
        <v>28</v>
      </c>
      <c r="B23" s="36"/>
      <c r="C23" s="37">
        <f>SUM(C18:C22)</f>
        <v>91071.42857142858</v>
      </c>
      <c r="D23" s="38">
        <v>60000</v>
      </c>
      <c r="E23" s="39">
        <f t="shared" ref="E23:K23" si="9">SUM(E18:E22)</f>
        <v>2678.5714285714294</v>
      </c>
      <c r="F23" s="86">
        <f t="shared" si="9"/>
        <v>0.99999999999999989</v>
      </c>
      <c r="G23" s="37">
        <f t="shared" si="9"/>
        <v>91071.428571428565</v>
      </c>
      <c r="H23" s="39">
        <f t="shared" si="9"/>
        <v>87500</v>
      </c>
      <c r="I23" s="39">
        <f t="shared" si="9"/>
        <v>3906.25</v>
      </c>
      <c r="J23" s="84">
        <f t="shared" si="9"/>
        <v>1</v>
      </c>
      <c r="K23" s="39">
        <f t="shared" si="9"/>
        <v>-1.8189894035458565E-12</v>
      </c>
      <c r="L23" s="39">
        <f>SUM(L21:L22)</f>
        <v>27500</v>
      </c>
      <c r="M23" s="40">
        <f>SUM(M18:M22)</f>
        <v>1227.6785714285716</v>
      </c>
      <c r="N23" s="34"/>
      <c r="O23" s="34"/>
    </row>
    <row r="24" spans="1:15" x14ac:dyDescent="0.25">
      <c r="A24" s="41"/>
      <c r="B24" s="42"/>
      <c r="C24" s="34"/>
      <c r="D24" s="1"/>
      <c r="E24" s="34"/>
      <c r="F24" s="41"/>
      <c r="G24" s="34"/>
      <c r="H24" s="1"/>
      <c r="I24" s="34"/>
      <c r="J24" s="43"/>
      <c r="K24" s="34"/>
      <c r="L24" s="34"/>
      <c r="M24" s="34"/>
      <c r="N24" s="34"/>
      <c r="O24" s="34"/>
    </row>
    <row r="25" spans="1:15" x14ac:dyDescent="0.25">
      <c r="A25" s="1"/>
      <c r="B25" s="1"/>
      <c r="C25" s="1"/>
      <c r="D25" s="1"/>
      <c r="E25" s="43"/>
      <c r="F25" s="1"/>
      <c r="G25" s="1"/>
      <c r="H25" s="1"/>
      <c r="I25" s="1"/>
      <c r="J25" s="1"/>
      <c r="K25" s="1"/>
      <c r="L25" s="1"/>
      <c r="M25" s="1"/>
      <c r="N25" s="1"/>
      <c r="O25" s="1"/>
    </row>
    <row r="28" spans="1:15" ht="15.75" thickBot="1" x14ac:dyDescent="0.3">
      <c r="A28" s="1"/>
      <c r="B28" s="1" t="s">
        <v>29</v>
      </c>
      <c r="C28" s="1" t="s">
        <v>30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.75" thickBot="1" x14ac:dyDescent="0.3">
      <c r="A29" s="44" t="s">
        <v>1</v>
      </c>
      <c r="B29" s="45" t="s">
        <v>31</v>
      </c>
      <c r="C29" s="46" t="s">
        <v>32</v>
      </c>
      <c r="D29" s="1"/>
      <c r="E29" s="47" t="s">
        <v>33</v>
      </c>
      <c r="F29" s="47" t="s">
        <v>34</v>
      </c>
      <c r="G29" s="47" t="s">
        <v>35</v>
      </c>
      <c r="H29" s="48" t="s">
        <v>36</v>
      </c>
      <c r="I29" s="47" t="s">
        <v>37</v>
      </c>
      <c r="J29" s="49" t="s">
        <v>38</v>
      </c>
      <c r="L29" s="1"/>
      <c r="M29" s="1"/>
      <c r="N29" s="1"/>
      <c r="O29" s="1"/>
    </row>
    <row r="30" spans="1:15" x14ac:dyDescent="0.25">
      <c r="A30" s="50" t="s">
        <v>47</v>
      </c>
      <c r="B30" s="51">
        <v>35.700000000000003</v>
      </c>
      <c r="C30" s="52">
        <v>-74.599999999999994</v>
      </c>
      <c r="D30" s="1"/>
      <c r="E30" s="53" t="s">
        <v>39</v>
      </c>
      <c r="F30" s="54">
        <f>E23*1000/3600*B36*J6</f>
        <v>24044196.428571437</v>
      </c>
      <c r="G30" s="55">
        <f>M21*1000/3600*C39*1000</f>
        <v>-42124720.982142858</v>
      </c>
      <c r="H30" s="56">
        <f>J30-F30-G30-I30</f>
        <v>46805914.434523799</v>
      </c>
      <c r="I30" s="55">
        <f>-F30*3%</f>
        <v>-721325.89285714307</v>
      </c>
      <c r="J30" s="57">
        <f>I23*1000/3600*B37*J8</f>
        <v>28004063.988095239</v>
      </c>
      <c r="K30" s="1"/>
      <c r="L30" s="1"/>
      <c r="M30" s="1"/>
      <c r="N30" s="1"/>
      <c r="O30" s="1"/>
    </row>
    <row r="31" spans="1:15" ht="15.75" thickBot="1" x14ac:dyDescent="0.3">
      <c r="A31" s="58" t="s">
        <v>48</v>
      </c>
      <c r="B31" s="59">
        <v>37.14</v>
      </c>
      <c r="C31" s="52">
        <v>-393.51</v>
      </c>
      <c r="D31" s="1"/>
      <c r="E31" s="60"/>
      <c r="F31" s="61"/>
      <c r="G31" s="62"/>
      <c r="H31" s="62"/>
      <c r="I31" s="62"/>
      <c r="J31" s="63"/>
      <c r="K31" s="1"/>
      <c r="L31" s="1"/>
      <c r="M31" s="1"/>
      <c r="N31" s="1"/>
      <c r="O31" s="1"/>
    </row>
    <row r="32" spans="1:15" x14ac:dyDescent="0.25">
      <c r="A32" s="58" t="s">
        <v>49</v>
      </c>
      <c r="B32" s="59">
        <v>29.14</v>
      </c>
      <c r="C32" s="64">
        <v>-110.53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4" x14ac:dyDescent="0.25">
      <c r="A33" s="58" t="s">
        <v>50</v>
      </c>
      <c r="B33" s="59">
        <v>28.84</v>
      </c>
      <c r="C33" s="64">
        <v>0</v>
      </c>
      <c r="D33" s="1"/>
      <c r="E33" s="1"/>
      <c r="F33" s="1"/>
      <c r="G33" s="1"/>
    </row>
    <row r="34" spans="1:14" x14ac:dyDescent="0.25">
      <c r="A34" s="58" t="s">
        <v>51</v>
      </c>
      <c r="B34" s="65">
        <v>29.12</v>
      </c>
      <c r="C34" s="64"/>
      <c r="D34" s="1"/>
      <c r="E34" s="1" t="s">
        <v>40</v>
      </c>
      <c r="F34" s="66"/>
      <c r="G34" s="82">
        <f>-H30/G30</f>
        <v>1.1111269901197767</v>
      </c>
    </row>
    <row r="35" spans="1:14" ht="15.75" thickBot="1" x14ac:dyDescent="0.3">
      <c r="A35" s="67"/>
      <c r="B35" s="68"/>
      <c r="C35" s="69"/>
      <c r="D35" s="1"/>
      <c r="E35" s="1"/>
      <c r="F35" s="1"/>
      <c r="G35" s="1"/>
    </row>
    <row r="36" spans="1:14" ht="16.5" thickTop="1" thickBot="1" x14ac:dyDescent="0.3">
      <c r="A36" s="44" t="s">
        <v>41</v>
      </c>
      <c r="B36" s="70" cm="1">
        <f t="array" ref="B36">SUM(B30:B34*F18:F22)</f>
        <v>35.905999999999999</v>
      </c>
      <c r="C36" s="71"/>
      <c r="D36" s="1"/>
      <c r="E36" s="3" t="s">
        <v>42</v>
      </c>
      <c r="F36" s="88" t="s">
        <v>54</v>
      </c>
      <c r="G36" s="88"/>
      <c r="H36" s="88"/>
      <c r="I36" s="88"/>
      <c r="J36" s="88"/>
      <c r="K36" s="88"/>
      <c r="L36" s="88"/>
      <c r="M36" s="88"/>
      <c r="N36" s="88"/>
    </row>
    <row r="37" spans="1:14" ht="16.5" thickTop="1" thickBot="1" x14ac:dyDescent="0.3">
      <c r="A37" s="72" t="s">
        <v>43</v>
      </c>
      <c r="B37" s="73" cm="1">
        <f t="array" ref="B37">SUM(B30:B34*J18:J22)</f>
        <v>31.397257142857143</v>
      </c>
      <c r="C37" s="74"/>
      <c r="D37" s="1"/>
      <c r="E37" s="1"/>
      <c r="F37" s="1"/>
      <c r="G37" s="1"/>
    </row>
    <row r="38" spans="1:14" ht="16.5" thickBot="1" x14ac:dyDescent="0.3">
      <c r="A38" s="1"/>
      <c r="B38" s="75" t="s">
        <v>44</v>
      </c>
      <c r="C38" s="76">
        <f>2*C32-C31-C30</f>
        <v>247.04999999999998</v>
      </c>
      <c r="D38" s="1"/>
      <c r="E38" s="1"/>
      <c r="F38" s="1"/>
      <c r="G38" s="1"/>
    </row>
    <row r="39" spans="1:14" ht="17.25" thickTop="1" thickBot="1" x14ac:dyDescent="0.3">
      <c r="A39" s="1"/>
      <c r="B39" s="77" t="s">
        <v>45</v>
      </c>
      <c r="C39" s="78">
        <f>-C38/2</f>
        <v>-123.52499999999999</v>
      </c>
      <c r="D39" s="1" t="s">
        <v>53</v>
      </c>
      <c r="E39" s="1"/>
      <c r="F39" s="1"/>
      <c r="G39" s="1"/>
    </row>
    <row r="40" spans="1:14" ht="15.75" x14ac:dyDescent="0.25">
      <c r="A40" s="1"/>
      <c r="B40" s="79"/>
      <c r="C40" s="1"/>
      <c r="D40" s="1"/>
      <c r="E40" s="1"/>
      <c r="F40" s="1"/>
      <c r="G40" s="1"/>
    </row>
    <row r="41" spans="1:14" ht="15.75" x14ac:dyDescent="0.25">
      <c r="A41" s="1"/>
      <c r="B41" s="79"/>
      <c r="C41" s="1"/>
      <c r="D41" s="1"/>
      <c r="E41" s="1"/>
      <c r="F41" s="1"/>
      <c r="G41" s="1"/>
    </row>
    <row r="43" spans="1:14" x14ac:dyDescent="0.25">
      <c r="A43" s="1"/>
      <c r="B43" s="1"/>
      <c r="C43" s="1"/>
      <c r="D43" s="1"/>
      <c r="E43" s="1"/>
      <c r="F43" s="1"/>
      <c r="G43" s="1"/>
    </row>
  </sheetData>
  <mergeCells count="6">
    <mergeCell ref="D2:H2"/>
    <mergeCell ref="F36:N36"/>
    <mergeCell ref="C16:F16"/>
    <mergeCell ref="G16:J16"/>
    <mergeCell ref="K16:M16"/>
    <mergeCell ref="F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Леготин Андрей Александрович</cp:lastModifiedBy>
  <dcterms:created xsi:type="dcterms:W3CDTF">2015-06-05T18:19:34Z</dcterms:created>
  <dcterms:modified xsi:type="dcterms:W3CDTF">2024-06-24T18:11:23Z</dcterms:modified>
</cp:coreProperties>
</file>