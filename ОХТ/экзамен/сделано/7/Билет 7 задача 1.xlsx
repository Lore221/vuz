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7\"/>
    </mc:Choice>
  </mc:AlternateContent>
  <xr:revisionPtr revIDLastSave="0" documentId="13_ncr:1_{FA95E3FE-CE94-43D4-A134-7E5D209CC02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H30" i="1"/>
  <c r="J30" i="1"/>
  <c r="I30" i="1"/>
  <c r="G30" i="1"/>
  <c r="F30" i="1"/>
  <c r="J6" i="1"/>
  <c r="J8" i="1"/>
  <c r="C39" i="1"/>
  <c r="C38" i="1"/>
  <c r="B37" i="1" a="1"/>
  <c r="B37" i="1" s="1"/>
  <c r="B36" i="1" a="1"/>
  <c r="B36" i="1" s="1"/>
  <c r="J23" i="1"/>
  <c r="J19" i="1"/>
  <c r="J20" i="1"/>
  <c r="J21" i="1"/>
  <c r="J22" i="1"/>
  <c r="J18" i="1"/>
  <c r="F23" i="1"/>
  <c r="G23" i="1"/>
  <c r="G19" i="1"/>
  <c r="G20" i="1"/>
  <c r="G21" i="1"/>
  <c r="G22" i="1"/>
  <c r="G18" i="1"/>
  <c r="I23" i="1"/>
  <c r="I19" i="1"/>
  <c r="I20" i="1"/>
  <c r="I21" i="1"/>
  <c r="I22" i="1"/>
  <c r="I18" i="1"/>
  <c r="H23" i="1"/>
  <c r="H19" i="1"/>
  <c r="H20" i="1"/>
  <c r="H21" i="1"/>
  <c r="H22" i="1"/>
  <c r="H18" i="1"/>
  <c r="L19" i="1"/>
  <c r="L18" i="1"/>
  <c r="M18" i="1" s="1"/>
  <c r="K20" i="1"/>
  <c r="K21" i="1"/>
  <c r="K22" i="1"/>
  <c r="M19" i="1"/>
  <c r="K19" i="1" s="1"/>
  <c r="M20" i="1"/>
  <c r="M21" i="1"/>
  <c r="M22" i="1"/>
  <c r="L20" i="1"/>
  <c r="C23" i="1"/>
  <c r="C19" i="1"/>
  <c r="C20" i="1"/>
  <c r="C21" i="1"/>
  <c r="C22" i="1"/>
  <c r="C18" i="1"/>
  <c r="E23" i="1"/>
  <c r="E19" i="1"/>
  <c r="E20" i="1"/>
  <c r="E21" i="1"/>
  <c r="E22" i="1"/>
  <c r="E18" i="1"/>
  <c r="D19" i="1"/>
  <c r="D20" i="1"/>
  <c r="D21" i="1"/>
  <c r="D22" i="1"/>
  <c r="D18" i="1"/>
  <c r="M23" i="1" l="1"/>
  <c r="K18" i="1"/>
  <c r="K23" i="1" s="1"/>
  <c r="L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<sst xmlns="http://schemas.openxmlformats.org/spreadsheetml/2006/main" count="67" uniqueCount="55">
  <si>
    <t>ZN</t>
  </si>
  <si>
    <t>Вещество</t>
  </si>
  <si>
    <t>VNS</t>
  </si>
  <si>
    <t>GN</t>
  </si>
  <si>
    <t>VN</t>
  </si>
  <si>
    <t>NN</t>
  </si>
  <si>
    <t>GK</t>
  </si>
  <si>
    <t>VK</t>
  </si>
  <si>
    <t>NK</t>
  </si>
  <si>
    <t>ZK</t>
  </si>
  <si>
    <t>VR</t>
  </si>
  <si>
    <t>Задача 1 Материальный и тепловой баланс</t>
  </si>
  <si>
    <t>Состав исходной смеси</t>
  </si>
  <si>
    <t>XT</t>
  </si>
  <si>
    <t>T вх</t>
  </si>
  <si>
    <t>C</t>
  </si>
  <si>
    <t>м3/ч</t>
  </si>
  <si>
    <t xml:space="preserve">Qпот </t>
  </si>
  <si>
    <t>%</t>
  </si>
  <si>
    <t>С</t>
  </si>
  <si>
    <t>VRCT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</si>
  <si>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</si>
  <si>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</si>
  <si>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</si>
  <si>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</si>
  <si>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</si>
  <si>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ММ</t>
  </si>
  <si>
    <t>GR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</si>
  <si>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</si>
  <si>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</si>
  <si>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</si>
  <si>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</si>
  <si>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</si>
  <si>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</si>
  <si>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</si>
  <si>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</si>
  <si>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</si>
  <si>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</si>
  <si>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</si>
  <si>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</si>
  <si>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</si>
  <si>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</si>
  <si>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</si>
  <si>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</si>
  <si>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</si>
  <si>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</si>
  <si>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C2H6</t>
  </si>
  <si>
    <t>CO2</t>
  </si>
  <si>
    <t>H2</t>
  </si>
  <si>
    <t>CO</t>
  </si>
  <si>
    <t>N2</t>
  </si>
  <si>
    <t>C2H6+2CO2=4CO+3H2</t>
  </si>
  <si>
    <t>по H2</t>
  </si>
  <si>
    <t>изотермический</t>
  </si>
  <si>
    <t>Для реализации изотермического режима необходимо компенсировать 132% теплового эффекта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</si>
</sst>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_ "/>
    <numFmt numFmtId="166" formatCode="0.0_ "/>
    <numFmt numFmtId="167" formatCode="0.00_ "/>
    <numFmt numFmtId="168" formatCode="0.0"/>
  </numFmts>
  <fonts count="14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theme="5" tint="-0.4999847407452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2"/>
      <name val="Arial Cyr"/>
      <family val="2"/>
      <charset val="204"/>
    </font>
    <font>
      <b/>
      <sz val="10"/>
      <color theme="5" tint="-0.499984740745262"/>
      <name val="Arial Cyr"/>
      <charset val="204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2" borderId="1" xfId="1" applyFont="1" applyFill="1" applyBorder="1" applyAlignment="1">
      <alignment readingOrder="1"/>
    </xf>
    <xf numFmtId="0" fontId="5" fillId="2" borderId="2" xfId="1" applyFont="1" applyFill="1" applyBorder="1"/>
    <xf numFmtId="0" fontId="5" fillId="0" borderId="0" xfId="1" applyFont="1"/>
    <xf numFmtId="0" fontId="6" fillId="0" borderId="0" xfId="1" applyFont="1"/>
    <xf numFmtId="0" fontId="6" fillId="2" borderId="3" xfId="1" applyFont="1" applyFill="1" applyBorder="1" applyAlignment="1">
      <alignment horizontal="center"/>
    </xf>
    <xf numFmtId="0" fontId="1" fillId="0" borderId="4" xfId="1" applyBorder="1"/>
    <xf numFmtId="0" fontId="6" fillId="2" borderId="5" xfId="1" applyFont="1" applyFill="1" applyBorder="1"/>
    <xf numFmtId="0" fontId="1" fillId="0" borderId="6" xfId="1" applyBorder="1"/>
    <xf numFmtId="0" fontId="6" fillId="2" borderId="7" xfId="1" applyFont="1" applyFill="1" applyBorder="1"/>
    <xf numFmtId="0" fontId="1" fillId="0" borderId="8" xfId="1" applyBorder="1"/>
    <xf numFmtId="0" fontId="6" fillId="2" borderId="9" xfId="1" applyFont="1" applyFill="1" applyBorder="1" applyAlignment="1">
      <alignment horizontal="center"/>
    </xf>
    <xf numFmtId="0" fontId="1" fillId="0" borderId="10" xfId="1" applyBorder="1"/>
    <xf numFmtId="0" fontId="6" fillId="2" borderId="9" xfId="1" applyFont="1" applyFill="1" applyBorder="1"/>
    <xf numFmtId="0" fontId="6" fillId="2" borderId="11" xfId="1" applyFont="1" applyFill="1" applyBorder="1"/>
    <xf numFmtId="0" fontId="1" fillId="0" borderId="12" xfId="1" applyBorder="1"/>
    <xf numFmtId="0" fontId="6" fillId="2" borderId="13" xfId="1" applyFont="1" applyFill="1" applyBorder="1"/>
    <xf numFmtId="0" fontId="1" fillId="0" borderId="14" xfId="1" applyBorder="1"/>
    <xf numFmtId="0" fontId="6" fillId="2" borderId="15" xfId="1" applyFont="1" applyFill="1" applyBorder="1"/>
    <xf numFmtId="0" fontId="1" fillId="0" borderId="16" xfId="1" applyBorder="1"/>
    <xf numFmtId="0" fontId="6" fillId="2" borderId="13" xfId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4" fillId="0" borderId="17" xfId="1" applyFont="1" applyBorder="1"/>
    <xf numFmtId="0" fontId="6" fillId="0" borderId="18" xfId="1" applyFont="1" applyBorder="1"/>
    <xf numFmtId="0" fontId="6" fillId="0" borderId="19" xfId="1" applyFont="1" applyBorder="1"/>
    <xf numFmtId="0" fontId="4" fillId="2" borderId="1" xfId="1" applyFont="1" applyFill="1" applyBorder="1"/>
    <xf numFmtId="0" fontId="4" fillId="2" borderId="20" xfId="1" applyFont="1" applyFill="1" applyBorder="1"/>
    <xf numFmtId="0" fontId="4" fillId="2" borderId="21" xfId="1" applyFont="1" applyFill="1" applyBorder="1"/>
    <xf numFmtId="0" fontId="4" fillId="2" borderId="22" xfId="1" applyFont="1" applyFill="1" applyBorder="1"/>
    <xf numFmtId="0" fontId="1" fillId="0" borderId="23" xfId="1" applyBorder="1" applyAlignment="1">
      <alignment horizontal="center"/>
    </xf>
    <xf numFmtId="1" fontId="1" fillId="0" borderId="24" xfId="1" applyNumberFormat="1" applyBorder="1"/>
    <xf numFmtId="0" fontId="1" fillId="0" borderId="25" xfId="1" applyBorder="1"/>
    <xf numFmtId="0" fontId="1" fillId="0" borderId="24" xfId="1" applyBorder="1" applyAlignment="1">
      <alignment horizontal="center"/>
    </xf>
    <xf numFmtId="2" fontId="1" fillId="0" borderId="24" xfId="1" applyNumberFormat="1" applyBorder="1"/>
    <xf numFmtId="1" fontId="1" fillId="0" borderId="26" xfId="1" applyNumberFormat="1" applyBorder="1"/>
    <xf numFmtId="1" fontId="1" fillId="0" borderId="0" xfId="1" applyNumberFormat="1"/>
    <xf numFmtId="0" fontId="1" fillId="0" borderId="27" xfId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0" borderId="28" xfId="1" applyBorder="1" applyAlignment="1">
      <alignment horizontal="center"/>
    </xf>
    <xf numFmtId="1" fontId="4" fillId="0" borderId="29" xfId="1" applyNumberFormat="1" applyFont="1" applyBorder="1"/>
    <xf numFmtId="0" fontId="1" fillId="0" borderId="29" xfId="1" applyBorder="1"/>
    <xf numFmtId="1" fontId="1" fillId="0" borderId="29" xfId="1" applyNumberFormat="1" applyBorder="1"/>
    <xf numFmtId="0" fontId="1" fillId="0" borderId="29" xfId="1" applyBorder="1" applyAlignment="1">
      <alignment horizontal="center"/>
    </xf>
    <xf numFmtId="2" fontId="6" fillId="0" borderId="29" xfId="1" applyNumberFormat="1" applyFont="1" applyBorder="1"/>
    <xf numFmtId="1" fontId="1" fillId="0" borderId="16" xfId="1" applyNumberFormat="1" applyBorder="1"/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7" fillId="2" borderId="2" xfId="1" applyFont="1" applyFill="1" applyBorder="1"/>
    <xf numFmtId="0" fontId="6" fillId="2" borderId="1" xfId="1" applyFont="1" applyFill="1" applyBorder="1"/>
    <xf numFmtId="0" fontId="6" fillId="2" borderId="30" xfId="1" applyFont="1" applyFill="1" applyBorder="1"/>
    <xf numFmtId="0" fontId="6" fillId="2" borderId="2" xfId="1" applyFont="1" applyFill="1" applyBorder="1"/>
    <xf numFmtId="0" fontId="6" fillId="2" borderId="31" xfId="1" applyFont="1" applyFill="1" applyBorder="1" applyAlignment="1">
      <alignment horizontal="center"/>
    </xf>
    <xf numFmtId="0" fontId="1" fillId="0" borderId="32" xfId="1" applyBorder="1"/>
    <xf numFmtId="0" fontId="1" fillId="0" borderId="33" xfId="1" applyBorder="1"/>
    <xf numFmtId="0" fontId="1" fillId="2" borderId="34" xfId="1" applyFill="1" applyBorder="1"/>
    <xf numFmtId="1" fontId="1" fillId="0" borderId="35" xfId="1" applyNumberFormat="1" applyBorder="1"/>
    <xf numFmtId="1" fontId="1" fillId="0" borderId="36" xfId="1" applyNumberFormat="1" applyBorder="1"/>
    <xf numFmtId="165" fontId="1" fillId="0" borderId="36" xfId="1" applyNumberFormat="1" applyBorder="1"/>
    <xf numFmtId="166" fontId="1" fillId="0" borderId="37" xfId="1" applyNumberFormat="1" applyBorder="1"/>
    <xf numFmtId="0" fontId="6" fillId="2" borderId="38" xfId="1" applyFont="1" applyFill="1" applyBorder="1" applyAlignment="1">
      <alignment horizontal="center"/>
    </xf>
    <xf numFmtId="0" fontId="1" fillId="0" borderId="39" xfId="1" applyBorder="1"/>
    <xf numFmtId="0" fontId="2" fillId="2" borderId="40" xfId="1" applyFont="1" applyFill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167" fontId="1" fillId="0" borderId="39" xfId="1" applyNumberFormat="1" applyBorder="1"/>
    <xf numFmtId="167" fontId="1" fillId="0" borderId="0" xfId="1" applyNumberFormat="1"/>
    <xf numFmtId="0" fontId="6" fillId="2" borderId="45" xfId="1" applyFont="1" applyFill="1" applyBorder="1" applyAlignment="1">
      <alignment horizontal="center"/>
    </xf>
    <xf numFmtId="0" fontId="1" fillId="0" borderId="46" xfId="1" applyBorder="1"/>
    <xf numFmtId="0" fontId="1" fillId="0" borderId="47" xfId="1" applyBorder="1"/>
    <xf numFmtId="167" fontId="1" fillId="0" borderId="48" xfId="1" applyNumberFormat="1" applyBorder="1"/>
    <xf numFmtId="0" fontId="1" fillId="0" borderId="49" xfId="1" applyBorder="1"/>
    <xf numFmtId="0" fontId="6" fillId="2" borderId="40" xfId="1" applyFont="1" applyFill="1" applyBorder="1" applyAlignment="1">
      <alignment horizontal="center"/>
    </xf>
    <xf numFmtId="166" fontId="1" fillId="0" borderId="50" xfId="1" applyNumberFormat="1" applyBorder="1"/>
    <xf numFmtId="0" fontId="1" fillId="0" borderId="51" xfId="1" applyBorder="1"/>
    <xf numFmtId="0" fontId="11" fillId="2" borderId="1" xfId="1" applyFont="1" applyFill="1" applyBorder="1" applyAlignment="1">
      <alignment horizontal="center"/>
    </xf>
    <xf numFmtId="0" fontId="1" fillId="0" borderId="52" xfId="1" applyBorder="1"/>
    <xf numFmtId="0" fontId="11" fillId="2" borderId="53" xfId="1" applyFont="1" applyFill="1" applyBorder="1" applyAlignment="1">
      <alignment horizontal="center"/>
    </xf>
    <xf numFmtId="0" fontId="1" fillId="0" borderId="54" xfId="1" applyBorder="1"/>
    <xf numFmtId="0" fontId="11" fillId="0" borderId="0" xfId="1" applyFont="1" applyAlignment="1">
      <alignment horizontal="center"/>
    </xf>
    <xf numFmtId="0" fontId="6" fillId="0" borderId="55" xfId="1" applyFont="1" applyBorder="1" applyAlignment="1">
      <alignment horizontal="center"/>
    </xf>
    <xf numFmtId="1" fontId="12" fillId="0" borderId="24" xfId="1" applyNumberFormat="1" applyFont="1" applyBorder="1"/>
    <xf numFmtId="1" fontId="13" fillId="0" borderId="24" xfId="1" applyNumberFormat="1" applyFont="1" applyBorder="1"/>
    <xf numFmtId="168" fontId="1" fillId="0" borderId="0" xfId="1" applyNumberFormat="1"/>
  </cellXfs>
  <cellStyles count="2">
    <cellStyle name="Обычный" xfId="0" builtinId="0"/>
    <cellStyle name="Обычный 2" xfId="1" xr:uid="{1436FAD9-531C-478E-969B-F1901402F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4" workbookViewId="0">
      <selection activeCell="F37" sqref="F37"/>
    </sheetView>
  </sheetViews>
  <sheetFormatPr defaultRowHeight="15" x14ac:dyDescent="0.25"/>
  <cols>
    <col min="6" max="6" width="13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11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12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46</v>
      </c>
      <c r="C6" s="9">
        <v>0.3</v>
      </c>
      <c r="D6" s="1"/>
      <c r="E6" s="10" t="s">
        <v>13</v>
      </c>
      <c r="F6" s="11">
        <v>0.83299999999999996</v>
      </c>
      <c r="G6" s="1"/>
      <c r="H6" s="1"/>
      <c r="I6" s="12" t="s">
        <v>14</v>
      </c>
      <c r="J6" s="13">
        <f>J8</f>
        <v>406.5</v>
      </c>
      <c r="K6" s="1" t="s">
        <v>15</v>
      </c>
      <c r="L6" s="1"/>
      <c r="M6" s="1"/>
      <c r="N6" s="1"/>
    </row>
    <row r="7" spans="1:14" x14ac:dyDescent="0.25">
      <c r="A7" s="1"/>
      <c r="B7" s="14" t="s">
        <v>47</v>
      </c>
      <c r="C7" s="15">
        <v>0.6</v>
      </c>
      <c r="D7" s="1"/>
      <c r="E7" s="16" t="s">
        <v>2</v>
      </c>
      <c r="F7" s="15">
        <v>10000</v>
      </c>
      <c r="G7" s="1" t="s">
        <v>16</v>
      </c>
      <c r="H7" s="1"/>
      <c r="I7" s="17" t="s">
        <v>17</v>
      </c>
      <c r="J7" s="18">
        <v>5</v>
      </c>
      <c r="K7" s="1" t="s">
        <v>18</v>
      </c>
      <c r="L7" s="1"/>
      <c r="M7" s="1"/>
      <c r="N7" s="1"/>
    </row>
    <row r="8" spans="1:14" ht="15.75" thickBot="1" x14ac:dyDescent="0.3">
      <c r="A8" s="1"/>
      <c r="B8" s="14" t="s">
        <v>49</v>
      </c>
      <c r="C8" s="15">
        <v>0</v>
      </c>
      <c r="D8" s="1"/>
      <c r="E8" s="19" t="s">
        <v>20</v>
      </c>
      <c r="F8" s="20">
        <v>7500</v>
      </c>
      <c r="G8" s="1" t="s">
        <v>16</v>
      </c>
      <c r="H8" s="1"/>
      <c r="I8" s="21" t="s">
        <v>21</v>
      </c>
      <c r="J8" s="22">
        <f>391.5+15</f>
        <v>406.5</v>
      </c>
      <c r="K8" s="1" t="s">
        <v>19</v>
      </c>
      <c r="L8" s="1"/>
      <c r="M8" s="1"/>
      <c r="N8" s="1"/>
    </row>
    <row r="9" spans="1:14" x14ac:dyDescent="0.25">
      <c r="A9" s="1"/>
      <c r="B9" s="14" t="s">
        <v>48</v>
      </c>
      <c r="C9" s="15">
        <v>0</v>
      </c>
      <c r="D9" s="1"/>
      <c r="E9" s="1"/>
      <c r="F9" s="1"/>
      <c r="G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23" t="s">
        <v>50</v>
      </c>
      <c r="C10" s="20">
        <v>0.1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24"/>
      <c r="C11" s="1"/>
      <c r="D11" s="1"/>
      <c r="E11" s="25" t="s">
        <v>22</v>
      </c>
      <c r="F11" s="26" t="s">
        <v>51</v>
      </c>
      <c r="G11" s="27"/>
      <c r="H11" s="1"/>
      <c r="I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87" t="s">
        <v>23</v>
      </c>
      <c r="D16" s="87"/>
      <c r="E16" s="87"/>
      <c r="F16" s="87"/>
      <c r="G16" s="87" t="s">
        <v>24</v>
      </c>
      <c r="H16" s="87"/>
      <c r="I16" s="87"/>
      <c r="J16" s="87"/>
      <c r="K16" s="87" t="s">
        <v>25</v>
      </c>
      <c r="L16" s="87"/>
      <c r="M16" s="87"/>
      <c r="N16" s="1"/>
    </row>
    <row r="17" spans="1:15" ht="15.75" thickBot="1" x14ac:dyDescent="0.3">
      <c r="A17" s="28" t="s">
        <v>1</v>
      </c>
      <c r="B17" s="29" t="s">
        <v>26</v>
      </c>
      <c r="C17" s="30" t="s">
        <v>3</v>
      </c>
      <c r="D17" s="30" t="s">
        <v>4</v>
      </c>
      <c r="E17" s="30" t="s">
        <v>5</v>
      </c>
      <c r="F17" s="30" t="s">
        <v>0</v>
      </c>
      <c r="G17" s="30" t="s">
        <v>6</v>
      </c>
      <c r="H17" s="30" t="s">
        <v>7</v>
      </c>
      <c r="I17" s="30" t="s">
        <v>8</v>
      </c>
      <c r="J17" s="30" t="s">
        <v>9</v>
      </c>
      <c r="K17" s="30" t="s">
        <v>27</v>
      </c>
      <c r="L17" s="30" t="s">
        <v>10</v>
      </c>
      <c r="M17" s="31" t="s">
        <v>28</v>
      </c>
      <c r="N17" s="7"/>
      <c r="O17" s="7"/>
    </row>
    <row r="18" spans="1:15" x14ac:dyDescent="0.25">
      <c r="A18" s="8" t="s">
        <v>46</v>
      </c>
      <c r="B18" s="32">
        <v>30</v>
      </c>
      <c r="C18" s="33">
        <f>B18*E18</f>
        <v>4017.8571428571431</v>
      </c>
      <c r="D18" s="34">
        <f>F18*$D$23</f>
        <v>3000</v>
      </c>
      <c r="E18" s="33">
        <f>D18/$F$15</f>
        <v>133.92857142857144</v>
      </c>
      <c r="F18" s="35">
        <v>0.3</v>
      </c>
      <c r="G18" s="33">
        <f>I18*B18</f>
        <v>669.64285714285722</v>
      </c>
      <c r="H18" s="33">
        <f>D18+L18</f>
        <v>500</v>
      </c>
      <c r="I18" s="33">
        <f>H18/$F$15</f>
        <v>22.321428571428573</v>
      </c>
      <c r="J18" s="36">
        <f>H18/$H$23</f>
        <v>2.5000000000000001E-2</v>
      </c>
      <c r="K18" s="33">
        <f>M18*B18</f>
        <v>-3348.2142857142858</v>
      </c>
      <c r="L18" s="33">
        <f>-L21/3</f>
        <v>-2500</v>
      </c>
      <c r="M18" s="37">
        <f>L18/$F$15</f>
        <v>-111.60714285714286</v>
      </c>
      <c r="N18" s="38"/>
      <c r="O18" s="38"/>
    </row>
    <row r="19" spans="1:15" x14ac:dyDescent="0.25">
      <c r="A19" s="14" t="s">
        <v>47</v>
      </c>
      <c r="B19" s="39">
        <v>44</v>
      </c>
      <c r="C19" s="33">
        <f t="shared" ref="C19:C22" si="0">B19*E19</f>
        <v>11785.714285714286</v>
      </c>
      <c r="D19" s="34">
        <f t="shared" ref="D19:D22" si="1">F19*$D$23</f>
        <v>6000</v>
      </c>
      <c r="E19" s="33">
        <f t="shared" ref="E19:E22" si="2">D19/$F$15</f>
        <v>267.85714285714289</v>
      </c>
      <c r="F19" s="40">
        <v>0.6</v>
      </c>
      <c r="G19" s="33">
        <f t="shared" ref="G19:G22" si="3">I19*B19</f>
        <v>1964.2857142857144</v>
      </c>
      <c r="H19" s="33">
        <f t="shared" ref="H19:H22" si="4">D19+L19</f>
        <v>1000</v>
      </c>
      <c r="I19" s="33">
        <f t="shared" ref="I19:I22" si="5">H19/$F$15</f>
        <v>44.642857142857146</v>
      </c>
      <c r="J19" s="36">
        <f t="shared" ref="J19:J22" si="6">H19/$H$23</f>
        <v>0.05</v>
      </c>
      <c r="K19" s="33">
        <f t="shared" ref="K19:K22" si="7">M19*B19</f>
        <v>-9821.4285714285725</v>
      </c>
      <c r="L19" s="33">
        <f>-L21/3*2</f>
        <v>-5000</v>
      </c>
      <c r="M19" s="37">
        <f t="shared" ref="M19:M22" si="8">L19/$F$15</f>
        <v>-223.21428571428572</v>
      </c>
      <c r="N19" s="38"/>
      <c r="O19" s="38"/>
    </row>
    <row r="20" spans="1:15" x14ac:dyDescent="0.25">
      <c r="A20" s="14" t="s">
        <v>49</v>
      </c>
      <c r="B20" s="39">
        <v>28</v>
      </c>
      <c r="C20" s="33">
        <f t="shared" si="0"/>
        <v>0</v>
      </c>
      <c r="D20" s="34">
        <f t="shared" si="1"/>
        <v>0</v>
      </c>
      <c r="E20" s="33">
        <f t="shared" si="2"/>
        <v>0</v>
      </c>
      <c r="F20" s="40">
        <v>0</v>
      </c>
      <c r="G20" s="33">
        <f t="shared" si="3"/>
        <v>12500</v>
      </c>
      <c r="H20" s="33">
        <f t="shared" si="4"/>
        <v>10000</v>
      </c>
      <c r="I20" s="33">
        <f t="shared" si="5"/>
        <v>446.42857142857144</v>
      </c>
      <c r="J20" s="36">
        <f t="shared" si="6"/>
        <v>0.5</v>
      </c>
      <c r="K20" s="33">
        <f t="shared" si="7"/>
        <v>12500</v>
      </c>
      <c r="L20" s="89">
        <f>L21/3*4</f>
        <v>10000</v>
      </c>
      <c r="M20" s="37">
        <f t="shared" si="8"/>
        <v>446.42857142857144</v>
      </c>
      <c r="N20" s="38"/>
      <c r="O20" s="38"/>
    </row>
    <row r="21" spans="1:15" x14ac:dyDescent="0.25">
      <c r="A21" s="14" t="s">
        <v>48</v>
      </c>
      <c r="B21" s="39">
        <v>2</v>
      </c>
      <c r="C21" s="33">
        <f t="shared" si="0"/>
        <v>0</v>
      </c>
      <c r="D21" s="34">
        <f t="shared" si="1"/>
        <v>0</v>
      </c>
      <c r="E21" s="33">
        <f t="shared" si="2"/>
        <v>0</v>
      </c>
      <c r="F21" s="40">
        <v>0</v>
      </c>
      <c r="G21" s="33">
        <f t="shared" si="3"/>
        <v>669.64285714285722</v>
      </c>
      <c r="H21" s="33">
        <f t="shared" si="4"/>
        <v>7500</v>
      </c>
      <c r="I21" s="33">
        <f t="shared" si="5"/>
        <v>334.82142857142861</v>
      </c>
      <c r="J21" s="36">
        <f t="shared" si="6"/>
        <v>0.375</v>
      </c>
      <c r="K21" s="33">
        <f t="shared" si="7"/>
        <v>669.64285714285722</v>
      </c>
      <c r="L21" s="88">
        <v>7500</v>
      </c>
      <c r="M21" s="37">
        <f t="shared" si="8"/>
        <v>334.82142857142861</v>
      </c>
      <c r="N21" s="38"/>
      <c r="O21" s="38"/>
    </row>
    <row r="22" spans="1:15" x14ac:dyDescent="0.25">
      <c r="A22" s="14" t="s">
        <v>50</v>
      </c>
      <c r="B22" s="39">
        <v>28</v>
      </c>
      <c r="C22" s="33">
        <f t="shared" si="0"/>
        <v>1250</v>
      </c>
      <c r="D22" s="34">
        <f t="shared" si="1"/>
        <v>1000</v>
      </c>
      <c r="E22" s="33">
        <f t="shared" si="2"/>
        <v>44.642857142857146</v>
      </c>
      <c r="F22" s="40">
        <v>0.1</v>
      </c>
      <c r="G22" s="33">
        <f t="shared" si="3"/>
        <v>1250</v>
      </c>
      <c r="H22" s="33">
        <f t="shared" si="4"/>
        <v>1000</v>
      </c>
      <c r="I22" s="33">
        <f t="shared" si="5"/>
        <v>44.642857142857146</v>
      </c>
      <c r="J22" s="36">
        <f t="shared" si="6"/>
        <v>0.05</v>
      </c>
      <c r="K22" s="33">
        <f t="shared" si="7"/>
        <v>0</v>
      </c>
      <c r="L22" s="33">
        <v>0</v>
      </c>
      <c r="M22" s="37">
        <f t="shared" si="8"/>
        <v>0</v>
      </c>
      <c r="N22" s="38"/>
      <c r="O22" s="38"/>
    </row>
    <row r="23" spans="1:15" ht="15.75" thickBot="1" x14ac:dyDescent="0.3">
      <c r="A23" s="23" t="s">
        <v>29</v>
      </c>
      <c r="B23" s="41"/>
      <c r="C23" s="42">
        <f>SUM(C18:C22)</f>
        <v>17053.571428571428</v>
      </c>
      <c r="D23" s="43">
        <v>10000</v>
      </c>
      <c r="E23" s="44">
        <f>SUM(E18:E22)</f>
        <v>446.4285714285715</v>
      </c>
      <c r="F23" s="45">
        <f>SUM(F18:F22)</f>
        <v>0.99999999999999989</v>
      </c>
      <c r="G23" s="42">
        <f>SUM(G18:G22)</f>
        <v>17053.571428571428</v>
      </c>
      <c r="H23" s="44">
        <f>SUM(H18:H22)</f>
        <v>20000</v>
      </c>
      <c r="I23" s="44">
        <f>SUM(I18:I22)</f>
        <v>892.85714285714289</v>
      </c>
      <c r="J23" s="46">
        <f>SUM(J18:J22)</f>
        <v>1</v>
      </c>
      <c r="K23" s="44">
        <f>SUM(K18:K22)</f>
        <v>-1.4779288903810084E-12</v>
      </c>
      <c r="L23" s="44">
        <f>SUM(L18:L22)</f>
        <v>10000</v>
      </c>
      <c r="M23" s="47">
        <f>SUM(M18:M22)</f>
        <v>446.4285714285715</v>
      </c>
      <c r="N23" s="38"/>
      <c r="O23" s="38"/>
    </row>
    <row r="24" spans="1:15" x14ac:dyDescent="0.25">
      <c r="A24" s="48"/>
      <c r="B24" s="49"/>
      <c r="C24" s="38"/>
      <c r="D24" s="1"/>
      <c r="E24" s="38"/>
      <c r="F24" s="48"/>
      <c r="G24" s="38"/>
      <c r="H24" s="1"/>
      <c r="I24" s="38"/>
      <c r="J24" s="50"/>
      <c r="K24" s="38"/>
      <c r="L24" s="38"/>
      <c r="M24" s="38"/>
      <c r="N24" s="38"/>
      <c r="O24" s="38"/>
    </row>
    <row r="25" spans="1:15" x14ac:dyDescent="0.25">
      <c r="A25" s="1"/>
      <c r="B25" s="1"/>
      <c r="C25" s="1"/>
      <c r="D25" s="1"/>
      <c r="E25" s="50"/>
      <c r="F25" s="1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30</v>
      </c>
      <c r="C28" s="1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51" t="s">
        <v>1</v>
      </c>
      <c r="B29" s="52" t="s">
        <v>32</v>
      </c>
      <c r="C29" s="53" t="s">
        <v>33</v>
      </c>
      <c r="D29" s="1"/>
      <c r="E29" s="54" t="s">
        <v>34</v>
      </c>
      <c r="F29" s="54" t="s">
        <v>35</v>
      </c>
      <c r="G29" s="54" t="s">
        <v>36</v>
      </c>
      <c r="H29" s="55" t="s">
        <v>37</v>
      </c>
      <c r="I29" s="54" t="s">
        <v>38</v>
      </c>
      <c r="J29" s="56" t="s">
        <v>39</v>
      </c>
      <c r="L29" s="1"/>
      <c r="M29" s="1"/>
      <c r="N29" s="1"/>
      <c r="O29" s="1"/>
    </row>
    <row r="30" spans="1:15" x14ac:dyDescent="0.25">
      <c r="A30" s="57" t="s">
        <v>46</v>
      </c>
      <c r="B30" s="58">
        <v>44.04</v>
      </c>
      <c r="C30" s="59">
        <v>227.4</v>
      </c>
      <c r="D30" s="1"/>
      <c r="E30" s="60" t="s">
        <v>53</v>
      </c>
      <c r="F30" s="61">
        <f>E23*1000/3600*B36*J6</f>
        <v>1936117.5595238095</v>
      </c>
      <c r="G30" s="62">
        <f>M21*1000/3600*C39*1000</f>
        <v>-3642733.1349206348</v>
      </c>
      <c r="H30" s="63">
        <f>J30-F30-G30-I30</f>
        <v>4807710.5158730149</v>
      </c>
      <c r="I30" s="62">
        <f>-F30*5%</f>
        <v>-96805.877976190473</v>
      </c>
      <c r="J30" s="64">
        <f>I23*1000/3600*B37*J8</f>
        <v>3004289.0624999995</v>
      </c>
      <c r="K30" s="90"/>
      <c r="L30" s="1"/>
      <c r="M30" s="1"/>
      <c r="N30" s="1"/>
      <c r="O30" s="1"/>
    </row>
    <row r="31" spans="1:15" ht="15.75" thickBot="1" x14ac:dyDescent="0.3">
      <c r="A31" s="65" t="s">
        <v>47</v>
      </c>
      <c r="B31" s="66">
        <v>37.14</v>
      </c>
      <c r="C31" s="59">
        <v>-393.51</v>
      </c>
      <c r="D31" s="1"/>
      <c r="E31" s="67"/>
      <c r="F31" s="68"/>
      <c r="G31" s="69"/>
      <c r="H31" s="69"/>
      <c r="I31" s="69"/>
      <c r="J31" s="70"/>
      <c r="K31" s="1"/>
      <c r="L31" s="1"/>
      <c r="M31" s="1"/>
      <c r="N31" s="1"/>
      <c r="O31" s="1"/>
    </row>
    <row r="32" spans="1:15" x14ac:dyDescent="0.25">
      <c r="A32" s="65" t="s">
        <v>49</v>
      </c>
      <c r="B32" s="66">
        <v>29.14</v>
      </c>
      <c r="C32" s="71">
        <v>-110.53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5">
      <c r="A33" s="65" t="s">
        <v>48</v>
      </c>
      <c r="B33" s="66">
        <v>28.84</v>
      </c>
      <c r="C33" s="71">
        <v>0</v>
      </c>
      <c r="D33" s="1"/>
      <c r="E33" s="1"/>
      <c r="F33" s="1"/>
      <c r="G33" s="1"/>
    </row>
    <row r="34" spans="1:7" x14ac:dyDescent="0.25">
      <c r="A34" s="65" t="s">
        <v>50</v>
      </c>
      <c r="B34" s="72">
        <v>29.12</v>
      </c>
      <c r="C34" s="71"/>
      <c r="D34" s="1"/>
      <c r="E34" s="1" t="s">
        <v>40</v>
      </c>
      <c r="F34" s="73"/>
      <c r="G34" s="73">
        <f>-H30/G30</f>
        <v>1.3198085991489359</v>
      </c>
    </row>
    <row r="35" spans="1:7" ht="15.75" thickBot="1" x14ac:dyDescent="0.3">
      <c r="A35" s="74"/>
      <c r="B35" s="75"/>
      <c r="C35" s="76"/>
      <c r="D35" s="1"/>
      <c r="E35" s="1"/>
      <c r="F35" s="1"/>
      <c r="G35" s="1"/>
    </row>
    <row r="36" spans="1:7" ht="16.5" thickTop="1" thickBot="1" x14ac:dyDescent="0.3">
      <c r="A36" s="51" t="s">
        <v>41</v>
      </c>
      <c r="B36" s="77" cm="1">
        <f t="array" ref="B36">SUM(B30:B34*F18:F22)</f>
        <v>38.407999999999994</v>
      </c>
      <c r="C36" s="78"/>
      <c r="D36" s="1"/>
      <c r="E36" s="3" t="s">
        <v>42</v>
      </c>
      <c r="F36" s="1" t="s">
        <v>54</v>
      </c>
      <c r="G36" s="1"/>
    </row>
    <row r="37" spans="1:7" ht="16.5" thickTop="1" thickBot="1" x14ac:dyDescent="0.3">
      <c r="A37" s="79" t="s">
        <v>43</v>
      </c>
      <c r="B37" s="80" cm="1">
        <f t="array" ref="B37">SUM(B30:B34*J18:J22)</f>
        <v>29.798999999999996</v>
      </c>
      <c r="C37" s="81"/>
      <c r="D37" s="1"/>
      <c r="E37" s="1"/>
      <c r="F37" s="1"/>
      <c r="G37" s="1"/>
    </row>
    <row r="38" spans="1:7" ht="16.5" thickBot="1" x14ac:dyDescent="0.3">
      <c r="A38" s="1"/>
      <c r="B38" s="82" t="s">
        <v>44</v>
      </c>
      <c r="C38" s="83">
        <f>4*C32-2*C31-C30</f>
        <v>117.49999999999997</v>
      </c>
      <c r="D38" s="1"/>
      <c r="E38" s="1"/>
      <c r="F38" s="1"/>
      <c r="G38" s="1"/>
    </row>
    <row r="39" spans="1:7" ht="17.25" thickTop="1" thickBot="1" x14ac:dyDescent="0.3">
      <c r="A39" s="1"/>
      <c r="B39" s="84" t="s">
        <v>45</v>
      </c>
      <c r="C39" s="85">
        <f>-C38/3</f>
        <v>-39.166666666666657</v>
      </c>
      <c r="D39" s="1" t="s">
        <v>52</v>
      </c>
      <c r="E39" s="1"/>
      <c r="F39" s="1"/>
      <c r="G39" s="1"/>
    </row>
    <row r="40" spans="1:7" ht="15.75" x14ac:dyDescent="0.25">
      <c r="A40" s="1"/>
      <c r="B40" s="86"/>
      <c r="C40" s="1"/>
      <c r="D40" s="1"/>
      <c r="E40" s="1"/>
      <c r="F40" s="1"/>
      <c r="G40" s="1"/>
    </row>
    <row r="41" spans="1:7" ht="15.75" x14ac:dyDescent="0.25">
      <c r="A41" s="1"/>
      <c r="B41" s="86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mergeCells count="3">
    <mergeCell ref="C16:F16"/>
    <mergeCell ref="G16:J16"/>
    <mergeCell ref="K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2024-06-24T21:23:58Z</dcterms:modified>
</cp:coreProperties>
</file>