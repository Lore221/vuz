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20\"/>
    </mc:Choice>
  </mc:AlternateContent>
  <xr:revisionPtr revIDLastSave="0" documentId="13_ncr:1_{4650215A-1740-4E60-9E62-9716B842991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J30" i="1" l="1"/>
  <c r="C39" i="1"/>
  <c r="G30" i="1" s="1"/>
  <c r="F30" i="1" s="1"/>
  <c r="B37" i="1"/>
  <c r="B36" i="1"/>
  <c r="J23" i="1"/>
  <c r="J19" i="1"/>
  <c r="J20" i="1"/>
  <c r="J21" i="1"/>
  <c r="J18" i="1"/>
  <c r="G23" i="1"/>
  <c r="G20" i="1"/>
  <c r="G19" i="1"/>
  <c r="G21" i="1"/>
  <c r="G18" i="1"/>
  <c r="I23" i="1"/>
  <c r="I19" i="1"/>
  <c r="I20" i="1"/>
  <c r="I21" i="1"/>
  <c r="I18" i="1"/>
  <c r="H23" i="1"/>
  <c r="H19" i="1"/>
  <c r="H20" i="1"/>
  <c r="H21" i="1"/>
  <c r="H18" i="1"/>
  <c r="K23" i="1"/>
  <c r="K19" i="1"/>
  <c r="K20" i="1"/>
  <c r="K21" i="1"/>
  <c r="K18" i="1"/>
  <c r="M23" i="1"/>
  <c r="M19" i="1"/>
  <c r="M20" i="1"/>
  <c r="M21" i="1"/>
  <c r="M18" i="1"/>
  <c r="L23" i="1"/>
  <c r="L18" i="1"/>
  <c r="L19" i="1"/>
  <c r="D19" i="1"/>
  <c r="E19" i="1" s="1"/>
  <c r="C19" i="1" s="1"/>
  <c r="D20" i="1"/>
  <c r="E20" i="1" s="1"/>
  <c r="C20" i="1" s="1"/>
  <c r="D21" i="1"/>
  <c r="E21" i="1" s="1"/>
  <c r="C21" i="1" s="1"/>
  <c r="D18" i="1"/>
  <c r="E18" i="1" s="1"/>
  <c r="F23" i="1"/>
  <c r="I30" i="1" l="1"/>
  <c r="F34" i="1"/>
  <c r="C18" i="1"/>
  <c r="C23" i="1" s="1"/>
  <c r="E23" i="1"/>
</calcChain>
</file>

<file path=xl/sharedStrings.xml><?xml version="1.0" encoding="utf-8"?>
<sst xmlns="http://schemas.openxmlformats.org/spreadsheetml/2006/main" count="64" uniqueCount="54">
  <si>
    <t>Задача 1 Материальный и тепловой баланс</t>
  </si>
  <si>
    <t>Состав исходной смеси</t>
  </si>
  <si>
    <t>XT</t>
  </si>
  <si>
    <t>C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</si>
  <si>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</si>
  <si>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</si>
  <si>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</si>
  <si>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</si>
  <si>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</si>
  <si>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</si>
  <si>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</si>
  <si>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</si>
  <si>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</si>
  <si>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</si>
  <si>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</si>
  <si>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</si>
  <si>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</si>
  <si>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</si>
  <si>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</si>
  <si>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</si>
  <si>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</si>
  <si>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</si>
  <si>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</si>
  <si>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</si>
  <si>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</si>
  <si>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</si>
  <si>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</si>
  <si>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</si>
  <si>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</si>
  <si>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</si>
  <si>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</si>
  <si>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</si>
  <si>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</si>
  <si>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</si>
  <si>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</si>
  <si>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</si>
  <si>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</si>
  <si>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</si>
  <si>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</si>
  <si>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</si>
  <si>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</si>
  <si>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</si>
  <si>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</si>
  <si>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N2</t>
  </si>
  <si>
    <t>CO</t>
  </si>
  <si>
    <t>H2</t>
  </si>
  <si>
    <t>VRD</t>
  </si>
  <si>
    <t>CH2O</t>
  </si>
  <si>
    <t>CO+H2=CH2O</t>
  </si>
  <si>
    <t>по CH2O</t>
  </si>
  <si>
    <t>Tвх</t>
  </si>
  <si>
    <t>T вх min</t>
  </si>
  <si>
    <t>реализация адиабатического режима невозможна так как температура на входе ниже миниально допустимой</t>
  </si>
  <si>
    <t>адиабатический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</si>
</sst>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4" xfId="1" applyBorder="1"/>
    <xf numFmtId="0" fontId="1" fillId="2" borderId="25" xfId="1" applyFill="1" applyBorder="1"/>
    <xf numFmtId="1" fontId="1" fillId="0" borderId="26" xfId="1" applyNumberFormat="1" applyBorder="1"/>
    <xf numFmtId="1" fontId="1" fillId="0" borderId="27" xfId="1" applyNumberFormat="1" applyBorder="1"/>
    <xf numFmtId="164" fontId="1" fillId="0" borderId="27" xfId="1" applyNumberFormat="1" applyBorder="1"/>
    <xf numFmtId="0" fontId="5" fillId="2" borderId="28" xfId="1" applyFont="1" applyFill="1" applyBorder="1" applyAlignment="1">
      <alignment horizontal="center"/>
    </xf>
    <xf numFmtId="0" fontId="1" fillId="0" borderId="29" xfId="1" applyBorder="1"/>
    <xf numFmtId="0" fontId="2" fillId="2" borderId="30" xfId="1" applyFont="1" applyFill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165" fontId="1" fillId="0" borderId="29" xfId="1" applyNumberFormat="1" applyBorder="1"/>
    <xf numFmtId="165" fontId="1" fillId="0" borderId="0" xfId="1" applyNumberFormat="1"/>
    <xf numFmtId="166" fontId="1" fillId="0" borderId="0" xfId="1" applyNumberFormat="1"/>
    <xf numFmtId="0" fontId="5" fillId="2" borderId="34" xfId="1" applyFont="1" applyFill="1" applyBorder="1" applyAlignment="1">
      <alignment horizontal="center"/>
    </xf>
    <xf numFmtId="0" fontId="1" fillId="0" borderId="35" xfId="1" applyBorder="1"/>
    <xf numFmtId="0" fontId="1" fillId="0" borderId="36" xfId="1" applyBorder="1"/>
    <xf numFmtId="165" fontId="1" fillId="0" borderId="37" xfId="1" applyNumberFormat="1" applyBorder="1"/>
    <xf numFmtId="0" fontId="1" fillId="0" borderId="38" xfId="1" applyBorder="1"/>
    <xf numFmtId="0" fontId="5" fillId="2" borderId="30" xfId="1" applyFont="1" applyFill="1" applyBorder="1" applyAlignment="1">
      <alignment horizontal="center"/>
    </xf>
    <xf numFmtId="166" fontId="1" fillId="0" borderId="39" xfId="1" applyNumberFormat="1" applyBorder="1"/>
    <xf numFmtId="0" fontId="1" fillId="0" borderId="40" xfId="1" applyBorder="1"/>
    <xf numFmtId="0" fontId="7" fillId="2" borderId="1" xfId="1" applyFont="1" applyFill="1" applyBorder="1" applyAlignment="1">
      <alignment horizontal="center"/>
    </xf>
    <xf numFmtId="0" fontId="1" fillId="0" borderId="41" xfId="1" applyBorder="1"/>
    <xf numFmtId="0" fontId="7" fillId="2" borderId="42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5" fillId="2" borderId="44" xfId="1" applyFont="1" applyFill="1" applyBorder="1"/>
    <xf numFmtId="0" fontId="1" fillId="0" borderId="45" xfId="1" applyBorder="1"/>
    <xf numFmtId="0" fontId="5" fillId="2" borderId="46" xfId="1" applyFont="1" applyFill="1" applyBorder="1"/>
    <xf numFmtId="0" fontId="1" fillId="0" borderId="47" xfId="1" applyBorder="1"/>
    <xf numFmtId="0" fontId="5" fillId="2" borderId="48" xfId="1" applyFont="1" applyFill="1" applyBorder="1"/>
    <xf numFmtId="0" fontId="1" fillId="0" borderId="49" xfId="1" applyBorder="1"/>
    <xf numFmtId="0" fontId="11" fillId="2" borderId="50" xfId="1" applyFont="1" applyFill="1" applyBorder="1"/>
    <xf numFmtId="2" fontId="1" fillId="0" borderId="17" xfId="1" applyNumberFormat="1" applyBorder="1"/>
    <xf numFmtId="1" fontId="1" fillId="0" borderId="51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49" xfId="1" applyNumberFormat="1" applyBorder="1"/>
    <xf numFmtId="0" fontId="5" fillId="2" borderId="2" xfId="1" applyFont="1" applyFill="1" applyBorder="1"/>
    <xf numFmtId="166" fontId="1" fillId="0" borderId="52" xfId="1" applyNumberFormat="1" applyBorder="1"/>
    <xf numFmtId="0" fontId="1" fillId="0" borderId="53" xfId="1" applyBorder="1"/>
    <xf numFmtId="167" fontId="1" fillId="0" borderId="43" xfId="1" applyNumberFormat="1" applyBorder="1"/>
    <xf numFmtId="167" fontId="1" fillId="0" borderId="17" xfId="1" applyNumberFormat="1" applyBorder="1"/>
    <xf numFmtId="0" fontId="1" fillId="0" borderId="21" xfId="1" applyBorder="1" applyAlignment="1">
      <alignment horizontal="right"/>
    </xf>
    <xf numFmtId="167" fontId="1" fillId="0" borderId="0" xfId="1" applyNumberFormat="1"/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workbookViewId="0">
      <selection activeCell="P25" sqref="P25:Q28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44</v>
      </c>
      <c r="C6" s="9">
        <v>0.4</v>
      </c>
      <c r="D6" s="1"/>
      <c r="E6" s="10" t="s">
        <v>2</v>
      </c>
      <c r="F6" s="11">
        <v>0.93300000000000005</v>
      </c>
      <c r="G6" s="11"/>
      <c r="H6" s="1"/>
      <c r="I6" s="70" t="s">
        <v>51</v>
      </c>
      <c r="J6" s="71">
        <v>750</v>
      </c>
      <c r="K6" s="1" t="s">
        <v>3</v>
      </c>
      <c r="L6" s="1"/>
      <c r="M6" s="1"/>
      <c r="N6" s="1"/>
    </row>
    <row r="7" spans="1:14" x14ac:dyDescent="0.25">
      <c r="A7" s="1"/>
      <c r="B7" s="12" t="s">
        <v>45</v>
      </c>
      <c r="C7" s="13">
        <v>0.5</v>
      </c>
      <c r="D7" s="1"/>
      <c r="E7" s="14" t="s">
        <v>4</v>
      </c>
      <c r="F7" s="13">
        <v>30000</v>
      </c>
      <c r="G7" s="1" t="s">
        <v>5</v>
      </c>
      <c r="H7" s="1"/>
      <c r="I7" s="72" t="s">
        <v>6</v>
      </c>
      <c r="J7" s="73">
        <v>3</v>
      </c>
      <c r="K7" s="1" t="s">
        <v>7</v>
      </c>
      <c r="L7" s="1"/>
      <c r="M7" s="1"/>
      <c r="N7" s="1"/>
    </row>
    <row r="8" spans="1:14" ht="15.75" thickBot="1" x14ac:dyDescent="0.3">
      <c r="A8" s="1"/>
      <c r="B8" s="12" t="s">
        <v>47</v>
      </c>
      <c r="C8" s="13">
        <v>0</v>
      </c>
      <c r="D8" s="1"/>
      <c r="E8" s="15" t="s">
        <v>46</v>
      </c>
      <c r="F8" s="16">
        <v>11200</v>
      </c>
      <c r="G8" s="1" t="s">
        <v>5</v>
      </c>
      <c r="H8" s="1"/>
      <c r="I8" s="74" t="s">
        <v>9</v>
      </c>
      <c r="J8" s="75">
        <v>581</v>
      </c>
      <c r="K8" s="1" t="s">
        <v>8</v>
      </c>
      <c r="L8" s="1"/>
      <c r="M8" s="1"/>
      <c r="N8" s="1"/>
    </row>
    <row r="9" spans="1:14" x14ac:dyDescent="0.25">
      <c r="A9" s="1"/>
      <c r="B9" s="12" t="s">
        <v>43</v>
      </c>
      <c r="C9" s="13">
        <v>0.1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7"/>
      <c r="C10" s="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18"/>
      <c r="C11" s="1"/>
      <c r="D11" s="1"/>
      <c r="E11" s="19" t="s">
        <v>10</v>
      </c>
      <c r="F11" s="20" t="s">
        <v>48</v>
      </c>
      <c r="G11" s="21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11</v>
      </c>
      <c r="D16" s="1"/>
      <c r="E16" s="1"/>
      <c r="F16" s="1"/>
      <c r="G16" s="7" t="s">
        <v>12</v>
      </c>
      <c r="H16" s="1"/>
      <c r="I16" s="1"/>
      <c r="J16" s="1"/>
      <c r="K16" s="7" t="s">
        <v>13</v>
      </c>
      <c r="L16" s="1"/>
      <c r="M16" s="1"/>
      <c r="N16" s="1"/>
    </row>
    <row r="17" spans="1:15" ht="15.75" thickBot="1" x14ac:dyDescent="0.3">
      <c r="A17" s="22" t="s">
        <v>14</v>
      </c>
      <c r="B17" s="23" t="s">
        <v>15</v>
      </c>
      <c r="C17" s="24" t="s">
        <v>16</v>
      </c>
      <c r="D17" s="24" t="s">
        <v>17</v>
      </c>
      <c r="E17" s="24" t="s">
        <v>18</v>
      </c>
      <c r="F17" s="24" t="s">
        <v>19</v>
      </c>
      <c r="G17" s="24" t="s">
        <v>20</v>
      </c>
      <c r="H17" s="24" t="s">
        <v>21</v>
      </c>
      <c r="I17" s="24" t="s">
        <v>22</v>
      </c>
      <c r="J17" s="24" t="s">
        <v>23</v>
      </c>
      <c r="K17" s="24" t="s">
        <v>24</v>
      </c>
      <c r="L17" s="24" t="s">
        <v>25</v>
      </c>
      <c r="M17" s="76" t="s">
        <v>26</v>
      </c>
      <c r="N17" s="7"/>
      <c r="O17" s="7"/>
    </row>
    <row r="18" spans="1:15" x14ac:dyDescent="0.25">
      <c r="A18" s="8" t="s">
        <v>44</v>
      </c>
      <c r="B18" s="25">
        <v>28</v>
      </c>
      <c r="C18" s="26">
        <f>E18*B18</f>
        <v>15000.000000000002</v>
      </c>
      <c r="D18" s="27">
        <f>F18*$D$23</f>
        <v>12000</v>
      </c>
      <c r="E18" s="26">
        <f>D18/$F$15</f>
        <v>535.71428571428578</v>
      </c>
      <c r="F18" s="86">
        <v>0.4</v>
      </c>
      <c r="G18" s="26">
        <f>I18*B18</f>
        <v>1000</v>
      </c>
      <c r="H18" s="26">
        <f>D18+L18</f>
        <v>800</v>
      </c>
      <c r="I18" s="26">
        <f>H18/$F$15</f>
        <v>35.714285714285715</v>
      </c>
      <c r="J18" s="77">
        <f>H18/$H$23</f>
        <v>4.2553191489361701E-2</v>
      </c>
      <c r="K18" s="26">
        <f>M18*B18</f>
        <v>-14000.000000000002</v>
      </c>
      <c r="L18" s="26">
        <f>-L20</f>
        <v>-11200</v>
      </c>
      <c r="M18" s="78">
        <f>L18/$F$15</f>
        <v>-500.00000000000006</v>
      </c>
      <c r="N18" s="36"/>
      <c r="O18" s="36"/>
    </row>
    <row r="19" spans="1:15" x14ac:dyDescent="0.25">
      <c r="A19" s="12" t="s">
        <v>45</v>
      </c>
      <c r="B19" s="28">
        <v>2</v>
      </c>
      <c r="C19" s="26">
        <f t="shared" ref="C19:C21" si="0">E19*B19</f>
        <v>1339.2857142857144</v>
      </c>
      <c r="D19" s="27">
        <f t="shared" ref="D19:D21" si="1">F19*$D$23</f>
        <v>15000</v>
      </c>
      <c r="E19" s="26">
        <f t="shared" ref="E19:E21" si="2">D19/$F$15</f>
        <v>669.64285714285722</v>
      </c>
      <c r="F19" s="86">
        <v>0.5</v>
      </c>
      <c r="G19" s="26">
        <f t="shared" ref="G19:G21" si="3">I19*B19</f>
        <v>339.28571428571433</v>
      </c>
      <c r="H19" s="26">
        <f t="shared" ref="H19:H21" si="4">D19+L19</f>
        <v>3800</v>
      </c>
      <c r="I19" s="26">
        <f t="shared" ref="I19:I21" si="5">H19/$F$15</f>
        <v>169.64285714285717</v>
      </c>
      <c r="J19" s="77">
        <f t="shared" ref="J19:J21" si="6">H19/$H$23</f>
        <v>0.20212765957446807</v>
      </c>
      <c r="K19" s="26">
        <f t="shared" ref="K19:K21" si="7">M19*B19</f>
        <v>-1000.0000000000001</v>
      </c>
      <c r="L19" s="26">
        <f>-L20</f>
        <v>-11200</v>
      </c>
      <c r="M19" s="78">
        <f t="shared" ref="M19:M21" si="8">L19/$F$15</f>
        <v>-500.00000000000006</v>
      </c>
      <c r="N19" s="36"/>
      <c r="O19" s="36"/>
    </row>
    <row r="20" spans="1:15" x14ac:dyDescent="0.25">
      <c r="A20" s="12" t="s">
        <v>47</v>
      </c>
      <c r="B20" s="28">
        <v>30</v>
      </c>
      <c r="C20" s="26">
        <f t="shared" si="0"/>
        <v>0</v>
      </c>
      <c r="D20" s="27">
        <f t="shared" si="1"/>
        <v>0</v>
      </c>
      <c r="E20" s="26">
        <f t="shared" si="2"/>
        <v>0</v>
      </c>
      <c r="F20" s="86">
        <v>0</v>
      </c>
      <c r="G20" s="26">
        <f>I20*B20</f>
        <v>15000.000000000002</v>
      </c>
      <c r="H20" s="26">
        <f t="shared" si="4"/>
        <v>11200</v>
      </c>
      <c r="I20" s="26">
        <f t="shared" si="5"/>
        <v>500.00000000000006</v>
      </c>
      <c r="J20" s="77">
        <f t="shared" si="6"/>
        <v>0.5957446808510638</v>
      </c>
      <c r="K20" s="26">
        <f t="shared" si="7"/>
        <v>15000.000000000002</v>
      </c>
      <c r="L20" s="79">
        <v>11200</v>
      </c>
      <c r="M20" s="78">
        <f t="shared" si="8"/>
        <v>500.00000000000006</v>
      </c>
      <c r="N20" s="36"/>
      <c r="O20" s="36"/>
    </row>
    <row r="21" spans="1:15" x14ac:dyDescent="0.25">
      <c r="A21" s="12" t="s">
        <v>43</v>
      </c>
      <c r="B21" s="28">
        <v>28</v>
      </c>
      <c r="C21" s="26">
        <f t="shared" si="0"/>
        <v>3750.0000000000005</v>
      </c>
      <c r="D21" s="27">
        <f t="shared" si="1"/>
        <v>3000</v>
      </c>
      <c r="E21" s="26">
        <f t="shared" si="2"/>
        <v>133.92857142857144</v>
      </c>
      <c r="F21" s="86">
        <v>0.1</v>
      </c>
      <c r="G21" s="26">
        <f t="shared" si="3"/>
        <v>3750.0000000000005</v>
      </c>
      <c r="H21" s="26">
        <f t="shared" si="4"/>
        <v>3000</v>
      </c>
      <c r="I21" s="26">
        <f t="shared" si="5"/>
        <v>133.92857142857144</v>
      </c>
      <c r="J21" s="77">
        <f t="shared" si="6"/>
        <v>0.15957446808510639</v>
      </c>
      <c r="K21" s="26">
        <f t="shared" si="7"/>
        <v>0</v>
      </c>
      <c r="L21" s="26">
        <v>0</v>
      </c>
      <c r="M21" s="78">
        <f t="shared" si="8"/>
        <v>0</v>
      </c>
      <c r="N21" s="36"/>
      <c r="O21" s="36"/>
    </row>
    <row r="22" spans="1:15" x14ac:dyDescent="0.25">
      <c r="A22" s="12"/>
      <c r="B22" s="28"/>
      <c r="C22" s="26"/>
      <c r="D22" s="27"/>
      <c r="E22" s="26"/>
      <c r="F22" s="29"/>
      <c r="G22" s="26"/>
      <c r="H22" s="26"/>
      <c r="I22" s="26"/>
      <c r="J22" s="77"/>
      <c r="K22" s="26"/>
      <c r="L22" s="26"/>
      <c r="M22" s="78"/>
      <c r="N22" s="36"/>
      <c r="O22" s="36"/>
    </row>
    <row r="23" spans="1:15" ht="15.75" thickBot="1" x14ac:dyDescent="0.3">
      <c r="A23" s="17" t="s">
        <v>27</v>
      </c>
      <c r="B23" s="30"/>
      <c r="C23" s="31">
        <f>SUM(C18:C22)</f>
        <v>20089.285714285717</v>
      </c>
      <c r="D23" s="32">
        <v>30000</v>
      </c>
      <c r="E23" s="33">
        <f>SUM(E18:E21)</f>
        <v>1339.2857142857147</v>
      </c>
      <c r="F23" s="87">
        <f>SUM(F18:F22)</f>
        <v>1</v>
      </c>
      <c r="G23" s="31">
        <f>SUM(G18:G21)</f>
        <v>20089.285714285717</v>
      </c>
      <c r="H23" s="33">
        <f>SUM(H18:H22)</f>
        <v>18800</v>
      </c>
      <c r="I23" s="33">
        <f>SUM(I18:I22)</f>
        <v>839.28571428571433</v>
      </c>
      <c r="J23" s="80">
        <f>SUM(J18:J21)</f>
        <v>1</v>
      </c>
      <c r="K23" s="33">
        <f>SUM(K18:K22)</f>
        <v>0</v>
      </c>
      <c r="L23" s="33">
        <f>SUM(L18:L22)</f>
        <v>-11200</v>
      </c>
      <c r="M23" s="81">
        <f>SUM(M18:M22)</f>
        <v>-500.00000000000006</v>
      </c>
      <c r="N23" s="36"/>
      <c r="O23" s="36"/>
    </row>
    <row r="24" spans="1:15" x14ac:dyDescent="0.25">
      <c r="A24" s="34"/>
      <c r="B24" s="35"/>
      <c r="C24" s="36"/>
      <c r="D24" s="1"/>
      <c r="E24" s="36"/>
      <c r="F24" s="34"/>
      <c r="G24" s="36"/>
      <c r="H24" s="1"/>
      <c r="I24" s="36"/>
      <c r="J24" s="37"/>
      <c r="K24" s="36"/>
      <c r="L24" s="36"/>
      <c r="M24" s="36"/>
      <c r="N24" s="36"/>
      <c r="O24" s="36"/>
    </row>
    <row r="25" spans="1:15" x14ac:dyDescent="0.25">
      <c r="A25" s="1"/>
      <c r="B25" s="1"/>
      <c r="C25" s="1"/>
      <c r="D25" s="1"/>
      <c r="E25" s="37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38" t="s">
        <v>14</v>
      </c>
      <c r="B29" s="39" t="s">
        <v>30</v>
      </c>
      <c r="C29" s="40" t="s">
        <v>31</v>
      </c>
      <c r="D29" s="1"/>
      <c r="E29" s="41" t="s">
        <v>32</v>
      </c>
      <c r="F29" s="41" t="s">
        <v>33</v>
      </c>
      <c r="G29" s="41" t="s">
        <v>34</v>
      </c>
      <c r="H29" s="42" t="s">
        <v>35</v>
      </c>
      <c r="I29" s="41" t="s">
        <v>36</v>
      </c>
      <c r="J29" s="82" t="s">
        <v>37</v>
      </c>
      <c r="L29" s="1"/>
      <c r="M29" s="1"/>
      <c r="N29" s="1"/>
      <c r="O29" s="1"/>
    </row>
    <row r="30" spans="1:15" x14ac:dyDescent="0.25">
      <c r="A30" s="43" t="s">
        <v>44</v>
      </c>
      <c r="B30" s="50">
        <v>29.14</v>
      </c>
      <c r="C30" s="44">
        <v>-110.53</v>
      </c>
      <c r="D30" s="1"/>
      <c r="E30" s="45" t="s">
        <v>53</v>
      </c>
      <c r="F30" s="46">
        <f>(J30-G30)/(1-3/100)</f>
        <v>4842179.9828178696</v>
      </c>
      <c r="G30" s="47">
        <f>M20*1000/3600*C39*1000</f>
        <v>-254166.66666666648</v>
      </c>
      <c r="H30" s="48"/>
      <c r="I30" s="47">
        <f>-F30*0.03</f>
        <v>-145265.39948453609</v>
      </c>
      <c r="J30" s="83">
        <f>I23*1000/3600*B37*J8</f>
        <v>4442747.916666667</v>
      </c>
      <c r="K30" s="88"/>
      <c r="L30" s="1"/>
      <c r="M30" s="1"/>
      <c r="N30" s="1"/>
      <c r="O30" s="1"/>
    </row>
    <row r="31" spans="1:15" ht="15.75" thickBot="1" x14ac:dyDescent="0.3">
      <c r="A31" s="49" t="s">
        <v>45</v>
      </c>
      <c r="B31" s="50">
        <v>28.84</v>
      </c>
      <c r="C31" s="54">
        <v>0</v>
      </c>
      <c r="D31" s="1"/>
      <c r="E31" s="51"/>
      <c r="F31" s="52"/>
      <c r="G31" s="53"/>
      <c r="H31" s="53"/>
      <c r="I31" s="53"/>
      <c r="J31" s="84"/>
      <c r="K31" s="1"/>
      <c r="L31" s="1"/>
      <c r="M31" s="1"/>
      <c r="N31" s="1"/>
      <c r="O31" s="1"/>
    </row>
    <row r="32" spans="1:15" x14ac:dyDescent="0.25">
      <c r="A32" s="49" t="s">
        <v>47</v>
      </c>
      <c r="B32" s="55">
        <v>35.39</v>
      </c>
      <c r="C32" s="54">
        <v>-108.7</v>
      </c>
      <c r="D32" s="1"/>
      <c r="E32" s="1"/>
      <c r="F32" s="1"/>
      <c r="G32" s="1"/>
      <c r="H32" s="1"/>
      <c r="I32" s="36"/>
      <c r="J32" s="1"/>
      <c r="K32" s="1"/>
      <c r="L32" s="1"/>
      <c r="M32" s="1"/>
      <c r="N32" s="1"/>
      <c r="O32" s="1"/>
    </row>
    <row r="33" spans="1:7" x14ac:dyDescent="0.25">
      <c r="A33" s="49" t="s">
        <v>43</v>
      </c>
      <c r="B33" s="50">
        <v>29.12</v>
      </c>
      <c r="C33" s="54"/>
      <c r="D33" s="1"/>
      <c r="E33" s="1"/>
      <c r="F33" s="1"/>
      <c r="G33" s="1"/>
    </row>
    <row r="34" spans="1:7" x14ac:dyDescent="0.25">
      <c r="A34" s="49"/>
      <c r="B34" s="55"/>
      <c r="C34" s="54"/>
      <c r="D34" s="1"/>
      <c r="E34" s="1" t="s">
        <v>50</v>
      </c>
      <c r="F34" s="56">
        <f>F30/(E23*1000/3600*B36)</f>
        <v>449.00578838879636</v>
      </c>
      <c r="G34" s="57"/>
    </row>
    <row r="35" spans="1:7" ht="15.75" thickBot="1" x14ac:dyDescent="0.3">
      <c r="A35" s="58"/>
      <c r="B35" s="59"/>
      <c r="C35" s="60"/>
      <c r="D35" s="1"/>
      <c r="E35" s="1"/>
      <c r="F35" s="1"/>
      <c r="G35" s="1"/>
    </row>
    <row r="36" spans="1:7" ht="16.5" thickTop="1" thickBot="1" x14ac:dyDescent="0.3">
      <c r="A36" s="38" t="s">
        <v>38</v>
      </c>
      <c r="B36" s="61">
        <f>B30*F18+B31*F19+B32*F20+B33*F21</f>
        <v>28.988</v>
      </c>
      <c r="C36" s="62"/>
      <c r="D36" s="1"/>
      <c r="E36" s="3" t="s">
        <v>39</v>
      </c>
      <c r="F36" s="1" t="s">
        <v>52</v>
      </c>
      <c r="G36" s="1"/>
    </row>
    <row r="37" spans="1:7" ht="16.5" thickTop="1" thickBot="1" x14ac:dyDescent="0.3">
      <c r="A37" s="63" t="s">
        <v>40</v>
      </c>
      <c r="B37" s="64">
        <f>B30*J18+B31*J19+B32*J20+B33*J21</f>
        <v>32.799574468085112</v>
      </c>
      <c r="C37" s="65"/>
      <c r="D37" s="1"/>
      <c r="E37" s="1"/>
      <c r="F37" s="1"/>
      <c r="G37" s="1"/>
    </row>
    <row r="38" spans="1:7" ht="16.5" thickBot="1" x14ac:dyDescent="0.3">
      <c r="A38" s="1"/>
      <c r="B38" s="66" t="s">
        <v>41</v>
      </c>
      <c r="C38" s="67">
        <f>C32-C30</f>
        <v>1.8299999999999983</v>
      </c>
      <c r="D38" s="1"/>
      <c r="E38" s="1"/>
      <c r="F38" s="1"/>
      <c r="G38" s="1"/>
    </row>
    <row r="39" spans="1:7" ht="17.25" thickTop="1" thickBot="1" x14ac:dyDescent="0.3">
      <c r="A39" s="1"/>
      <c r="B39" s="68" t="s">
        <v>42</v>
      </c>
      <c r="C39" s="85">
        <f>-C38/1</f>
        <v>-1.8299999999999983</v>
      </c>
      <c r="D39" s="1" t="s">
        <v>49</v>
      </c>
      <c r="E39" s="1"/>
      <c r="F39" s="1"/>
      <c r="G39" s="1"/>
    </row>
    <row r="40" spans="1:7" ht="15.75" x14ac:dyDescent="0.25">
      <c r="A40" s="1"/>
      <c r="B40" s="69"/>
      <c r="C40" s="1"/>
      <c r="D40" s="1"/>
      <c r="E40" s="1"/>
      <c r="F40" s="1"/>
      <c r="G40" s="1"/>
    </row>
    <row r="41" spans="1:7" ht="15.75" x14ac:dyDescent="0.25">
      <c r="A41" s="1"/>
      <c r="B41" s="69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2024-07-01T08:32:11Z</dcterms:modified>
</cp:coreProperties>
</file>