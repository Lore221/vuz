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сделано\1\"/>
    </mc:Choice>
  </mc:AlternateContent>
  <xr:revisionPtr revIDLastSave="0" documentId="13_ncr:1_{EBC09751-B44C-441B-8BDD-5FBB055EC85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30" i="1" s="1"/>
  <c r="G30" i="1"/>
  <c r="C39" i="1"/>
  <c r="C38" i="1"/>
  <c r="B37" i="1" a="1"/>
  <c r="B37" i="1" s="1"/>
  <c r="B36" i="1" a="1"/>
  <c r="B36" i="1" s="1"/>
  <c r="J23" i="1"/>
  <c r="J19" i="1"/>
  <c r="J20" i="1"/>
  <c r="J21" i="1"/>
  <c r="J22" i="1"/>
  <c r="J18" i="1"/>
  <c r="G23" i="1"/>
  <c r="G19" i="1"/>
  <c r="G20" i="1"/>
  <c r="G21" i="1"/>
  <c r="G22" i="1"/>
  <c r="G18" i="1"/>
  <c r="I19" i="1"/>
  <c r="I23" i="1" s="1"/>
  <c r="I20" i="1"/>
  <c r="I21" i="1"/>
  <c r="I22" i="1"/>
  <c r="I18" i="1"/>
  <c r="H23" i="1"/>
  <c r="H19" i="1"/>
  <c r="H20" i="1"/>
  <c r="H21" i="1"/>
  <c r="H22" i="1"/>
  <c r="H18" i="1"/>
  <c r="K23" i="1"/>
  <c r="K19" i="1"/>
  <c r="K20" i="1"/>
  <c r="K21" i="1"/>
  <c r="K22" i="1"/>
  <c r="K18" i="1"/>
  <c r="M23" i="1"/>
  <c r="M19" i="1"/>
  <c r="M20" i="1"/>
  <c r="M21" i="1"/>
  <c r="M22" i="1"/>
  <c r="M18" i="1"/>
  <c r="F6" i="1"/>
  <c r="L23" i="1"/>
  <c r="L18" i="1"/>
  <c r="L19" i="1"/>
  <c r="L20" i="1"/>
  <c r="C23" i="1"/>
  <c r="C22" i="1"/>
  <c r="C19" i="1"/>
  <c r="C20" i="1"/>
  <c r="C21" i="1"/>
  <c r="C18" i="1"/>
  <c r="E23" i="1"/>
  <c r="E19" i="1"/>
  <c r="E20" i="1"/>
  <c r="E21" i="1"/>
  <c r="E22" i="1"/>
  <c r="E18" i="1"/>
  <c r="D18" i="1"/>
  <c r="D19" i="1"/>
  <c r="D20" i="1"/>
  <c r="D21" i="1"/>
  <c r="D22" i="1"/>
  <c r="F23" i="1"/>
  <c r="J6" i="1" l="1"/>
  <c r="F30" i="1" s="1"/>
  <c r="I30" i="1" l="1"/>
  <c r="H30" i="1" s="1"/>
  <c r="G3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<sst xmlns="http://schemas.openxmlformats.org/spreadsheetml/2006/main" count="67" uniqueCount="56">
  <si>
    <t>ZN</t>
  </si>
  <si>
    <t>Вещество</t>
  </si>
  <si>
    <t>VNS</t>
  </si>
  <si>
    <t>GN</t>
  </si>
  <si>
    <t>VN</t>
  </si>
  <si>
    <t>NN</t>
  </si>
  <si>
    <t>GK</t>
  </si>
  <si>
    <t>VK</t>
  </si>
  <si>
    <t>NK</t>
  </si>
  <si>
    <t>ZK</t>
  </si>
  <si>
    <t>VR</t>
  </si>
  <si>
    <t>Задача 1 Материальный и тепловой баланс</t>
  </si>
  <si>
    <t>Состав исходной смеси</t>
  </si>
  <si>
    <t>XT</t>
  </si>
  <si>
    <t>T вх</t>
  </si>
  <si>
    <t>C</t>
  </si>
  <si>
    <t>м3/ч</t>
  </si>
  <si>
    <t xml:space="preserve">Qпот </t>
  </si>
  <si>
    <t>%</t>
  </si>
  <si>
    <t>С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</si>
  <si>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</si>
  <si>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</si>
  <si>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</si>
  <si>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</si>
  <si>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</si>
  <si>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ММ</t>
  </si>
  <si>
    <t>GR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</si>
  <si>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</si>
  <si>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</si>
  <si>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</si>
  <si>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</si>
  <si>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</si>
  <si>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</si>
  <si>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</si>
  <si>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</si>
  <si>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</si>
  <si>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</si>
  <si>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</si>
  <si>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</si>
  <si>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t>Расчет  доли компенсации</t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</si>
  <si>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</si>
  <si>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</si>
  <si>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</si>
  <si>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</si>
  <si>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</si>
  <si>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CH4+H2O=CO+3H2</t>
  </si>
  <si>
    <t>CH4</t>
  </si>
  <si>
    <t>H2O</t>
  </si>
  <si>
    <t>CO</t>
  </si>
  <si>
    <t>N2</t>
  </si>
  <si>
    <t xml:space="preserve">H2 </t>
  </si>
  <si>
    <t>VRD</t>
  </si>
  <si>
    <t>H2</t>
  </si>
  <si>
    <t>по H2</t>
  </si>
  <si>
    <t>изотермический</t>
  </si>
  <si>
    <t>Для реализации изотермического теплового режима необходимо скомпенсировать 124% теплового эффекта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</si>
</sst>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_ "/>
    <numFmt numFmtId="166" formatCode="0.00_ 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theme="5" tint="-0.4999847407452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2"/>
      <name val="Arial Cyr"/>
      <family val="2"/>
      <charset val="204"/>
    </font>
    <font>
      <b/>
      <sz val="10"/>
      <color theme="5" tint="-0.499984740745262"/>
      <name val="Arial Cyr"/>
      <charset val="204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2" borderId="1" xfId="1" applyFont="1" applyFill="1" applyBorder="1" applyAlignment="1">
      <alignment readingOrder="1"/>
    </xf>
    <xf numFmtId="0" fontId="5" fillId="2" borderId="2" xfId="1" applyFont="1" applyFill="1" applyBorder="1"/>
    <xf numFmtId="0" fontId="5" fillId="0" borderId="0" xfId="1" applyFont="1"/>
    <xf numFmtId="0" fontId="6" fillId="0" borderId="0" xfId="1" applyFont="1"/>
    <xf numFmtId="0" fontId="6" fillId="2" borderId="3" xfId="1" applyFont="1" applyFill="1" applyBorder="1" applyAlignment="1">
      <alignment horizontal="center"/>
    </xf>
    <xf numFmtId="0" fontId="1" fillId="0" borderId="4" xfId="1" applyBorder="1"/>
    <xf numFmtId="0" fontId="6" fillId="2" borderId="5" xfId="1" applyFont="1" applyFill="1" applyBorder="1"/>
    <xf numFmtId="0" fontId="1" fillId="0" borderId="6" xfId="1" applyBorder="1"/>
    <xf numFmtId="0" fontId="6" fillId="2" borderId="7" xfId="1" applyFont="1" applyFill="1" applyBorder="1"/>
    <xf numFmtId="0" fontId="1" fillId="0" borderId="8" xfId="1" applyBorder="1"/>
    <xf numFmtId="0" fontId="6" fillId="2" borderId="9" xfId="1" applyFont="1" applyFill="1" applyBorder="1" applyAlignment="1">
      <alignment horizontal="center"/>
    </xf>
    <xf numFmtId="0" fontId="1" fillId="0" borderId="10" xfId="1" applyBorder="1"/>
    <xf numFmtId="0" fontId="6" fillId="2" borderId="9" xfId="1" applyFont="1" applyFill="1" applyBorder="1"/>
    <xf numFmtId="0" fontId="6" fillId="2" borderId="11" xfId="1" applyFont="1" applyFill="1" applyBorder="1"/>
    <xf numFmtId="0" fontId="1" fillId="0" borderId="12" xfId="1" applyBorder="1"/>
    <xf numFmtId="0" fontId="6" fillId="2" borderId="13" xfId="1" applyFont="1" applyFill="1" applyBorder="1"/>
    <xf numFmtId="0" fontId="1" fillId="0" borderId="14" xfId="1" applyBorder="1"/>
    <xf numFmtId="0" fontId="6" fillId="2" borderId="15" xfId="1" applyFont="1" applyFill="1" applyBorder="1"/>
    <xf numFmtId="0" fontId="1" fillId="0" borderId="16" xfId="1" applyBorder="1"/>
    <xf numFmtId="0" fontId="6" fillId="2" borderId="13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17" xfId="1" applyFont="1" applyBorder="1"/>
    <xf numFmtId="0" fontId="4" fillId="2" borderId="1" xfId="1" applyFont="1" applyFill="1" applyBorder="1"/>
    <xf numFmtId="0" fontId="4" fillId="2" borderId="20" xfId="1" applyFont="1" applyFill="1" applyBorder="1"/>
    <xf numFmtId="0" fontId="4" fillId="2" borderId="21" xfId="1" applyFont="1" applyFill="1" applyBorder="1"/>
    <xf numFmtId="0" fontId="4" fillId="2" borderId="22" xfId="1" applyFont="1" applyFill="1" applyBorder="1"/>
    <xf numFmtId="0" fontId="1" fillId="0" borderId="23" xfId="1" applyBorder="1" applyAlignment="1">
      <alignment horizontal="center"/>
    </xf>
    <xf numFmtId="1" fontId="1" fillId="0" borderId="24" xfId="1" applyNumberFormat="1" applyBorder="1"/>
    <xf numFmtId="0" fontId="1" fillId="0" borderId="25" xfId="1" applyBorder="1"/>
    <xf numFmtId="0" fontId="1" fillId="0" borderId="24" xfId="1" applyBorder="1" applyAlignment="1">
      <alignment horizontal="center"/>
    </xf>
    <xf numFmtId="1" fontId="1" fillId="0" borderId="26" xfId="1" applyNumberFormat="1" applyBorder="1"/>
    <xf numFmtId="1" fontId="1" fillId="0" borderId="0" xfId="1" applyNumberFormat="1"/>
    <xf numFmtId="0" fontId="1" fillId="0" borderId="27" xfId="1" applyBorder="1" applyAlignment="1">
      <alignment horizontal="center"/>
    </xf>
    <xf numFmtId="0" fontId="1" fillId="0" borderId="25" xfId="1" applyBorder="1" applyAlignment="1">
      <alignment horizontal="center"/>
    </xf>
    <xf numFmtId="0" fontId="1" fillId="0" borderId="28" xfId="1" applyBorder="1" applyAlignment="1">
      <alignment horizontal="center"/>
    </xf>
    <xf numFmtId="1" fontId="4" fillId="0" borderId="29" xfId="1" applyNumberFormat="1" applyFont="1" applyBorder="1"/>
    <xf numFmtId="0" fontId="1" fillId="0" borderId="29" xfId="1" applyBorder="1"/>
    <xf numFmtId="1" fontId="1" fillId="0" borderId="29" xfId="1" applyNumberFormat="1" applyBorder="1"/>
    <xf numFmtId="0" fontId="1" fillId="0" borderId="29" xfId="1" applyBorder="1" applyAlignment="1">
      <alignment horizontal="center"/>
    </xf>
    <xf numFmtId="1" fontId="1" fillId="0" borderId="16" xfId="1" applyNumberFormat="1" applyBorder="1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6" fillId="2" borderId="1" xfId="1" applyFont="1" applyFill="1" applyBorder="1" applyAlignment="1">
      <alignment horizontal="center"/>
    </xf>
    <xf numFmtId="0" fontId="7" fillId="2" borderId="1" xfId="1" applyFont="1" applyFill="1" applyBorder="1"/>
    <xf numFmtId="0" fontId="7" fillId="2" borderId="2" xfId="1" applyFont="1" applyFill="1" applyBorder="1"/>
    <xf numFmtId="0" fontId="6" fillId="2" borderId="1" xfId="1" applyFont="1" applyFill="1" applyBorder="1"/>
    <xf numFmtId="0" fontId="6" fillId="2" borderId="30" xfId="1" applyFont="1" applyFill="1" applyBorder="1"/>
    <xf numFmtId="0" fontId="6" fillId="2" borderId="2" xfId="1" applyFont="1" applyFill="1" applyBorder="1"/>
    <xf numFmtId="0" fontId="6" fillId="2" borderId="31" xfId="1" applyFont="1" applyFill="1" applyBorder="1" applyAlignment="1">
      <alignment horizontal="center"/>
    </xf>
    <xf numFmtId="0" fontId="1" fillId="0" borderId="32" xfId="1" applyBorder="1"/>
    <xf numFmtId="0" fontId="1" fillId="0" borderId="33" xfId="1" applyBorder="1"/>
    <xf numFmtId="0" fontId="1" fillId="2" borderId="34" xfId="1" applyFill="1" applyBorder="1"/>
    <xf numFmtId="1" fontId="1" fillId="0" borderId="35" xfId="1" applyNumberFormat="1" applyBorder="1"/>
    <xf numFmtId="1" fontId="1" fillId="0" borderId="36" xfId="1" applyNumberFormat="1" applyBorder="1"/>
    <xf numFmtId="164" fontId="1" fillId="0" borderId="36" xfId="1" applyNumberFormat="1" applyBorder="1"/>
    <xf numFmtId="165" fontId="1" fillId="0" borderId="37" xfId="1" applyNumberFormat="1" applyBorder="1"/>
    <xf numFmtId="0" fontId="6" fillId="2" borderId="38" xfId="1" applyFont="1" applyFill="1" applyBorder="1" applyAlignment="1">
      <alignment horizontal="center"/>
    </xf>
    <xf numFmtId="0" fontId="1" fillId="0" borderId="39" xfId="1" applyBorder="1"/>
    <xf numFmtId="0" fontId="2" fillId="2" borderId="40" xfId="1" applyFont="1" applyFill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" fillId="0" borderId="44" xfId="1" applyBorder="1"/>
    <xf numFmtId="166" fontId="1" fillId="0" borderId="39" xfId="1" applyNumberFormat="1" applyBorder="1"/>
    <xf numFmtId="166" fontId="1" fillId="0" borderId="0" xfId="1" applyNumberFormat="1"/>
    <xf numFmtId="0" fontId="6" fillId="2" borderId="45" xfId="1" applyFont="1" applyFill="1" applyBorder="1" applyAlignment="1">
      <alignment horizontal="center"/>
    </xf>
    <xf numFmtId="0" fontId="1" fillId="0" borderId="46" xfId="1" applyBorder="1"/>
    <xf numFmtId="0" fontId="1" fillId="0" borderId="47" xfId="1" applyBorder="1"/>
    <xf numFmtId="166" fontId="1" fillId="0" borderId="48" xfId="1" applyNumberFormat="1" applyBorder="1"/>
    <xf numFmtId="0" fontId="1" fillId="0" borderId="49" xfId="1" applyBorder="1"/>
    <xf numFmtId="0" fontId="6" fillId="2" borderId="40" xfId="1" applyFont="1" applyFill="1" applyBorder="1" applyAlignment="1">
      <alignment horizontal="center"/>
    </xf>
    <xf numFmtId="165" fontId="1" fillId="0" borderId="50" xfId="1" applyNumberFormat="1" applyBorder="1"/>
    <xf numFmtId="0" fontId="1" fillId="0" borderId="51" xfId="1" applyBorder="1"/>
    <xf numFmtId="0" fontId="11" fillId="2" borderId="1" xfId="1" applyFont="1" applyFill="1" applyBorder="1" applyAlignment="1">
      <alignment horizontal="center"/>
    </xf>
    <xf numFmtId="0" fontId="1" fillId="0" borderId="52" xfId="1" applyBorder="1"/>
    <xf numFmtId="0" fontId="11" fillId="2" borderId="53" xfId="1" applyFont="1" applyFill="1" applyBorder="1" applyAlignment="1">
      <alignment horizontal="center"/>
    </xf>
    <xf numFmtId="0" fontId="1" fillId="0" borderId="54" xfId="1" applyBorder="1"/>
    <xf numFmtId="0" fontId="11" fillId="0" borderId="0" xfId="1" applyFont="1" applyAlignment="1">
      <alignment horizontal="center"/>
    </xf>
    <xf numFmtId="1" fontId="12" fillId="0" borderId="24" xfId="1" applyNumberFormat="1" applyFont="1" applyBorder="1"/>
    <xf numFmtId="1" fontId="13" fillId="0" borderId="24" xfId="1" applyNumberFormat="1" applyFont="1" applyBorder="1"/>
    <xf numFmtId="167" fontId="1" fillId="0" borderId="0" xfId="1" applyNumberFormat="1"/>
    <xf numFmtId="2" fontId="1" fillId="0" borderId="24" xfId="1" applyNumberFormat="1" applyBorder="1" applyAlignment="1">
      <alignment horizontal="center"/>
    </xf>
    <xf numFmtId="1" fontId="6" fillId="0" borderId="29" xfId="1" applyNumberFormat="1" applyFont="1" applyBorder="1" applyAlignment="1">
      <alignment horizontal="center"/>
    </xf>
    <xf numFmtId="0" fontId="6" fillId="0" borderId="55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19" xfId="1" applyFont="1" applyBorder="1" applyAlignment="1">
      <alignment horizontal="center"/>
    </xf>
  </cellXfs>
  <cellStyles count="2">
    <cellStyle name="Обычный" xfId="0" builtinId="0"/>
    <cellStyle name="Обычный 2" xfId="1" xr:uid="{1436FAD9-531C-478E-969B-F1901402F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workbookViewId="0">
      <selection activeCell="J14" sqref="J14"/>
    </sheetView>
  </sheetViews>
  <sheetFormatPr defaultRowHeight="15" x14ac:dyDescent="0.25"/>
  <cols>
    <col min="6" max="6" width="13.140625" bestFit="1" customWidth="1"/>
    <col min="7" max="8" width="9.5703125" bestFit="1" customWidth="1"/>
    <col min="10" max="10" width="11.140625" bestFit="1" customWidth="1"/>
    <col min="11" max="11" width="10.140625" bestFit="1" customWidth="1"/>
  </cols>
  <sheetData>
    <row r="2" spans="1:14" x14ac:dyDescent="0.25">
      <c r="A2" s="1"/>
      <c r="B2" s="2"/>
      <c r="C2" s="1"/>
      <c r="D2" s="3" t="s">
        <v>11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12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46</v>
      </c>
      <c r="C6" s="9">
        <v>0.2</v>
      </c>
      <c r="D6" s="1"/>
      <c r="E6" s="10" t="s">
        <v>13</v>
      </c>
      <c r="F6" s="11">
        <f>-L18/D18</f>
        <v>0.75</v>
      </c>
      <c r="G6" s="1"/>
      <c r="H6" s="1"/>
      <c r="I6" s="12" t="s">
        <v>14</v>
      </c>
      <c r="J6" s="13">
        <f>J8</f>
        <v>857</v>
      </c>
      <c r="K6" s="1" t="s">
        <v>15</v>
      </c>
      <c r="L6" s="1"/>
      <c r="M6" s="1"/>
      <c r="N6" s="1"/>
    </row>
    <row r="7" spans="1:14" x14ac:dyDescent="0.25">
      <c r="A7" s="1"/>
      <c r="B7" s="14" t="s">
        <v>47</v>
      </c>
      <c r="C7" s="15">
        <v>0.7</v>
      </c>
      <c r="D7" s="1"/>
      <c r="E7" s="16" t="s">
        <v>2</v>
      </c>
      <c r="F7" s="15">
        <v>50000</v>
      </c>
      <c r="G7" s="1" t="s">
        <v>16</v>
      </c>
      <c r="H7" s="1"/>
      <c r="I7" s="17" t="s">
        <v>17</v>
      </c>
      <c r="J7" s="18">
        <v>5</v>
      </c>
      <c r="K7" s="1" t="s">
        <v>18</v>
      </c>
      <c r="L7" s="1"/>
      <c r="M7" s="1"/>
      <c r="N7" s="1"/>
    </row>
    <row r="8" spans="1:14" ht="15.75" thickBot="1" x14ac:dyDescent="0.3">
      <c r="A8" s="1"/>
      <c r="B8" s="14" t="s">
        <v>48</v>
      </c>
      <c r="C8" s="15">
        <v>0</v>
      </c>
      <c r="D8" s="1"/>
      <c r="E8" s="19" t="s">
        <v>51</v>
      </c>
      <c r="F8" s="20">
        <v>22500</v>
      </c>
      <c r="G8" s="1" t="s">
        <v>16</v>
      </c>
      <c r="H8" s="1"/>
      <c r="I8" s="21" t="s">
        <v>20</v>
      </c>
      <c r="J8" s="22">
        <f>842+15</f>
        <v>857</v>
      </c>
      <c r="K8" s="1" t="s">
        <v>19</v>
      </c>
      <c r="L8" s="1"/>
      <c r="M8" s="1"/>
    </row>
    <row r="9" spans="1:14" x14ac:dyDescent="0.25">
      <c r="A9" s="1"/>
      <c r="B9" s="14" t="s">
        <v>50</v>
      </c>
      <c r="C9" s="15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23" t="s">
        <v>49</v>
      </c>
      <c r="C10" s="20">
        <v>0.1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24"/>
      <c r="C11" s="1"/>
      <c r="D11" s="1"/>
      <c r="E11" s="25" t="s">
        <v>21</v>
      </c>
      <c r="F11" s="89" t="s">
        <v>45</v>
      </c>
      <c r="G11" s="90"/>
      <c r="H11" s="1"/>
      <c r="I11" s="1"/>
      <c r="J11" s="1"/>
      <c r="K11" s="1"/>
      <c r="L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88" t="s">
        <v>22</v>
      </c>
      <c r="D16" s="88"/>
      <c r="E16" s="88"/>
      <c r="F16" s="88"/>
      <c r="G16" s="88" t="s">
        <v>23</v>
      </c>
      <c r="H16" s="88"/>
      <c r="I16" s="88"/>
      <c r="J16" s="88"/>
      <c r="K16" s="88" t="s">
        <v>24</v>
      </c>
      <c r="L16" s="88"/>
      <c r="M16" s="88"/>
      <c r="N16" s="1"/>
    </row>
    <row r="17" spans="1:15" ht="15.75" thickBot="1" x14ac:dyDescent="0.3">
      <c r="A17" s="26" t="s">
        <v>1</v>
      </c>
      <c r="B17" s="27" t="s">
        <v>25</v>
      </c>
      <c r="C17" s="28" t="s">
        <v>3</v>
      </c>
      <c r="D17" s="28" t="s">
        <v>4</v>
      </c>
      <c r="E17" s="28" t="s">
        <v>5</v>
      </c>
      <c r="F17" s="28" t="s">
        <v>0</v>
      </c>
      <c r="G17" s="28" t="s">
        <v>6</v>
      </c>
      <c r="H17" s="28" t="s">
        <v>7</v>
      </c>
      <c r="I17" s="28" t="s">
        <v>8</v>
      </c>
      <c r="J17" s="28" t="s">
        <v>9</v>
      </c>
      <c r="K17" s="28" t="s">
        <v>26</v>
      </c>
      <c r="L17" s="28" t="s">
        <v>10</v>
      </c>
      <c r="M17" s="29" t="s">
        <v>27</v>
      </c>
      <c r="N17" s="7"/>
      <c r="O17" s="7"/>
    </row>
    <row r="18" spans="1:15" x14ac:dyDescent="0.25">
      <c r="A18" s="8" t="s">
        <v>46</v>
      </c>
      <c r="B18" s="30">
        <v>16</v>
      </c>
      <c r="C18" s="31">
        <f>E18*B18</f>
        <v>7142.8571428571431</v>
      </c>
      <c r="D18" s="32">
        <f>$D$23*F18</f>
        <v>10000</v>
      </c>
      <c r="E18" s="31">
        <f>D18/$F$15</f>
        <v>446.42857142857144</v>
      </c>
      <c r="F18" s="33">
        <v>0.2</v>
      </c>
      <c r="G18" s="31">
        <f>I18*B18</f>
        <v>1785.7142857142858</v>
      </c>
      <c r="H18" s="31">
        <f>D18+L18</f>
        <v>2500</v>
      </c>
      <c r="I18" s="31">
        <f>H18/$F$15</f>
        <v>111.60714285714286</v>
      </c>
      <c r="J18" s="86">
        <f>H18/$H$23</f>
        <v>3.8461538461538464E-2</v>
      </c>
      <c r="K18" s="31">
        <f>M18*B18</f>
        <v>-5357.1428571428578</v>
      </c>
      <c r="L18" s="31">
        <f>-L21/3</f>
        <v>-7500</v>
      </c>
      <c r="M18" s="34">
        <f>L18/$F$15</f>
        <v>-334.82142857142861</v>
      </c>
      <c r="N18" s="35"/>
      <c r="O18" s="35"/>
    </row>
    <row r="19" spans="1:15" x14ac:dyDescent="0.25">
      <c r="A19" s="14" t="s">
        <v>47</v>
      </c>
      <c r="B19" s="36">
        <v>18</v>
      </c>
      <c r="C19" s="31">
        <f t="shared" ref="C19:C21" si="0">E19*B19</f>
        <v>28125</v>
      </c>
      <c r="D19" s="32">
        <f t="shared" ref="D19:D22" si="1">$D$23*F19</f>
        <v>35000</v>
      </c>
      <c r="E19" s="31">
        <f t="shared" ref="E19:E22" si="2">D19/$F$15</f>
        <v>1562.5</v>
      </c>
      <c r="F19" s="37">
        <v>0.7</v>
      </c>
      <c r="G19" s="31">
        <f t="shared" ref="G19:G22" si="3">I19*B19</f>
        <v>22098.21428571429</v>
      </c>
      <c r="H19" s="31">
        <f t="shared" ref="H19:H22" si="4">D19+L19</f>
        <v>27500</v>
      </c>
      <c r="I19" s="31">
        <f t="shared" ref="I19:I22" si="5">H19/$F$15</f>
        <v>1227.6785714285716</v>
      </c>
      <c r="J19" s="86">
        <f t="shared" ref="J19:J22" si="6">H19/$H$23</f>
        <v>0.42307692307692307</v>
      </c>
      <c r="K19" s="31">
        <f t="shared" ref="K19:K22" si="7">M19*B19</f>
        <v>-6026.7857142857147</v>
      </c>
      <c r="L19" s="31">
        <f>-L21/3</f>
        <v>-7500</v>
      </c>
      <c r="M19" s="34">
        <f t="shared" ref="M19:M22" si="8">L19/$F$15</f>
        <v>-334.82142857142861</v>
      </c>
      <c r="N19" s="35"/>
      <c r="O19" s="35"/>
    </row>
    <row r="20" spans="1:15" x14ac:dyDescent="0.25">
      <c r="A20" s="14" t="s">
        <v>48</v>
      </c>
      <c r="B20" s="36">
        <v>28</v>
      </c>
      <c r="C20" s="31">
        <f t="shared" si="0"/>
        <v>0</v>
      </c>
      <c r="D20" s="32">
        <f t="shared" si="1"/>
        <v>0</v>
      </c>
      <c r="E20" s="31">
        <f t="shared" si="2"/>
        <v>0</v>
      </c>
      <c r="F20" s="37">
        <v>0</v>
      </c>
      <c r="G20" s="31">
        <f t="shared" si="3"/>
        <v>9375.0000000000018</v>
      </c>
      <c r="H20" s="31">
        <f t="shared" si="4"/>
        <v>7500</v>
      </c>
      <c r="I20" s="31">
        <f t="shared" si="5"/>
        <v>334.82142857142861</v>
      </c>
      <c r="J20" s="86">
        <f t="shared" si="6"/>
        <v>0.11538461538461539</v>
      </c>
      <c r="K20" s="31">
        <f t="shared" si="7"/>
        <v>9375.0000000000018</v>
      </c>
      <c r="L20" s="84">
        <f>L21/3</f>
        <v>7500</v>
      </c>
      <c r="M20" s="34">
        <f t="shared" si="8"/>
        <v>334.82142857142861</v>
      </c>
      <c r="N20" s="35"/>
      <c r="O20" s="35"/>
    </row>
    <row r="21" spans="1:15" x14ac:dyDescent="0.25">
      <c r="A21" s="14" t="s">
        <v>50</v>
      </c>
      <c r="B21" s="36">
        <v>2</v>
      </c>
      <c r="C21" s="31">
        <f t="shared" si="0"/>
        <v>0</v>
      </c>
      <c r="D21" s="32">
        <f t="shared" si="1"/>
        <v>0</v>
      </c>
      <c r="E21" s="31">
        <f t="shared" si="2"/>
        <v>0</v>
      </c>
      <c r="F21" s="37">
        <v>0</v>
      </c>
      <c r="G21" s="31">
        <f t="shared" si="3"/>
        <v>2008.9285714285716</v>
      </c>
      <c r="H21" s="31">
        <f t="shared" si="4"/>
        <v>22500</v>
      </c>
      <c r="I21" s="31">
        <f t="shared" si="5"/>
        <v>1004.4642857142858</v>
      </c>
      <c r="J21" s="86">
        <f t="shared" si="6"/>
        <v>0.34615384615384615</v>
      </c>
      <c r="K21" s="31">
        <f t="shared" si="7"/>
        <v>2008.9285714285716</v>
      </c>
      <c r="L21" s="83">
        <v>22500</v>
      </c>
      <c r="M21" s="34">
        <f t="shared" si="8"/>
        <v>1004.4642857142858</v>
      </c>
      <c r="N21" s="35"/>
      <c r="O21" s="35"/>
    </row>
    <row r="22" spans="1:15" x14ac:dyDescent="0.25">
      <c r="A22" s="14" t="s">
        <v>49</v>
      </c>
      <c r="B22" s="36">
        <v>28</v>
      </c>
      <c r="C22" s="31">
        <f>E22*B22</f>
        <v>6250</v>
      </c>
      <c r="D22" s="32">
        <f t="shared" si="1"/>
        <v>5000</v>
      </c>
      <c r="E22" s="31">
        <f t="shared" si="2"/>
        <v>223.21428571428572</v>
      </c>
      <c r="F22" s="37">
        <v>0.1</v>
      </c>
      <c r="G22" s="31">
        <f t="shared" si="3"/>
        <v>6250</v>
      </c>
      <c r="H22" s="31">
        <f t="shared" si="4"/>
        <v>5000</v>
      </c>
      <c r="I22" s="31">
        <f t="shared" si="5"/>
        <v>223.21428571428572</v>
      </c>
      <c r="J22" s="86">
        <f t="shared" si="6"/>
        <v>7.6923076923076927E-2</v>
      </c>
      <c r="K22" s="31">
        <f t="shared" si="7"/>
        <v>0</v>
      </c>
      <c r="L22" s="31">
        <v>0</v>
      </c>
      <c r="M22" s="34">
        <f t="shared" si="8"/>
        <v>0</v>
      </c>
      <c r="N22" s="35"/>
      <c r="O22" s="35"/>
    </row>
    <row r="23" spans="1:15" ht="15.75" thickBot="1" x14ac:dyDescent="0.3">
      <c r="A23" s="23" t="s">
        <v>28</v>
      </c>
      <c r="B23" s="38"/>
      <c r="C23" s="39">
        <f>SUM(C18:C22)</f>
        <v>41517.857142857145</v>
      </c>
      <c r="D23" s="40">
        <v>50000</v>
      </c>
      <c r="E23" s="41">
        <f t="shared" ref="E23:M23" si="9">SUM(E18:E22)</f>
        <v>2232.1428571428573</v>
      </c>
      <c r="F23" s="42">
        <f t="shared" si="9"/>
        <v>0.99999999999999989</v>
      </c>
      <c r="G23" s="39">
        <f t="shared" si="9"/>
        <v>41517.857142857152</v>
      </c>
      <c r="H23" s="41">
        <f t="shared" si="9"/>
        <v>65000</v>
      </c>
      <c r="I23" s="41">
        <f t="shared" si="9"/>
        <v>2901.7857142857147</v>
      </c>
      <c r="J23" s="87">
        <f t="shared" si="9"/>
        <v>1</v>
      </c>
      <c r="K23" s="41">
        <f t="shared" si="9"/>
        <v>9.0949470177292824E-13</v>
      </c>
      <c r="L23" s="41">
        <f t="shared" si="9"/>
        <v>15000</v>
      </c>
      <c r="M23" s="43">
        <f t="shared" si="9"/>
        <v>669.64285714285711</v>
      </c>
      <c r="N23" s="35"/>
      <c r="O23" s="35"/>
    </row>
    <row r="24" spans="1:15" x14ac:dyDescent="0.25">
      <c r="A24" s="44"/>
      <c r="B24" s="45"/>
      <c r="C24" s="35"/>
      <c r="D24" s="1"/>
      <c r="E24" s="35"/>
      <c r="F24" s="44"/>
      <c r="G24" s="35"/>
      <c r="H24" s="1"/>
      <c r="I24" s="35"/>
      <c r="J24" s="46"/>
      <c r="K24" s="35"/>
      <c r="L24" s="35"/>
      <c r="M24" s="35"/>
      <c r="N24" s="35"/>
      <c r="O24" s="35"/>
    </row>
    <row r="25" spans="1:15" x14ac:dyDescent="0.25">
      <c r="A25" s="1"/>
      <c r="B25" s="1"/>
      <c r="C25" s="1"/>
      <c r="D25" s="1"/>
      <c r="E25" s="46"/>
      <c r="F25" s="1"/>
      <c r="G25" s="1"/>
      <c r="H25" s="1"/>
      <c r="I25" s="1"/>
      <c r="J25" s="1"/>
      <c r="K25" s="1"/>
      <c r="L25" s="1"/>
      <c r="M25" s="1"/>
      <c r="N25" s="1"/>
      <c r="O25" s="1"/>
    </row>
    <row r="28" spans="1:15" ht="15.75" thickBot="1" x14ac:dyDescent="0.3">
      <c r="A28" s="1"/>
      <c r="B28" s="1" t="s">
        <v>29</v>
      </c>
      <c r="C28" s="1" t="s">
        <v>30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.75" thickBot="1" x14ac:dyDescent="0.3">
      <c r="A29" s="47" t="s">
        <v>1</v>
      </c>
      <c r="B29" s="48" t="s">
        <v>31</v>
      </c>
      <c r="C29" s="49" t="s">
        <v>32</v>
      </c>
      <c r="D29" s="1"/>
      <c r="E29" s="50" t="s">
        <v>33</v>
      </c>
      <c r="F29" s="50" t="s">
        <v>34</v>
      </c>
      <c r="G29" s="50" t="s">
        <v>35</v>
      </c>
      <c r="H29" s="51" t="s">
        <v>36</v>
      </c>
      <c r="I29" s="50" t="s">
        <v>37</v>
      </c>
      <c r="J29" s="52" t="s">
        <v>38</v>
      </c>
      <c r="L29" s="1"/>
      <c r="M29" s="1"/>
      <c r="N29" s="1"/>
      <c r="O29" s="1"/>
    </row>
    <row r="30" spans="1:15" x14ac:dyDescent="0.25">
      <c r="A30" s="53" t="s">
        <v>46</v>
      </c>
      <c r="B30" s="54">
        <v>35.700000000000003</v>
      </c>
      <c r="C30" s="55">
        <v>-74.599999999999994</v>
      </c>
      <c r="D30" s="1"/>
      <c r="E30" s="56" t="s">
        <v>54</v>
      </c>
      <c r="F30" s="57">
        <f>E23*1000/3600*B36*J6</f>
        <v>17839288.194444444</v>
      </c>
      <c r="G30" s="58">
        <f>M21*1000/3600*C39*1000</f>
        <v>-19149925.595238101</v>
      </c>
      <c r="H30" s="59">
        <f>J30-F30-G30-I30</f>
        <v>23737064.856150802</v>
      </c>
      <c r="I30" s="58">
        <f>-F30*5%</f>
        <v>-891964.40972222225</v>
      </c>
      <c r="J30" s="60">
        <f>I23*1000/3600*B37*J8</f>
        <v>21534463.045634922</v>
      </c>
      <c r="K30" s="85"/>
      <c r="L30" s="1"/>
      <c r="M30" s="1"/>
      <c r="N30" s="1"/>
      <c r="O30" s="1"/>
    </row>
    <row r="31" spans="1:15" ht="15.75" thickBot="1" x14ac:dyDescent="0.3">
      <c r="A31" s="61" t="s">
        <v>47</v>
      </c>
      <c r="B31" s="62">
        <v>33.6</v>
      </c>
      <c r="C31" s="55">
        <v>-241.83</v>
      </c>
      <c r="D31" s="1"/>
      <c r="E31" s="63"/>
      <c r="F31" s="64"/>
      <c r="G31" s="65"/>
      <c r="H31" s="65"/>
      <c r="I31" s="65"/>
      <c r="J31" s="66"/>
      <c r="K31" s="1"/>
      <c r="L31" s="1"/>
      <c r="M31" s="1"/>
      <c r="N31" s="1"/>
      <c r="O31" s="1"/>
    </row>
    <row r="32" spans="1:15" x14ac:dyDescent="0.25">
      <c r="A32" s="61" t="s">
        <v>48</v>
      </c>
      <c r="B32" s="62">
        <v>29.14</v>
      </c>
      <c r="C32" s="67">
        <v>-110.53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7" x14ac:dyDescent="0.25">
      <c r="A33" s="61" t="s">
        <v>52</v>
      </c>
      <c r="B33" s="62">
        <v>28.84</v>
      </c>
      <c r="C33" s="67">
        <v>0</v>
      </c>
      <c r="D33" s="1"/>
      <c r="E33" s="1"/>
      <c r="F33" s="1"/>
      <c r="G33" s="1"/>
    </row>
    <row r="34" spans="1:7" x14ac:dyDescent="0.25">
      <c r="A34" s="61" t="s">
        <v>49</v>
      </c>
      <c r="B34" s="68">
        <v>29.12</v>
      </c>
      <c r="C34" s="67"/>
      <c r="D34" s="1"/>
      <c r="E34" s="1" t="s">
        <v>39</v>
      </c>
      <c r="F34" s="69"/>
      <c r="G34" s="69">
        <f>-H30/G30</f>
        <v>1.2395382289137122</v>
      </c>
    </row>
    <row r="35" spans="1:7" ht="15.75" thickBot="1" x14ac:dyDescent="0.3">
      <c r="A35" s="70"/>
      <c r="B35" s="71"/>
      <c r="C35" s="72"/>
      <c r="D35" s="1"/>
      <c r="E35" s="1"/>
      <c r="F35" s="1"/>
      <c r="G35" s="1"/>
    </row>
    <row r="36" spans="1:7" ht="16.5" thickTop="1" thickBot="1" x14ac:dyDescent="0.3">
      <c r="A36" s="47" t="s">
        <v>40</v>
      </c>
      <c r="B36" s="73" cm="1">
        <f t="array" ref="B36">SUM(B30:B34*F18:F22)</f>
        <v>33.572000000000003</v>
      </c>
      <c r="C36" s="74"/>
      <c r="D36" s="1"/>
      <c r="E36" s="3" t="s">
        <v>41</v>
      </c>
      <c r="F36" s="1" t="s">
        <v>55</v>
      </c>
      <c r="G36" s="1"/>
    </row>
    <row r="37" spans="1:7" ht="16.5" thickTop="1" thickBot="1" x14ac:dyDescent="0.3">
      <c r="A37" s="75" t="s">
        <v>42</v>
      </c>
      <c r="B37" s="76" cm="1">
        <f t="array" ref="B37">SUM(B30:B34*J18:J22)</f>
        <v>31.173846153846156</v>
      </c>
      <c r="C37" s="77"/>
      <c r="D37" s="1"/>
      <c r="E37" s="1"/>
      <c r="F37" s="1"/>
      <c r="G37" s="1"/>
    </row>
    <row r="38" spans="1:7" ht="16.5" thickBot="1" x14ac:dyDescent="0.3">
      <c r="A38" s="1"/>
      <c r="B38" s="78" t="s">
        <v>43</v>
      </c>
      <c r="C38" s="79">
        <f>C32-C31-C30</f>
        <v>205.9</v>
      </c>
      <c r="D38" s="1"/>
      <c r="E38" s="1"/>
      <c r="F38" s="1"/>
      <c r="G38" s="1"/>
    </row>
    <row r="39" spans="1:7" ht="17.25" thickTop="1" thickBot="1" x14ac:dyDescent="0.3">
      <c r="A39" s="1"/>
      <c r="B39" s="80" t="s">
        <v>44</v>
      </c>
      <c r="C39" s="81">
        <f>-C38/3</f>
        <v>-68.63333333333334</v>
      </c>
      <c r="D39" s="1" t="s">
        <v>53</v>
      </c>
      <c r="E39" s="1"/>
      <c r="F39" s="1"/>
      <c r="G39" s="1"/>
    </row>
    <row r="40" spans="1:7" ht="15.75" x14ac:dyDescent="0.25">
      <c r="A40" s="1"/>
      <c r="B40" s="82"/>
      <c r="C40" s="1"/>
      <c r="D40" s="1"/>
      <c r="E40" s="1"/>
      <c r="F40" s="1"/>
      <c r="G40" s="1"/>
    </row>
    <row r="41" spans="1:7" ht="15.75" x14ac:dyDescent="0.25">
      <c r="A41" s="1"/>
      <c r="B41" s="82"/>
      <c r="C41" s="1"/>
      <c r="D41" s="1"/>
      <c r="E41" s="1"/>
      <c r="F41" s="1"/>
      <c r="G41" s="1"/>
    </row>
    <row r="43" spans="1:7" x14ac:dyDescent="0.25">
      <c r="A43" s="1"/>
      <c r="B43" s="1"/>
      <c r="C43" s="1"/>
      <c r="D43" s="1"/>
      <c r="E43" s="1"/>
      <c r="F43" s="1"/>
      <c r="G43" s="1"/>
    </row>
  </sheetData>
  <mergeCells count="4">
    <mergeCell ref="C16:F16"/>
    <mergeCell ref="G16:J16"/>
    <mergeCell ref="K16:M16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2024-06-24T23:41:56Z</dcterms:modified>
</cp:coreProperties>
</file>