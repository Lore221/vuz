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18\"/>
    </mc:Choice>
  </mc:AlternateContent>
  <xr:revisionPtr revIDLastSave="0" documentId="13_ncr:1_{065F3D6C-6B4D-4AF9-BC7D-752EE613A80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J30" i="1"/>
  <c r="I30" i="1"/>
  <c r="G30" i="1"/>
  <c r="F30" i="1"/>
  <c r="J8" i="1"/>
  <c r="C39" i="1"/>
  <c r="C38" i="1"/>
  <c r="J19" i="1"/>
  <c r="J23" i="1" s="1"/>
  <c r="J20" i="1"/>
  <c r="J21" i="1"/>
  <c r="J18" i="1"/>
  <c r="G19" i="1"/>
  <c r="G20" i="1"/>
  <c r="G21" i="1"/>
  <c r="G18" i="1"/>
  <c r="I19" i="1"/>
  <c r="I20" i="1"/>
  <c r="I21" i="1"/>
  <c r="I18" i="1"/>
  <c r="H19" i="1"/>
  <c r="H20" i="1"/>
  <c r="H21" i="1"/>
  <c r="H18" i="1"/>
  <c r="K19" i="1"/>
  <c r="K20" i="1"/>
  <c r="K18" i="1"/>
  <c r="K23" i="1" s="1"/>
  <c r="M19" i="1"/>
  <c r="M20" i="1"/>
  <c r="M18" i="1"/>
  <c r="L18" i="1"/>
  <c r="L19" i="1"/>
  <c r="L23" i="1" s="1"/>
  <c r="C19" i="1"/>
  <c r="C20" i="1"/>
  <c r="C21" i="1"/>
  <c r="C18" i="1"/>
  <c r="E19" i="1"/>
  <c r="E20" i="1"/>
  <c r="E21" i="1"/>
  <c r="E18" i="1"/>
  <c r="D19" i="1"/>
  <c r="D20" i="1"/>
  <c r="D21" i="1"/>
  <c r="D18" i="1"/>
  <c r="B37" i="1" a="1"/>
  <c r="B37" i="1" s="1"/>
  <c r="B36" i="1" a="1"/>
  <c r="B36" i="1" s="1"/>
  <c r="F23" i="1"/>
  <c r="G23" i="1" l="1"/>
  <c r="I23" i="1"/>
  <c r="H23" i="1"/>
  <c r="M23" i="1"/>
  <c r="C23" i="1"/>
  <c r="E23" i="1"/>
  <c r="F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<sst xmlns="http://schemas.openxmlformats.org/spreadsheetml/2006/main" count="64" uniqueCount="54">
  <si>
    <t>Задача 1 Материальный и тепловой баланс</t>
  </si>
  <si>
    <t>Состав исходной смеси</t>
  </si>
  <si>
    <t>XT</t>
  </si>
  <si>
    <t>T вх</t>
  </si>
  <si>
    <t>C</t>
  </si>
  <si>
    <t>VNS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</si>
  <si>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</si>
  <si>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</si>
  <si>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</si>
  <si>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</si>
  <si>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</si>
  <si>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</si>
  <si>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</si>
  <si>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</si>
  <si>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</si>
  <si>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</si>
  <si>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</si>
  <si>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</si>
  <si>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</si>
  <si>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</si>
  <si>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</si>
  <si>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</si>
  <si>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</si>
  <si>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</si>
  <si>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</si>
  <si>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</si>
  <si>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</si>
  <si>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</si>
  <si>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</si>
  <si>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</si>
  <si>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</si>
  <si>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</si>
  <si>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</si>
  <si>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</si>
  <si>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</si>
  <si>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</si>
  <si>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</si>
  <si>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</si>
  <si>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</si>
  <si>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политермический</t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</si>
  <si>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</si>
  <si>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</si>
  <si>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</si>
  <si>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</si>
  <si>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</si>
  <si>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</si>
  <si>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N2</t>
  </si>
  <si>
    <t>по HCl</t>
  </si>
  <si>
    <t>CH3OH</t>
  </si>
  <si>
    <t>CO</t>
  </si>
  <si>
    <t>H2</t>
  </si>
  <si>
    <t>VRD</t>
  </si>
  <si>
    <t>CH3OH=CO+2H2</t>
  </si>
  <si>
    <t>Для реализации политермического теплового режима необходимо компенсировать 86% теплового эффекта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</si>
</sst>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0_ "/>
    <numFmt numFmtId="166" formatCode="0.0_ 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sz val="12"/>
      <name val="Arial Cyr"/>
      <family val="2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0"/>
      <color theme="5" tint="-0.499984740745262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11" fillId="2" borderId="1" xfId="1" applyFont="1" applyFill="1" applyBorder="1" applyAlignment="1">
      <alignment readingOrder="1"/>
    </xf>
    <xf numFmtId="0" fontId="4" fillId="2" borderId="2" xfId="1" applyFont="1" applyFill="1" applyBorder="1"/>
    <xf numFmtId="0" fontId="4" fillId="0" borderId="0" xfId="1" applyFont="1"/>
    <xf numFmtId="0" fontId="5" fillId="0" borderId="0" xfId="1" applyFont="1"/>
    <xf numFmtId="0" fontId="5" fillId="2" borderId="3" xfId="1" applyFont="1" applyFill="1" applyBorder="1" applyAlignment="1">
      <alignment horizontal="center"/>
    </xf>
    <xf numFmtId="0" fontId="1" fillId="0" borderId="4" xfId="1" applyBorder="1"/>
    <xf numFmtId="0" fontId="5" fillId="2" borderId="5" xfId="1" applyFont="1" applyFill="1" applyBorder="1"/>
    <xf numFmtId="0" fontId="1" fillId="0" borderId="6" xfId="1" applyBorder="1"/>
    <xf numFmtId="0" fontId="5" fillId="2" borderId="7" xfId="1" applyFont="1" applyFill="1" applyBorder="1" applyAlignment="1">
      <alignment horizontal="center"/>
    </xf>
    <xf numFmtId="0" fontId="1" fillId="0" borderId="8" xfId="1" applyBorder="1"/>
    <xf numFmtId="0" fontId="5" fillId="2" borderId="7" xfId="1" applyFont="1" applyFill="1" applyBorder="1"/>
    <xf numFmtId="0" fontId="5" fillId="2" borderId="9" xfId="1" applyFont="1" applyFill="1" applyBorder="1"/>
    <xf numFmtId="0" fontId="1" fillId="0" borderId="10" xfId="1" applyBorder="1"/>
    <xf numFmtId="0" fontId="5" fillId="2" borderId="9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11" fillId="0" borderId="11" xfId="1" applyFont="1" applyBorder="1"/>
    <xf numFmtId="0" fontId="5" fillId="0" borderId="12" xfId="1" applyFont="1" applyBorder="1"/>
    <xf numFmtId="0" fontId="5" fillId="0" borderId="13" xfId="1" applyFont="1" applyBorder="1"/>
    <xf numFmtId="0" fontId="11" fillId="2" borderId="1" xfId="1" applyFont="1" applyFill="1" applyBorder="1"/>
    <xf numFmtId="0" fontId="11" fillId="2" borderId="14" xfId="1" applyFont="1" applyFill="1" applyBorder="1"/>
    <xf numFmtId="0" fontId="11" fillId="2" borderId="15" xfId="1" applyFont="1" applyFill="1" applyBorder="1"/>
    <xf numFmtId="0" fontId="1" fillId="0" borderId="16" xfId="1" applyBorder="1" applyAlignment="1">
      <alignment horizontal="center"/>
    </xf>
    <xf numFmtId="1" fontId="1" fillId="0" borderId="17" xfId="1" applyNumberFormat="1" applyBorder="1"/>
    <xf numFmtId="0" fontId="1" fillId="0" borderId="18" xfId="1" applyBorder="1"/>
    <xf numFmtId="0" fontId="1" fillId="0" borderId="17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20" xfId="1" applyBorder="1" applyAlignment="1">
      <alignment horizontal="center"/>
    </xf>
    <xf numFmtId="1" fontId="11" fillId="0" borderId="21" xfId="1" applyNumberFormat="1" applyFont="1" applyBorder="1"/>
    <xf numFmtId="0" fontId="1" fillId="0" borderId="21" xfId="1" applyBorder="1"/>
    <xf numFmtId="1" fontId="1" fillId="0" borderId="21" xfId="1" applyNumberFormat="1" applyBorder="1"/>
    <xf numFmtId="0" fontId="1" fillId="0" borderId="21" xfId="1" applyBorder="1" applyAlignment="1">
      <alignment horizont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0" xfId="1" applyNumberFormat="1"/>
    <xf numFmtId="2" fontId="1" fillId="0" borderId="0" xfId="1" applyNumberFormat="1"/>
    <xf numFmtId="0" fontId="5" fillId="2" borderId="1" xfId="1" applyFont="1" applyFill="1" applyBorder="1" applyAlignment="1">
      <alignment horizontal="center"/>
    </xf>
    <xf numFmtId="0" fontId="6" fillId="2" borderId="1" xfId="1" applyFont="1" applyFill="1" applyBorder="1"/>
    <xf numFmtId="0" fontId="6" fillId="2" borderId="2" xfId="1" applyFont="1" applyFill="1" applyBorder="1"/>
    <xf numFmtId="0" fontId="5" fillId="2" borderId="1" xfId="1" applyFont="1" applyFill="1" applyBorder="1"/>
    <xf numFmtId="0" fontId="5" fillId="2" borderId="22" xfId="1" applyFont="1" applyFill="1" applyBorder="1"/>
    <xf numFmtId="0" fontId="5" fillId="2" borderId="23" xfId="1" applyFont="1" applyFill="1" applyBorder="1" applyAlignment="1">
      <alignment horizontal="center"/>
    </xf>
    <xf numFmtId="0" fontId="1" fillId="0" borderId="24" xfId="1" applyBorder="1"/>
    <xf numFmtId="0" fontId="1" fillId="0" borderId="25" xfId="1" applyBorder="1"/>
    <xf numFmtId="0" fontId="1" fillId="2" borderId="26" xfId="1" applyFill="1" applyBorder="1"/>
    <xf numFmtId="1" fontId="1" fillId="0" borderId="27" xfId="1" applyNumberFormat="1" applyBorder="1"/>
    <xf numFmtId="1" fontId="1" fillId="0" borderId="28" xfId="1" applyNumberFormat="1" applyBorder="1"/>
    <xf numFmtId="164" fontId="1" fillId="0" borderId="28" xfId="1" applyNumberFormat="1" applyBorder="1"/>
    <xf numFmtId="0" fontId="5" fillId="2" borderId="29" xfId="1" applyFont="1" applyFill="1" applyBorder="1" applyAlignment="1">
      <alignment horizontal="center"/>
    </xf>
    <xf numFmtId="0" fontId="1" fillId="0" borderId="30" xfId="1" applyBorder="1"/>
    <xf numFmtId="0" fontId="2" fillId="2" borderId="31" xfId="1" applyFont="1" applyFill="1" applyBorder="1"/>
    <xf numFmtId="0" fontId="1" fillId="0" borderId="32" xfId="1" applyBorder="1"/>
    <xf numFmtId="0" fontId="1" fillId="0" borderId="33" xfId="1" applyBorder="1"/>
    <xf numFmtId="0" fontId="1" fillId="0" borderId="34" xfId="1" applyBorder="1"/>
    <xf numFmtId="165" fontId="1" fillId="0" borderId="30" xfId="1" applyNumberFormat="1" applyBorder="1"/>
    <xf numFmtId="165" fontId="1" fillId="0" borderId="0" xfId="1" applyNumberFormat="1"/>
    <xf numFmtId="166" fontId="1" fillId="0" borderId="0" xfId="1" applyNumberFormat="1"/>
    <xf numFmtId="0" fontId="5" fillId="2" borderId="35" xfId="1" applyFont="1" applyFill="1" applyBorder="1" applyAlignment="1">
      <alignment horizontal="center"/>
    </xf>
    <xf numFmtId="0" fontId="1" fillId="0" borderId="36" xfId="1" applyBorder="1"/>
    <xf numFmtId="0" fontId="1" fillId="0" borderId="37" xfId="1" applyBorder="1"/>
    <xf numFmtId="165" fontId="1" fillId="0" borderId="38" xfId="1" applyNumberFormat="1" applyBorder="1"/>
    <xf numFmtId="0" fontId="1" fillId="0" borderId="39" xfId="1" applyBorder="1"/>
    <xf numFmtId="0" fontId="5" fillId="2" borderId="31" xfId="1" applyFont="1" applyFill="1" applyBorder="1" applyAlignment="1">
      <alignment horizontal="center"/>
    </xf>
    <xf numFmtId="166" fontId="1" fillId="0" borderId="40" xfId="1" applyNumberFormat="1" applyBorder="1"/>
    <xf numFmtId="0" fontId="1" fillId="0" borderId="41" xfId="1" applyBorder="1"/>
    <xf numFmtId="0" fontId="7" fillId="2" borderId="1" xfId="1" applyFont="1" applyFill="1" applyBorder="1" applyAlignment="1">
      <alignment horizontal="center"/>
    </xf>
    <xf numFmtId="0" fontId="1" fillId="0" borderId="42" xfId="1" applyBorder="1"/>
    <xf numFmtId="0" fontId="7" fillId="2" borderId="43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5" fillId="2" borderId="45" xfId="1" applyFont="1" applyFill="1" applyBorder="1"/>
    <xf numFmtId="0" fontId="1" fillId="0" borderId="46" xfId="1" applyBorder="1"/>
    <xf numFmtId="0" fontId="5" fillId="2" borderId="47" xfId="1" applyFont="1" applyFill="1" applyBorder="1"/>
    <xf numFmtId="0" fontId="1" fillId="0" borderId="48" xfId="1" applyBorder="1"/>
    <xf numFmtId="0" fontId="5" fillId="2" borderId="49" xfId="1" applyFont="1" applyFill="1" applyBorder="1"/>
    <xf numFmtId="0" fontId="1" fillId="0" borderId="50" xfId="1" applyBorder="1"/>
    <xf numFmtId="0" fontId="11" fillId="2" borderId="51" xfId="1" applyFont="1" applyFill="1" applyBorder="1"/>
    <xf numFmtId="2" fontId="1" fillId="0" borderId="17" xfId="1" applyNumberFormat="1" applyBorder="1"/>
    <xf numFmtId="1" fontId="1" fillId="0" borderId="52" xfId="1" applyNumberFormat="1" applyBorder="1"/>
    <xf numFmtId="1" fontId="11" fillId="0" borderId="17" xfId="1" applyNumberFormat="1" applyFont="1" applyBorder="1"/>
    <xf numFmtId="2" fontId="5" fillId="0" borderId="21" xfId="1" applyNumberFormat="1" applyFont="1" applyBorder="1"/>
    <xf numFmtId="1" fontId="1" fillId="0" borderId="50" xfId="1" applyNumberFormat="1" applyBorder="1"/>
    <xf numFmtId="0" fontId="5" fillId="2" borderId="2" xfId="1" applyFont="1" applyFill="1" applyBorder="1"/>
    <xf numFmtId="166" fontId="1" fillId="0" borderId="53" xfId="1" applyNumberFormat="1" applyBorder="1"/>
    <xf numFmtId="0" fontId="1" fillId="0" borderId="54" xfId="1" applyBorder="1"/>
    <xf numFmtId="167" fontId="1" fillId="0" borderId="44" xfId="1" applyNumberFormat="1" applyBorder="1"/>
  </cellXfs>
  <cellStyles count="2">
    <cellStyle name="Обычный" xfId="0" builtinId="0"/>
    <cellStyle name="Обычный 2" xfId="1" xr:uid="{D06F27AB-F297-4DA3-9556-2951CE160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5" workbookViewId="0">
      <selection activeCell="O26" sqref="O26"/>
    </sheetView>
  </sheetViews>
  <sheetFormatPr defaultRowHeight="15" x14ac:dyDescent="0.25"/>
  <cols>
    <col min="6" max="6" width="13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48</v>
      </c>
      <c r="C6" s="9">
        <v>0.3</v>
      </c>
      <c r="D6" s="1"/>
      <c r="E6" s="10" t="s">
        <v>2</v>
      </c>
      <c r="F6" s="11">
        <v>0.76700000000000002</v>
      </c>
      <c r="G6" s="11"/>
      <c r="H6" s="1"/>
      <c r="I6" s="73" t="s">
        <v>3</v>
      </c>
      <c r="J6" s="74">
        <v>600</v>
      </c>
      <c r="K6" s="1" t="s">
        <v>4</v>
      </c>
      <c r="L6" s="1"/>
      <c r="M6" s="1"/>
      <c r="N6" s="1"/>
    </row>
    <row r="7" spans="1:14" x14ac:dyDescent="0.25">
      <c r="A7" s="1"/>
      <c r="B7" s="12" t="s">
        <v>49</v>
      </c>
      <c r="C7" s="13">
        <v>0</v>
      </c>
      <c r="D7" s="1"/>
      <c r="E7" s="14" t="s">
        <v>5</v>
      </c>
      <c r="F7" s="13">
        <v>20000</v>
      </c>
      <c r="G7" s="1" t="s">
        <v>6</v>
      </c>
      <c r="H7" s="1"/>
      <c r="I7" s="75" t="s">
        <v>7</v>
      </c>
      <c r="J7" s="76">
        <v>3</v>
      </c>
      <c r="K7" s="1" t="s">
        <v>8</v>
      </c>
      <c r="L7" s="1"/>
      <c r="M7" s="1"/>
      <c r="N7" s="1"/>
    </row>
    <row r="8" spans="1:14" ht="15.75" thickBot="1" x14ac:dyDescent="0.3">
      <c r="A8" s="1"/>
      <c r="B8" s="12" t="s">
        <v>50</v>
      </c>
      <c r="C8" s="13">
        <v>0</v>
      </c>
      <c r="D8" s="1"/>
      <c r="E8" s="15" t="s">
        <v>51</v>
      </c>
      <c r="F8" s="16">
        <v>9200</v>
      </c>
      <c r="G8" s="1" t="s">
        <v>6</v>
      </c>
      <c r="H8" s="1"/>
      <c r="I8" s="77" t="s">
        <v>10</v>
      </c>
      <c r="J8" s="78">
        <f>362+20</f>
        <v>382</v>
      </c>
      <c r="K8" s="1" t="s">
        <v>9</v>
      </c>
      <c r="L8" s="1"/>
      <c r="M8" s="1"/>
      <c r="N8" s="1"/>
    </row>
    <row r="9" spans="1:14" x14ac:dyDescent="0.25">
      <c r="A9" s="1"/>
      <c r="B9" s="12" t="s">
        <v>46</v>
      </c>
      <c r="C9" s="13">
        <v>0.7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17"/>
      <c r="C10" s="1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18"/>
      <c r="C11" s="1"/>
      <c r="D11" s="1"/>
      <c r="E11" s="19" t="s">
        <v>11</v>
      </c>
      <c r="F11" s="20" t="s">
        <v>52</v>
      </c>
      <c r="G11" s="21"/>
      <c r="H11" s="1"/>
      <c r="I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7" t="s">
        <v>12</v>
      </c>
      <c r="D16" s="1"/>
      <c r="E16" s="1"/>
      <c r="F16" s="1"/>
      <c r="G16" s="7" t="s">
        <v>13</v>
      </c>
      <c r="H16" s="1"/>
      <c r="I16" s="1"/>
      <c r="J16" s="1"/>
      <c r="K16" s="7" t="s">
        <v>14</v>
      </c>
      <c r="L16" s="1"/>
      <c r="M16" s="1"/>
      <c r="N16" s="1"/>
    </row>
    <row r="17" spans="1:15" ht="15.75" thickBot="1" x14ac:dyDescent="0.3">
      <c r="A17" s="22" t="s">
        <v>15</v>
      </c>
      <c r="B17" s="23" t="s">
        <v>16</v>
      </c>
      <c r="C17" s="24" t="s">
        <v>17</v>
      </c>
      <c r="D17" s="24" t="s">
        <v>18</v>
      </c>
      <c r="E17" s="24" t="s">
        <v>19</v>
      </c>
      <c r="F17" s="24" t="s">
        <v>20</v>
      </c>
      <c r="G17" s="24" t="s">
        <v>21</v>
      </c>
      <c r="H17" s="24" t="s">
        <v>22</v>
      </c>
      <c r="I17" s="24" t="s">
        <v>23</v>
      </c>
      <c r="J17" s="24" t="s">
        <v>24</v>
      </c>
      <c r="K17" s="24" t="s">
        <v>25</v>
      </c>
      <c r="L17" s="24" t="s">
        <v>26</v>
      </c>
      <c r="M17" s="79" t="s">
        <v>27</v>
      </c>
      <c r="N17" s="7"/>
      <c r="O17" s="7"/>
    </row>
    <row r="18" spans="1:15" x14ac:dyDescent="0.25">
      <c r="A18" s="8" t="s">
        <v>48</v>
      </c>
      <c r="B18" s="25">
        <v>32</v>
      </c>
      <c r="C18" s="26">
        <f>E18*B18</f>
        <v>8571.4285714285725</v>
      </c>
      <c r="D18" s="27">
        <f>$D$23*F18</f>
        <v>6000</v>
      </c>
      <c r="E18" s="26">
        <f>D18/$F$15</f>
        <v>267.85714285714289</v>
      </c>
      <c r="F18" s="28">
        <v>0.3</v>
      </c>
      <c r="G18" s="26">
        <f>I18*B18</f>
        <v>2000.0000000000002</v>
      </c>
      <c r="H18" s="26">
        <f>D18+L18</f>
        <v>1400</v>
      </c>
      <c r="I18" s="26">
        <f>H18/$F$15</f>
        <v>62.500000000000007</v>
      </c>
      <c r="J18" s="80">
        <f>H18/$H$23</f>
        <v>4.7945205479452052E-2</v>
      </c>
      <c r="K18" s="26">
        <f>M18*B18</f>
        <v>-6571.4285714285716</v>
      </c>
      <c r="L18" s="26">
        <f>-L20/2</f>
        <v>-4600</v>
      </c>
      <c r="M18" s="81">
        <f>L18/$F$15</f>
        <v>-205.35714285714286</v>
      </c>
      <c r="N18" s="38"/>
      <c r="O18" s="38"/>
    </row>
    <row r="19" spans="1:15" x14ac:dyDescent="0.25">
      <c r="A19" s="12" t="s">
        <v>49</v>
      </c>
      <c r="B19" s="29">
        <v>28</v>
      </c>
      <c r="C19" s="26">
        <f t="shared" ref="C19:C21" si="0">E19*B19</f>
        <v>0</v>
      </c>
      <c r="D19" s="27">
        <f t="shared" ref="D19:D21" si="1">$D$23*F19</f>
        <v>0</v>
      </c>
      <c r="E19" s="26">
        <f t="shared" ref="E19:E21" si="2">D19/$F$15</f>
        <v>0</v>
      </c>
      <c r="F19" s="30">
        <v>0</v>
      </c>
      <c r="G19" s="26">
        <f t="shared" ref="G19:G21" si="3">I19*B19</f>
        <v>5750</v>
      </c>
      <c r="H19" s="26">
        <f t="shared" ref="H19:H21" si="4">D19+L19</f>
        <v>4600</v>
      </c>
      <c r="I19" s="26">
        <f t="shared" ref="I19:I21" si="5">H19/$F$15</f>
        <v>205.35714285714286</v>
      </c>
      <c r="J19" s="80">
        <f t="shared" ref="J19:J21" si="6">H19/$H$23</f>
        <v>0.15753424657534246</v>
      </c>
      <c r="K19" s="26">
        <f t="shared" ref="K19:K20" si="7">M19*B19</f>
        <v>5750</v>
      </c>
      <c r="L19" s="26">
        <f>L20/2</f>
        <v>4600</v>
      </c>
      <c r="M19" s="81">
        <f t="shared" ref="M19:M20" si="8">L19/$F$15</f>
        <v>205.35714285714286</v>
      </c>
      <c r="N19" s="38"/>
      <c r="O19" s="38"/>
    </row>
    <row r="20" spans="1:15" x14ac:dyDescent="0.25">
      <c r="A20" s="12" t="s">
        <v>50</v>
      </c>
      <c r="B20" s="29">
        <v>2</v>
      </c>
      <c r="C20" s="26">
        <f t="shared" si="0"/>
        <v>0</v>
      </c>
      <c r="D20" s="27">
        <f t="shared" si="1"/>
        <v>0</v>
      </c>
      <c r="E20" s="26">
        <f t="shared" si="2"/>
        <v>0</v>
      </c>
      <c r="F20" s="30">
        <v>0</v>
      </c>
      <c r="G20" s="26">
        <f t="shared" si="3"/>
        <v>821.42857142857144</v>
      </c>
      <c r="H20" s="26">
        <f t="shared" si="4"/>
        <v>9200</v>
      </c>
      <c r="I20" s="26">
        <f t="shared" si="5"/>
        <v>410.71428571428572</v>
      </c>
      <c r="J20" s="80">
        <f t="shared" si="6"/>
        <v>0.31506849315068491</v>
      </c>
      <c r="K20" s="26">
        <f t="shared" si="7"/>
        <v>821.42857142857144</v>
      </c>
      <c r="L20" s="82">
        <v>9200</v>
      </c>
      <c r="M20" s="81">
        <f t="shared" si="8"/>
        <v>410.71428571428572</v>
      </c>
      <c r="N20" s="38"/>
      <c r="O20" s="38"/>
    </row>
    <row r="21" spans="1:15" x14ac:dyDescent="0.25">
      <c r="A21" s="12" t="s">
        <v>46</v>
      </c>
      <c r="B21" s="29">
        <v>28</v>
      </c>
      <c r="C21" s="26">
        <f t="shared" si="0"/>
        <v>17500</v>
      </c>
      <c r="D21" s="27">
        <f t="shared" si="1"/>
        <v>14000</v>
      </c>
      <c r="E21" s="26">
        <f t="shared" si="2"/>
        <v>625</v>
      </c>
      <c r="F21" s="30">
        <v>0.7</v>
      </c>
      <c r="G21" s="26">
        <f t="shared" si="3"/>
        <v>17500</v>
      </c>
      <c r="H21" s="26">
        <f t="shared" si="4"/>
        <v>14000</v>
      </c>
      <c r="I21" s="26">
        <f t="shared" si="5"/>
        <v>625</v>
      </c>
      <c r="J21" s="80">
        <f t="shared" si="6"/>
        <v>0.47945205479452052</v>
      </c>
      <c r="K21" s="26">
        <v>0</v>
      </c>
      <c r="L21" s="26">
        <v>0</v>
      </c>
      <c r="M21" s="81">
        <v>0</v>
      </c>
      <c r="N21" s="38"/>
      <c r="O21" s="38"/>
    </row>
    <row r="22" spans="1:15" x14ac:dyDescent="0.25">
      <c r="A22" s="12"/>
      <c r="B22" s="29"/>
      <c r="C22" s="26"/>
      <c r="D22" s="27"/>
      <c r="E22" s="26"/>
      <c r="F22" s="30"/>
      <c r="G22" s="26"/>
      <c r="H22" s="26"/>
      <c r="I22" s="26"/>
      <c r="J22" s="80"/>
      <c r="K22" s="26"/>
      <c r="L22" s="26"/>
      <c r="M22" s="81"/>
      <c r="N22" s="38"/>
      <c r="O22" s="38"/>
    </row>
    <row r="23" spans="1:15" ht="15.75" thickBot="1" x14ac:dyDescent="0.3">
      <c r="A23" s="17" t="s">
        <v>28</v>
      </c>
      <c r="B23" s="31"/>
      <c r="C23" s="32">
        <f>SUM(C18:C22)</f>
        <v>26071.428571428572</v>
      </c>
      <c r="D23" s="33">
        <v>20000</v>
      </c>
      <c r="E23" s="34">
        <f t="shared" ref="E23:M23" si="9">SUM(E18:E22)</f>
        <v>892.85714285714289</v>
      </c>
      <c r="F23" s="35">
        <f t="shared" si="9"/>
        <v>1</v>
      </c>
      <c r="G23" s="32">
        <f t="shared" si="9"/>
        <v>26071.428571428572</v>
      </c>
      <c r="H23" s="34">
        <f t="shared" si="9"/>
        <v>29200</v>
      </c>
      <c r="I23" s="34">
        <f t="shared" si="9"/>
        <v>1303.5714285714287</v>
      </c>
      <c r="J23" s="83">
        <f t="shared" si="9"/>
        <v>1</v>
      </c>
      <c r="K23" s="34">
        <f t="shared" si="9"/>
        <v>-1.1368683772161603E-13</v>
      </c>
      <c r="L23" s="34">
        <f t="shared" si="9"/>
        <v>9200</v>
      </c>
      <c r="M23" s="84">
        <f t="shared" si="9"/>
        <v>410.71428571428572</v>
      </c>
      <c r="N23" s="38"/>
      <c r="O23" s="38"/>
    </row>
    <row r="24" spans="1:15" x14ac:dyDescent="0.25">
      <c r="A24" s="36"/>
      <c r="B24" s="37"/>
      <c r="C24" s="38"/>
      <c r="D24" s="1"/>
      <c r="E24" s="38"/>
      <c r="F24" s="36"/>
      <c r="G24" s="38"/>
      <c r="H24" s="1"/>
      <c r="I24" s="38"/>
      <c r="J24" s="39"/>
      <c r="K24" s="38"/>
      <c r="L24" s="38"/>
      <c r="M24" s="38"/>
      <c r="N24" s="38"/>
      <c r="O24" s="38"/>
    </row>
    <row r="25" spans="1:15" x14ac:dyDescent="0.25">
      <c r="A25" s="1"/>
      <c r="B25" s="1"/>
      <c r="C25" s="1"/>
      <c r="D25" s="1"/>
      <c r="E25" s="39"/>
      <c r="F25" s="1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29</v>
      </c>
      <c r="C28" s="1" t="s">
        <v>30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40" t="s">
        <v>15</v>
      </c>
      <c r="B29" s="41" t="s">
        <v>31</v>
      </c>
      <c r="C29" s="42" t="s">
        <v>32</v>
      </c>
      <c r="D29" s="1"/>
      <c r="E29" s="43" t="s">
        <v>33</v>
      </c>
      <c r="F29" s="43" t="s">
        <v>34</v>
      </c>
      <c r="G29" s="43" t="s">
        <v>35</v>
      </c>
      <c r="H29" s="44" t="s">
        <v>36</v>
      </c>
      <c r="I29" s="43" t="s">
        <v>37</v>
      </c>
      <c r="J29" s="85" t="s">
        <v>38</v>
      </c>
      <c r="L29" s="1"/>
      <c r="M29" s="1"/>
      <c r="N29" s="1"/>
      <c r="O29" s="1"/>
    </row>
    <row r="30" spans="1:15" x14ac:dyDescent="0.25">
      <c r="A30" s="45" t="s">
        <v>48</v>
      </c>
      <c r="B30" s="46">
        <v>44.1</v>
      </c>
      <c r="C30" s="47">
        <v>-201</v>
      </c>
      <c r="D30" s="1"/>
      <c r="E30" s="48" t="s">
        <v>39</v>
      </c>
      <c r="F30" s="49">
        <f>E23*1000/3600*B36*J6</f>
        <v>5002083.333333334</v>
      </c>
      <c r="G30" s="50">
        <f>M20*1000/3600*C39*1000</f>
        <v>-5160739.0873015877</v>
      </c>
      <c r="H30" s="51">
        <f>J30-F30-G30-I30</f>
        <v>4424275.5952380951</v>
      </c>
      <c r="I30" s="50">
        <f>-F30*3%</f>
        <v>-150062.5</v>
      </c>
      <c r="J30" s="86">
        <f>I23*1000/3600*B37*J8</f>
        <v>4115557.3412698414</v>
      </c>
      <c r="K30" s="1"/>
      <c r="L30" s="1"/>
      <c r="M30" s="1"/>
      <c r="N30" s="1"/>
      <c r="O30" s="1"/>
    </row>
    <row r="31" spans="1:15" ht="15.75" thickBot="1" x14ac:dyDescent="0.3">
      <c r="A31" s="52" t="s">
        <v>49</v>
      </c>
      <c r="B31" s="53">
        <v>29.14</v>
      </c>
      <c r="C31" s="47">
        <v>-110.53</v>
      </c>
      <c r="D31" s="1"/>
      <c r="E31" s="54"/>
      <c r="F31" s="55"/>
      <c r="G31" s="56"/>
      <c r="H31" s="56"/>
      <c r="I31" s="56"/>
      <c r="J31" s="87"/>
      <c r="K31" s="1"/>
      <c r="L31" s="1"/>
      <c r="M31" s="1"/>
      <c r="N31" s="1"/>
      <c r="O31" s="1"/>
    </row>
    <row r="32" spans="1:15" x14ac:dyDescent="0.25">
      <c r="A32" s="52" t="s">
        <v>50</v>
      </c>
      <c r="B32" s="53">
        <v>28.84</v>
      </c>
      <c r="C32" s="57"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5">
      <c r="A33" s="52" t="s">
        <v>46</v>
      </c>
      <c r="B33" s="53">
        <v>29.12</v>
      </c>
      <c r="C33" s="57"/>
      <c r="D33" s="1"/>
      <c r="E33" s="1"/>
      <c r="F33" s="1"/>
      <c r="G33" s="1"/>
    </row>
    <row r="34" spans="1:7" x14ac:dyDescent="0.25">
      <c r="A34" s="52"/>
      <c r="B34" s="58"/>
      <c r="C34" s="57"/>
      <c r="D34" s="1"/>
      <c r="E34" s="1" t="s">
        <v>40</v>
      </c>
      <c r="F34" s="59">
        <f>-H30/G30</f>
        <v>0.85729495725222382</v>
      </c>
      <c r="G34" s="60"/>
    </row>
    <row r="35" spans="1:7" ht="15.75" thickBot="1" x14ac:dyDescent="0.3">
      <c r="A35" s="61"/>
      <c r="B35" s="62"/>
      <c r="C35" s="63"/>
      <c r="D35" s="1"/>
      <c r="E35" s="1"/>
      <c r="F35" s="1"/>
      <c r="G35" s="1"/>
    </row>
    <row r="36" spans="1:7" ht="16.5" thickTop="1" thickBot="1" x14ac:dyDescent="0.3">
      <c r="A36" s="40" t="s">
        <v>41</v>
      </c>
      <c r="B36" s="64" cm="1">
        <f t="array" ref="B36">SUM(B30:B34*F18:F22)</f>
        <v>33.614000000000004</v>
      </c>
      <c r="C36" s="65"/>
      <c r="D36" s="1"/>
      <c r="E36" s="3" t="s">
        <v>42</v>
      </c>
      <c r="F36" s="1" t="s">
        <v>53</v>
      </c>
      <c r="G36" s="1"/>
    </row>
    <row r="37" spans="1:7" ht="16.5" thickTop="1" thickBot="1" x14ac:dyDescent="0.3">
      <c r="A37" s="66" t="s">
        <v>43</v>
      </c>
      <c r="B37" s="67" cm="1">
        <f t="array" ref="B37">SUM(B30:B34*J18:J22)</f>
        <v>29.753150684931505</v>
      </c>
      <c r="C37" s="68"/>
      <c r="D37" s="1"/>
      <c r="E37" s="1"/>
      <c r="F37" s="1"/>
      <c r="G37" s="1"/>
    </row>
    <row r="38" spans="1:7" ht="16.5" thickBot="1" x14ac:dyDescent="0.3">
      <c r="A38" s="1"/>
      <c r="B38" s="69" t="s">
        <v>44</v>
      </c>
      <c r="C38" s="70">
        <f>C31-C30</f>
        <v>90.47</v>
      </c>
      <c r="D38" s="1"/>
      <c r="E38" s="1"/>
      <c r="F38" s="1"/>
      <c r="G38" s="1"/>
    </row>
    <row r="39" spans="1:7" ht="17.25" thickTop="1" thickBot="1" x14ac:dyDescent="0.3">
      <c r="A39" s="1"/>
      <c r="B39" s="71" t="s">
        <v>45</v>
      </c>
      <c r="C39" s="88">
        <f>-C38/2</f>
        <v>-45.234999999999999</v>
      </c>
      <c r="D39" s="1" t="s">
        <v>47</v>
      </c>
      <c r="E39" s="1"/>
      <c r="F39" s="1"/>
      <c r="G39" s="1"/>
    </row>
    <row r="40" spans="1:7" ht="15.75" x14ac:dyDescent="0.25">
      <c r="A40" s="1"/>
      <c r="B40" s="72"/>
      <c r="C40" s="1"/>
      <c r="D40" s="1"/>
      <c r="E40" s="1"/>
      <c r="F40" s="1"/>
      <c r="G40" s="1"/>
    </row>
    <row r="41" spans="1:7" ht="15.75" x14ac:dyDescent="0.25">
      <c r="A41" s="1"/>
      <c r="B41" s="72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2024-06-24T23:22:39Z</dcterms:modified>
</cp:coreProperties>
</file>