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3 курс\курсач\"/>
    </mc:Choice>
  </mc:AlternateContent>
  <xr:revisionPtr revIDLastSave="0" documentId="13_ncr:1_{9F053B83-FE61-4E78-A5D1-E5D1DDD91C3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L19" i="2"/>
  <c r="L20" i="2"/>
  <c r="C35" i="2"/>
  <c r="C36" i="2" s="1"/>
  <c r="D23" i="2"/>
  <c r="M22" i="2"/>
  <c r="K22" i="2"/>
  <c r="D21" i="2"/>
  <c r="E21" i="2" s="1"/>
  <c r="C21" i="2" s="1"/>
  <c r="D20" i="2"/>
  <c r="F19" i="2"/>
  <c r="D19" i="2" l="1"/>
  <c r="F22" i="2"/>
  <c r="D22" i="2" s="1"/>
  <c r="E20" i="2"/>
  <c r="C20" i="2" s="1"/>
  <c r="M19" i="2" l="1"/>
  <c r="L23" i="2"/>
  <c r="H22" i="2"/>
  <c r="E22" i="2"/>
  <c r="C22" i="2" s="1"/>
  <c r="E19" i="2"/>
  <c r="H19" i="2"/>
  <c r="F23" i="2"/>
  <c r="B33" i="2"/>
  <c r="M20" i="2" l="1"/>
  <c r="K20" i="2" s="1"/>
  <c r="H20" i="2"/>
  <c r="I20" i="2" s="1"/>
  <c r="G20" i="2" s="1"/>
  <c r="M21" i="2"/>
  <c r="H21" i="2"/>
  <c r="I21" i="2" s="1"/>
  <c r="G21" i="2" s="1"/>
  <c r="K19" i="2"/>
  <c r="M23" i="2"/>
  <c r="I19" i="2"/>
  <c r="E23" i="2"/>
  <c r="G29" i="2" s="1"/>
  <c r="C19" i="2"/>
  <c r="I22" i="2"/>
  <c r="G22" i="2" s="1"/>
  <c r="H23" i="2" l="1"/>
  <c r="J22" i="2" s="1"/>
  <c r="K21" i="2"/>
  <c r="K23" i="2" s="1"/>
  <c r="H29" i="2"/>
  <c r="I29" i="2" s="1"/>
  <c r="K29" i="2" s="1"/>
  <c r="C23" i="2"/>
  <c r="I23" i="2"/>
  <c r="G19" i="2"/>
  <c r="G23" i="2" s="1"/>
  <c r="J20" i="2"/>
  <c r="J21" i="2"/>
  <c r="J19" i="2" l="1"/>
  <c r="J23" i="2"/>
  <c r="B34" i="2"/>
  <c r="L29" i="2"/>
</calcChain>
</file>

<file path=xl/sharedStrings.xml><?xml version="1.0" encoding="utf-8"?>
<sst xmlns="http://schemas.openxmlformats.org/spreadsheetml/2006/main" count="59" uniqueCount="55">
  <si>
    <t>Условие задачи для расчета материального баланса реактора</t>
  </si>
  <si>
    <t>Условие задачи для расчета теплового баланса реактора</t>
  </si>
  <si>
    <t>Расход исходной смеси</t>
  </si>
  <si>
    <r>
      <t>м</t>
    </r>
    <r>
      <rPr>
        <vertAlign val="superscript"/>
        <sz val="12"/>
        <rFont val="Arial Rounded MT Bold"/>
        <family val="2"/>
      </rPr>
      <t>3</t>
    </r>
    <r>
      <rPr>
        <sz val="12"/>
        <rFont val="Arial Rounded MT Bold"/>
        <family val="2"/>
      </rPr>
      <t>/ч</t>
    </r>
  </si>
  <si>
    <r>
      <t>Т</t>
    </r>
    <r>
      <rPr>
        <b/>
        <i/>
        <vertAlign val="subscript"/>
        <sz val="12"/>
        <rFont val="Arial Rounded MT Bold"/>
        <family val="2"/>
      </rPr>
      <t>вх</t>
    </r>
    <r>
      <rPr>
        <b/>
        <sz val="12"/>
        <rFont val="Arial Rounded MT Bold"/>
        <family val="2"/>
      </rPr>
      <t>, °С</t>
    </r>
  </si>
  <si>
    <t>Состав исходной смеси (объёмные доли):</t>
  </si>
  <si>
    <r>
      <t>N</t>
    </r>
    <r>
      <rPr>
        <vertAlign val="subscript"/>
        <sz val="12"/>
        <rFont val="Arial Rounded MT Bold"/>
        <family val="2"/>
      </rPr>
      <t>2</t>
    </r>
  </si>
  <si>
    <r>
      <t>H</t>
    </r>
    <r>
      <rPr>
        <vertAlign val="subscript"/>
        <sz val="12"/>
        <rFont val="Arial Rounded MT Bold"/>
        <family val="2"/>
      </rPr>
      <t>2</t>
    </r>
  </si>
  <si>
    <r>
      <t>Q</t>
    </r>
    <r>
      <rPr>
        <b/>
        <i/>
        <vertAlign val="subscript"/>
        <sz val="12"/>
        <rFont val="Arial Rounded MT Bold"/>
        <family val="2"/>
      </rPr>
      <t>то</t>
    </r>
  </si>
  <si>
    <r>
      <t>NH</t>
    </r>
    <r>
      <rPr>
        <vertAlign val="subscript"/>
        <sz val="12"/>
        <rFont val="Arial Rounded MT Bold"/>
        <family val="2"/>
      </rPr>
      <t>3</t>
    </r>
  </si>
  <si>
    <t>метан</t>
  </si>
  <si>
    <t>остальное</t>
  </si>
  <si>
    <t>Все газы считать идеальными</t>
  </si>
  <si>
    <t>РЕШЕНИЕ</t>
  </si>
  <si>
    <t>Исходная смесь</t>
  </si>
  <si>
    <t>Конечная смесь</t>
  </si>
  <si>
    <t>Производительность</t>
  </si>
  <si>
    <t>вещество</t>
  </si>
  <si>
    <t>MM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</si>
  <si>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</si>
  <si>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</si>
  <si>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</si>
  <si>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</si>
  <si>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</si>
  <si>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</si>
  <si>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</si>
  <si>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</si>
  <si>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</si>
  <si>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</si>
  <si>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</si>
  <si>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r>
      <t>CH</t>
    </r>
    <r>
      <rPr>
        <vertAlign val="subscript"/>
        <sz val="12"/>
        <rFont val="Arial Rounded MT Bold"/>
        <family val="2"/>
      </rPr>
      <t>4</t>
    </r>
  </si>
  <si>
    <t>сумма</t>
  </si>
  <si>
    <t>Дж/(моль*/К)</t>
  </si>
  <si>
    <t>кДж/моль</t>
  </si>
  <si>
    <t>Вещество</t>
  </si>
  <si>
    <r>
      <t>Ср</t>
    </r>
    <r>
      <rPr>
        <vertAlign val="subscript"/>
        <sz val="12"/>
        <rFont val="Arial Rounded MT Bold"/>
        <family val="2"/>
      </rPr>
      <t>298</t>
    </r>
  </si>
  <si>
    <r>
      <t>ΔH°</t>
    </r>
    <r>
      <rPr>
        <vertAlign val="subscript"/>
        <sz val="12"/>
        <rFont val="Arial Rounded MT Bold"/>
        <family val="2"/>
      </rPr>
      <t>обр, 298</t>
    </r>
  </si>
  <si>
    <r>
      <t>Q</t>
    </r>
    <r>
      <rPr>
        <i/>
        <vertAlign val="subscript"/>
        <sz val="12"/>
        <rFont val="Arial Rounded MT Bold"/>
        <family val="2"/>
      </rPr>
      <t>вх</t>
    </r>
  </si>
  <si>
    <r>
      <t>Q</t>
    </r>
    <r>
      <rPr>
        <i/>
        <vertAlign val="subscript"/>
        <sz val="12"/>
        <rFont val="Arial Rounded MT Bold"/>
        <family val="2"/>
      </rPr>
      <t>хр</t>
    </r>
    <r>
      <rPr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</si>
  <si>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то</t>
    </r>
  </si>
  <si>
    <r>
      <t>Q</t>
    </r>
    <r>
      <rPr>
        <i/>
        <vertAlign val="subscript"/>
        <sz val="12"/>
        <rFont val="Arial Rounded MT Bold"/>
        <family val="2"/>
      </rPr>
      <t>пот</t>
    </r>
    <r>
      <rPr>
        <vertAlign val="subscript"/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</si>
  <si>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вых</t>
    </r>
    <r>
      <rPr>
        <sz val="12"/>
        <rFont val="Arial Rounded MT Bold"/>
        <family val="2"/>
      </rPr>
      <t xml:space="preserve"> </t>
    </r>
  </si>
  <si>
    <t>проверка</t>
  </si>
  <si>
    <r>
      <t xml:space="preserve">Cp </t>
    </r>
    <r>
      <rPr>
        <vertAlign val="subscript"/>
        <sz val="12"/>
        <rFont val="Arial Rounded MT Bold"/>
        <family val="2"/>
      </rPr>
      <t>вх</t>
    </r>
  </si>
  <si>
    <r>
      <t xml:space="preserve">Cp </t>
    </r>
    <r>
      <rPr>
        <vertAlign val="subscript"/>
        <sz val="12"/>
        <rFont val="Arial Rounded MT Bold"/>
        <family val="2"/>
      </rPr>
      <t>вых</t>
    </r>
  </si>
  <si>
    <r>
      <t>ΔH</t>
    </r>
    <r>
      <rPr>
        <vertAlign val="subscript"/>
        <sz val="12"/>
        <rFont val="Arial Rounded MT Bold"/>
        <family val="2"/>
      </rPr>
      <t>р</t>
    </r>
  </si>
  <si>
    <t>кДж</t>
  </si>
  <si>
    <r>
      <t>q</t>
    </r>
    <r>
      <rPr>
        <vertAlign val="subscript"/>
        <sz val="12"/>
        <rFont val="Arial"/>
        <family val="2"/>
        <charset val="204"/>
      </rPr>
      <t>хр</t>
    </r>
  </si>
  <si>
    <t>NH3</t>
  </si>
  <si>
    <t>N2</t>
  </si>
  <si>
    <t>H2</t>
  </si>
  <si>
    <t xml:space="preserve">2NH3 =N2+3H2 </t>
  </si>
  <si>
    <t>кДж/моль H2</t>
  </si>
  <si>
    <t>Дж/с</t>
  </si>
  <si>
    <t>Потери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</si>
</sst>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color indexed="16"/>
      <name val="Arial"/>
      <family val="2"/>
      <charset val="204"/>
    </font>
    <font>
      <sz val="12"/>
      <name val="Arial Rounded MT Bold"/>
      <family val="2"/>
    </font>
    <font>
      <vertAlign val="superscript"/>
      <sz val="12"/>
      <name val="Arial Rounded MT Bold"/>
      <family val="2"/>
    </font>
    <font>
      <b/>
      <sz val="12"/>
      <name val="Arial Rounded MT Bold"/>
      <family val="2"/>
    </font>
    <font>
      <sz val="12"/>
      <color indexed="10"/>
      <name val="Calibri"/>
      <family val="2"/>
      <charset val="204"/>
    </font>
    <font>
      <b/>
      <i/>
      <sz val="12"/>
      <name val="Arial Rounded MT Bold"/>
      <family val="2"/>
    </font>
    <font>
      <b/>
      <i/>
      <vertAlign val="subscript"/>
      <sz val="12"/>
      <name val="Arial Rounded MT Bold"/>
      <family val="2"/>
    </font>
    <font>
      <vertAlign val="subscript"/>
      <sz val="12"/>
      <name val="Arial Rounded MT Bold"/>
      <family val="2"/>
    </font>
    <font>
      <sz val="12"/>
      <color indexed="12"/>
      <name val="Calibri"/>
      <family val="2"/>
      <charset val="204"/>
    </font>
    <font>
      <b/>
      <sz val="10"/>
      <color indexed="16"/>
      <name val="Arial"/>
      <family val="2"/>
      <charset val="204"/>
    </font>
    <font>
      <sz val="12"/>
      <color indexed="8"/>
      <name val="Arial Rounded MT Bold"/>
      <family val="2"/>
    </font>
    <font>
      <sz val="12"/>
      <color theme="1"/>
      <name val="Arial Rounded MT Bold"/>
      <family val="2"/>
    </font>
    <font>
      <sz val="16"/>
      <name val="Arial Rounded MT Bold"/>
      <family val="2"/>
    </font>
    <font>
      <i/>
      <sz val="12"/>
      <name val="Arial Rounded MT Bold"/>
      <family val="2"/>
    </font>
    <font>
      <i/>
      <vertAlign val="subscript"/>
      <sz val="12"/>
      <name val="Arial Rounded MT Bold"/>
      <family val="2"/>
    </font>
    <font>
      <b/>
      <sz val="12"/>
      <name val="Arial"/>
      <family val="2"/>
      <charset val="204"/>
    </font>
    <font>
      <sz val="12"/>
      <color indexed="10"/>
      <name val="Arial"/>
      <family val="2"/>
      <charset val="204"/>
    </font>
    <font>
      <sz val="14"/>
      <color indexed="8"/>
      <name val="Calibri"/>
      <family val="2"/>
    </font>
    <font>
      <i/>
      <sz val="14"/>
      <color indexed="8"/>
      <name val="Calibri"/>
      <family val="2"/>
      <charset val="204"/>
    </font>
    <font>
      <vertAlign val="subscript"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800000"/>
      </top>
      <bottom/>
      <diagonal/>
    </border>
    <border>
      <left style="thick">
        <color rgb="FF800000"/>
      </left>
      <right style="thick">
        <color rgb="FF800000"/>
      </right>
      <top style="thick">
        <color indexed="16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3" xfId="0" applyNumberFormat="1" applyFont="1" applyBorder="1"/>
    <xf numFmtId="0" fontId="3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3" xfId="0" applyFont="1" applyBorder="1"/>
    <xf numFmtId="0" fontId="3" fillId="0" borderId="3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2" fontId="1" fillId="0" borderId="0" xfId="0" applyNumberFormat="1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0" fillId="0" borderId="0" xfId="0" applyFont="1"/>
    <xf numFmtId="0" fontId="1" fillId="0" borderId="10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0" borderId="16" xfId="0" applyFont="1" applyBorder="1"/>
    <xf numFmtId="0" fontId="3" fillId="0" borderId="18" xfId="0" applyFont="1" applyBorder="1" applyAlignment="1">
      <alignment horizontal="center"/>
    </xf>
    <xf numFmtId="1" fontId="3" fillId="0" borderId="16" xfId="0" applyNumberFormat="1" applyFont="1" applyBorder="1" applyAlignment="1">
      <alignment horizontal="left" indent="1"/>
    </xf>
    <xf numFmtId="1" fontId="3" fillId="0" borderId="17" xfId="0" applyNumberFormat="1" applyFont="1" applyBorder="1" applyAlignment="1">
      <alignment horizontal="left" indent="1"/>
    </xf>
    <xf numFmtId="2" fontId="3" fillId="0" borderId="18" xfId="0" applyNumberFormat="1" applyFont="1" applyBorder="1" applyAlignment="1">
      <alignment horizontal="left" indent="1"/>
    </xf>
    <xf numFmtId="1" fontId="12" fillId="0" borderId="17" xfId="0" applyNumberFormat="1" applyFont="1" applyBorder="1" applyAlignment="1">
      <alignment horizontal="left" indent="1"/>
    </xf>
    <xf numFmtId="1" fontId="13" fillId="0" borderId="18" xfId="0" applyNumberFormat="1" applyFont="1" applyBorder="1" applyAlignment="1">
      <alignment horizontal="left" indent="1"/>
    </xf>
    <xf numFmtId="0" fontId="3" fillId="0" borderId="19" xfId="0" applyFont="1" applyBorder="1"/>
    <xf numFmtId="0" fontId="3" fillId="0" borderId="20" xfId="0" applyFont="1" applyBorder="1"/>
    <xf numFmtId="1" fontId="14" fillId="0" borderId="3" xfId="0" applyNumberFormat="1" applyFont="1" applyBorder="1" applyAlignment="1">
      <alignment horizontal="left" indent="1"/>
    </xf>
    <xf numFmtId="1" fontId="3" fillId="0" borderId="21" xfId="0" applyNumberFormat="1" applyFont="1" applyBorder="1" applyAlignment="1">
      <alignment horizontal="left" indent="1"/>
    </xf>
    <xf numFmtId="1" fontId="3" fillId="0" borderId="20" xfId="0" applyNumberFormat="1" applyFont="1" applyBorder="1" applyAlignment="1">
      <alignment horizontal="left" indent="1"/>
    </xf>
    <xf numFmtId="2" fontId="14" fillId="0" borderId="3" xfId="0" applyNumberFormat="1" applyFont="1" applyBorder="1" applyAlignment="1">
      <alignment horizontal="left" indent="1"/>
    </xf>
    <xf numFmtId="1" fontId="3" fillId="0" borderId="22" xfId="0" applyNumberFormat="1" applyFont="1" applyBorder="1" applyAlignment="1">
      <alignment horizontal="left" indent="1"/>
    </xf>
    <xf numFmtId="0" fontId="1" fillId="0" borderId="23" xfId="0" applyFont="1" applyBorder="1"/>
    <xf numFmtId="0" fontId="1" fillId="0" borderId="18" xfId="0" applyFont="1" applyBorder="1"/>
    <xf numFmtId="0" fontId="1" fillId="0" borderId="24" xfId="0" applyFont="1" applyBorder="1"/>
    <xf numFmtId="0" fontId="1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1" fillId="0" borderId="28" xfId="0" applyFont="1" applyBorder="1" applyAlignment="1">
      <alignment horizontal="right"/>
    </xf>
    <xf numFmtId="0" fontId="15" fillId="2" borderId="25" xfId="0" applyFont="1" applyFill="1" applyBorder="1" applyAlignment="1">
      <alignment shrinkToFit="1"/>
    </xf>
    <xf numFmtId="0" fontId="15" fillId="2" borderId="29" xfId="0" applyFont="1" applyFill="1" applyBorder="1" applyAlignment="1">
      <alignment shrinkToFit="1"/>
    </xf>
    <xf numFmtId="0" fontId="15" fillId="2" borderId="30" xfId="0" applyFont="1" applyFill="1" applyBorder="1" applyAlignment="1">
      <alignment shrinkToFit="1"/>
    </xf>
    <xf numFmtId="0" fontId="17" fillId="0" borderId="3" xfId="0" applyFont="1" applyBorder="1"/>
    <xf numFmtId="0" fontId="3" fillId="0" borderId="31" xfId="0" applyFont="1" applyBorder="1"/>
    <xf numFmtId="3" fontId="1" fillId="0" borderId="32" xfId="0" applyNumberFormat="1" applyFont="1" applyBorder="1"/>
    <xf numFmtId="1" fontId="1" fillId="0" borderId="33" xfId="0" applyNumberFormat="1" applyFont="1" applyBorder="1"/>
    <xf numFmtId="3" fontId="1" fillId="0" borderId="34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0" fontId="3" fillId="0" borderId="35" xfId="0" applyFont="1" applyBorder="1"/>
    <xf numFmtId="49" fontId="18" fillId="0" borderId="0" xfId="0" applyNumberFormat="1" applyFont="1" applyAlignment="1">
      <alignment wrapText="1"/>
    </xf>
    <xf numFmtId="0" fontId="3" fillId="0" borderId="36" xfId="0" applyFont="1" applyBorder="1"/>
    <xf numFmtId="0" fontId="1" fillId="0" borderId="37" xfId="0" applyFont="1" applyBorder="1"/>
    <xf numFmtId="0" fontId="19" fillId="0" borderId="0" xfId="0" applyFont="1"/>
    <xf numFmtId="0" fontId="20" fillId="0" borderId="0" xfId="0" applyFont="1"/>
    <xf numFmtId="4" fontId="1" fillId="0" borderId="3" xfId="0" applyNumberFormat="1" applyFont="1" applyBorder="1"/>
    <xf numFmtId="0" fontId="1" fillId="0" borderId="38" xfId="0" applyFont="1" applyBorder="1"/>
    <xf numFmtId="0" fontId="1" fillId="0" borderId="3" xfId="0" applyFont="1" applyBorder="1"/>
    <xf numFmtId="1" fontId="0" fillId="0" borderId="0" xfId="0" applyNumberFormat="1"/>
    <xf numFmtId="0" fontId="3" fillId="0" borderId="1" xfId="0" applyFont="1" applyBorder="1"/>
    <xf numFmtId="0" fontId="0" fillId="0" borderId="2" xfId="0" applyBorder="1"/>
    <xf numFmtId="0" fontId="2" fillId="2" borderId="11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39" xfId="0" applyBorder="1"/>
    <xf numFmtId="9" fontId="3" fillId="0" borderId="42" xfId="0" applyNumberFormat="1" applyFont="1" applyBorder="1"/>
    <xf numFmtId="0" fontId="22" fillId="0" borderId="40" xfId="0" applyFont="1" applyBorder="1"/>
    <xf numFmtId="9" fontId="22" fillId="0" borderId="4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915-3BB5-4A91-A1DF-70E4BFD00B6D}">
  <dimension ref="A1:M36"/>
  <sheetViews>
    <sheetView tabSelected="1" topLeftCell="A14" workbookViewId="0">
      <selection activeCell="G28" sqref="G28:L29"/>
    </sheetView>
  </sheetViews>
  <sheetFormatPr defaultRowHeight="15" x14ac:dyDescent="0.25"/>
  <cols>
    <col min="3" max="3" width="12.42578125" customWidth="1"/>
    <col min="4" max="4" width="9.7109375" bestFit="1" customWidth="1"/>
    <col min="6" max="6" width="12.140625" customWidth="1"/>
    <col min="7" max="7" width="12.7109375" bestFit="1" customWidth="1"/>
    <col min="8" max="8" width="11" customWidth="1"/>
    <col min="9" max="9" width="11.42578125" bestFit="1" customWidth="1"/>
    <col min="10" max="10" width="10.28515625" bestFit="1" customWidth="1"/>
    <col min="11" max="11" width="11.7109375" customWidth="1"/>
    <col min="12" max="12" width="9.7109375" bestFit="1" customWidth="1"/>
  </cols>
  <sheetData>
    <row r="1" spans="1:13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1"/>
      <c r="M1" s="1"/>
    </row>
    <row r="2" spans="1:13" ht="16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 thickTop="1" thickBot="1" x14ac:dyDescent="0.35">
      <c r="A3" s="1"/>
      <c r="B3" s="1"/>
      <c r="C3" s="64" t="s">
        <v>2</v>
      </c>
      <c r="D3" s="65"/>
      <c r="E3" s="3">
        <v>33000</v>
      </c>
      <c r="F3" s="4" t="s">
        <v>3</v>
      </c>
      <c r="G3" s="1"/>
      <c r="H3" s="5" t="s">
        <v>51</v>
      </c>
      <c r="I3" s="6"/>
      <c r="J3" s="1"/>
      <c r="K3" s="7" t="s">
        <v>4</v>
      </c>
      <c r="L3" s="8">
        <v>700</v>
      </c>
      <c r="M3" s="9"/>
    </row>
    <row r="4" spans="1:13" ht="19.5" thickTop="1" thickBot="1" x14ac:dyDescent="0.35">
      <c r="A4" s="1"/>
      <c r="B4" s="1"/>
      <c r="C4" s="10" t="s">
        <v>5</v>
      </c>
      <c r="D4" s="9"/>
      <c r="E4" s="9"/>
      <c r="F4" s="11"/>
      <c r="G4" s="1"/>
      <c r="H4" s="9"/>
      <c r="I4" s="1"/>
      <c r="J4" s="1"/>
      <c r="K4" s="7" t="s">
        <v>8</v>
      </c>
      <c r="L4" s="72">
        <v>0.1</v>
      </c>
      <c r="M4" s="9"/>
    </row>
    <row r="5" spans="1:13" ht="17.25" thickTop="1" thickBot="1" x14ac:dyDescent="0.3">
      <c r="A5" s="1"/>
      <c r="B5" s="1"/>
      <c r="C5" s="10" t="s">
        <v>48</v>
      </c>
      <c r="D5" s="9"/>
      <c r="E5" s="8">
        <v>0.15</v>
      </c>
      <c r="F5" s="11"/>
      <c r="G5" s="1"/>
      <c r="H5" s="1"/>
      <c r="I5" s="1"/>
      <c r="J5" s="1"/>
      <c r="K5" s="73" t="s">
        <v>54</v>
      </c>
      <c r="L5" s="74">
        <v>0.05</v>
      </c>
      <c r="M5" s="9"/>
    </row>
    <row r="6" spans="1:13" ht="16.5" thickTop="1" x14ac:dyDescent="0.25">
      <c r="A6" s="1"/>
      <c r="B6" s="1"/>
      <c r="C6" s="10" t="s">
        <v>49</v>
      </c>
      <c r="D6" s="9"/>
      <c r="E6" s="12">
        <v>0.01</v>
      </c>
      <c r="F6" s="11"/>
      <c r="G6" s="1"/>
      <c r="H6" s="1"/>
      <c r="I6" s="1"/>
      <c r="J6" s="1"/>
      <c r="K6" s="71"/>
      <c r="M6" s="9"/>
    </row>
    <row r="7" spans="1:13" ht="15.75" x14ac:dyDescent="0.25">
      <c r="A7" s="1"/>
      <c r="B7" s="1"/>
      <c r="C7" s="10" t="s">
        <v>50</v>
      </c>
      <c r="D7" s="9"/>
      <c r="E7" s="12">
        <v>0</v>
      </c>
      <c r="F7" s="11"/>
      <c r="G7" s="1"/>
      <c r="H7" s="1"/>
      <c r="I7" s="1"/>
      <c r="J7" s="1"/>
      <c r="K7" s="1"/>
      <c r="L7" s="1"/>
      <c r="M7" s="1"/>
    </row>
    <row r="8" spans="1:13" ht="15.75" x14ac:dyDescent="0.25">
      <c r="A8" s="1"/>
      <c r="B8" s="1"/>
      <c r="C8" s="10" t="s">
        <v>10</v>
      </c>
      <c r="D8" s="9"/>
      <c r="E8" s="9" t="s">
        <v>11</v>
      </c>
      <c r="F8" s="11"/>
      <c r="G8" s="1"/>
      <c r="H8" s="1"/>
      <c r="I8" s="1"/>
      <c r="J8" s="1"/>
      <c r="K8" s="1"/>
      <c r="L8" s="1"/>
      <c r="M8" s="1"/>
    </row>
    <row r="9" spans="1:13" ht="15.75" x14ac:dyDescent="0.25">
      <c r="A9" s="1"/>
      <c r="B9" s="1"/>
      <c r="C9" s="10"/>
      <c r="D9" s="9"/>
      <c r="E9" s="9"/>
      <c r="F9" s="11"/>
      <c r="G9" s="1"/>
      <c r="H9" s="1"/>
      <c r="I9" s="1"/>
      <c r="J9" s="1"/>
      <c r="K9" s="1"/>
      <c r="L9" s="1"/>
      <c r="M9" s="1"/>
    </row>
    <row r="10" spans="1:13" ht="16.5" thickBot="1" x14ac:dyDescent="0.3">
      <c r="A10" s="1"/>
      <c r="B10" s="1"/>
      <c r="C10" s="13" t="s">
        <v>12</v>
      </c>
      <c r="D10" s="14"/>
      <c r="E10" s="14"/>
      <c r="F10" s="15"/>
      <c r="G10" s="1"/>
      <c r="H10" s="1"/>
      <c r="I10" s="1"/>
      <c r="J10" s="1"/>
      <c r="K10" s="1"/>
      <c r="L10" s="1"/>
      <c r="M10" s="1"/>
    </row>
    <row r="11" spans="1:13" ht="16.5" thickTop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</row>
    <row r="14" spans="1:13" ht="15.75" x14ac:dyDescent="0.25">
      <c r="A14" s="1"/>
      <c r="B14" s="1"/>
      <c r="G14" s="1"/>
      <c r="H14" s="2" t="s">
        <v>13</v>
      </c>
      <c r="I14" s="1"/>
      <c r="J14" s="1"/>
      <c r="K14" s="1"/>
      <c r="L14" s="1"/>
      <c r="M14" s="1"/>
    </row>
    <row r="15" spans="1:13" ht="15.75" x14ac:dyDescent="0.25">
      <c r="A15" s="1"/>
      <c r="B15" s="1"/>
      <c r="G15" s="1"/>
      <c r="H15" s="1"/>
      <c r="I15" s="1"/>
      <c r="J15" s="1"/>
      <c r="K15" s="1"/>
      <c r="L15" s="1"/>
      <c r="M15" s="1"/>
    </row>
    <row r="16" spans="1:13" ht="16.5" thickBot="1" x14ac:dyDescent="0.3">
      <c r="A16" s="1"/>
      <c r="B16" s="1"/>
      <c r="G16" s="17">
        <v>22.4</v>
      </c>
      <c r="H16" s="1"/>
      <c r="I16" s="1"/>
      <c r="J16" s="1"/>
      <c r="K16" s="1"/>
      <c r="L16" s="12"/>
      <c r="M16" s="1"/>
    </row>
    <row r="17" spans="1:13" ht="16.5" thickBot="1" x14ac:dyDescent="0.3">
      <c r="A17" s="1"/>
      <c r="B17" s="1"/>
      <c r="C17" s="66" t="s">
        <v>14</v>
      </c>
      <c r="D17" s="67"/>
      <c r="E17" s="67"/>
      <c r="F17" s="68"/>
      <c r="G17" s="66" t="s">
        <v>15</v>
      </c>
      <c r="H17" s="67"/>
      <c r="I17" s="67"/>
      <c r="J17" s="68"/>
      <c r="K17" s="66" t="s">
        <v>16</v>
      </c>
      <c r="L17" s="69"/>
      <c r="M17" s="70"/>
    </row>
    <row r="18" spans="1:13" ht="15.75" x14ac:dyDescent="0.25">
      <c r="A18" s="18" t="s">
        <v>17</v>
      </c>
      <c r="B18" s="19" t="s">
        <v>18</v>
      </c>
      <c r="C18" s="20" t="s">
        <v>19</v>
      </c>
      <c r="D18" s="21" t="s">
        <v>20</v>
      </c>
      <c r="E18" s="21" t="s">
        <v>21</v>
      </c>
      <c r="F18" s="22" t="s">
        <v>22</v>
      </c>
      <c r="G18" s="20" t="s">
        <v>23</v>
      </c>
      <c r="H18" s="21" t="s">
        <v>24</v>
      </c>
      <c r="I18" s="21" t="s">
        <v>25</v>
      </c>
      <c r="J18" s="22" t="s">
        <v>26</v>
      </c>
      <c r="K18" s="20" t="s">
        <v>27</v>
      </c>
      <c r="L18" s="21" t="s">
        <v>28</v>
      </c>
      <c r="M18" s="22" t="s">
        <v>29</v>
      </c>
    </row>
    <row r="19" spans="1:13" ht="18" x14ac:dyDescent="0.3">
      <c r="A19" s="23" t="s">
        <v>9</v>
      </c>
      <c r="B19" s="24">
        <v>17</v>
      </c>
      <c r="C19" s="25">
        <f>E19*B19</f>
        <v>3756.6964285714284</v>
      </c>
      <c r="D19" s="26">
        <f>$D$23*F19</f>
        <v>4950</v>
      </c>
      <c r="E19" s="26">
        <f>D19/$G$16</f>
        <v>220.98214285714286</v>
      </c>
      <c r="F19" s="27">
        <f>E5</f>
        <v>0.15</v>
      </c>
      <c r="G19" s="25">
        <f>I19*B19</f>
        <v>265.62500000000006</v>
      </c>
      <c r="H19" s="26">
        <f>D19+L19</f>
        <v>350</v>
      </c>
      <c r="I19" s="26">
        <f>H19/$G$16</f>
        <v>15.625000000000002</v>
      </c>
      <c r="J19" s="27">
        <f>H19/$H$23</f>
        <v>9.3085106382978719E-3</v>
      </c>
      <c r="K19" s="25">
        <f>M19*B19</f>
        <v>-3491.0714285714284</v>
      </c>
      <c r="L19" s="26">
        <f>-L21/3*2</f>
        <v>-4600</v>
      </c>
      <c r="M19" s="29">
        <f>L19/$G$16</f>
        <v>-205.35714285714286</v>
      </c>
    </row>
    <row r="20" spans="1:13" ht="18" x14ac:dyDescent="0.3">
      <c r="A20" s="23" t="s">
        <v>6</v>
      </c>
      <c r="B20" s="24">
        <v>28</v>
      </c>
      <c r="C20" s="25">
        <f>E20*B20</f>
        <v>412.5</v>
      </c>
      <c r="D20" s="26">
        <f>$D$23*F20</f>
        <v>330</v>
      </c>
      <c r="E20" s="26">
        <f>D20/$G$16</f>
        <v>14.732142857142858</v>
      </c>
      <c r="F20" s="27">
        <v>0.01</v>
      </c>
      <c r="G20" s="25">
        <f>I20*B20</f>
        <v>3287.5</v>
      </c>
      <c r="H20" s="26">
        <f>D20+L20</f>
        <v>2630</v>
      </c>
      <c r="I20" s="26">
        <f>H20/$G$16</f>
        <v>117.41071428571429</v>
      </c>
      <c r="J20" s="27">
        <f>H20/$H$23</f>
        <v>6.9946808510638295E-2</v>
      </c>
      <c r="K20" s="25">
        <f>M20*B20</f>
        <v>2875</v>
      </c>
      <c r="L20" s="26">
        <f>L21/3</f>
        <v>2300</v>
      </c>
      <c r="M20" s="29">
        <f>L20/$G$16</f>
        <v>102.67857142857143</v>
      </c>
    </row>
    <row r="21" spans="1:13" ht="18" x14ac:dyDescent="0.3">
      <c r="A21" s="23" t="s">
        <v>7</v>
      </c>
      <c r="B21" s="24">
        <v>2</v>
      </c>
      <c r="C21" s="25">
        <f>E21*B21</f>
        <v>0</v>
      </c>
      <c r="D21" s="26">
        <f>$D$23*F21</f>
        <v>0</v>
      </c>
      <c r="E21" s="26">
        <f>D21/$G$16</f>
        <v>0</v>
      </c>
      <c r="F21" s="27">
        <v>0</v>
      </c>
      <c r="G21" s="25">
        <f>I21*B21</f>
        <v>616.07142857142856</v>
      </c>
      <c r="H21" s="26">
        <f>D21+L21</f>
        <v>6900</v>
      </c>
      <c r="I21" s="26">
        <f>H21/$G$16</f>
        <v>308.03571428571428</v>
      </c>
      <c r="J21" s="27">
        <f>H21/$H$23</f>
        <v>0.18351063829787234</v>
      </c>
      <c r="K21" s="25">
        <f>M21*B21</f>
        <v>616.07142857142856</v>
      </c>
      <c r="L21" s="28">
        <v>6900</v>
      </c>
      <c r="M21" s="29">
        <f>L21/$G$16</f>
        <v>308.03571428571428</v>
      </c>
    </row>
    <row r="22" spans="1:13" ht="18.75" thickBot="1" x14ac:dyDescent="0.35">
      <c r="A22" s="23" t="s">
        <v>30</v>
      </c>
      <c r="B22" s="24">
        <v>16</v>
      </c>
      <c r="C22" s="25">
        <f>E22*B22</f>
        <v>19800</v>
      </c>
      <c r="D22" s="26">
        <f>$D$23*F22</f>
        <v>27720</v>
      </c>
      <c r="E22" s="26">
        <f>D22/$G$16</f>
        <v>1237.5</v>
      </c>
      <c r="F22" s="27">
        <f>1-F19-F20-F21</f>
        <v>0.84</v>
      </c>
      <c r="G22" s="25">
        <f>I22*B22</f>
        <v>19800</v>
      </c>
      <c r="H22" s="26">
        <f>D22+L22</f>
        <v>27720</v>
      </c>
      <c r="I22" s="26">
        <f>H22/$G$16</f>
        <v>1237.5</v>
      </c>
      <c r="J22" s="27">
        <f>H22/$H$23</f>
        <v>0.73723404255319147</v>
      </c>
      <c r="K22" s="25">
        <f>M22*B22</f>
        <v>0</v>
      </c>
      <c r="L22" s="26">
        <v>0</v>
      </c>
      <c r="M22" s="29">
        <f>L22/$G$16</f>
        <v>0</v>
      </c>
    </row>
    <row r="23" spans="1:13" ht="21" thickTop="1" thickBot="1" x14ac:dyDescent="0.3">
      <c r="A23" s="30" t="s">
        <v>31</v>
      </c>
      <c r="B23" s="31"/>
      <c r="C23" s="32">
        <f>SUM(C19:C22)</f>
        <v>23969.196428571428</v>
      </c>
      <c r="D23" s="33">
        <f>E3</f>
        <v>33000</v>
      </c>
      <c r="E23" s="34">
        <f t="shared" ref="E23:M23" si="0">SUM(E19:E22)</f>
        <v>1473.2142857142858</v>
      </c>
      <c r="F23" s="35">
        <f t="shared" si="0"/>
        <v>1</v>
      </c>
      <c r="G23" s="32">
        <f t="shared" si="0"/>
        <v>23969.196428571428</v>
      </c>
      <c r="H23" s="33">
        <f t="shared" si="0"/>
        <v>37600</v>
      </c>
      <c r="I23" s="34">
        <f t="shared" si="0"/>
        <v>1678.5714285714284</v>
      </c>
      <c r="J23" s="35">
        <f t="shared" si="0"/>
        <v>1</v>
      </c>
      <c r="K23" s="32">
        <f t="shared" si="0"/>
        <v>1.1368683772161603E-13</v>
      </c>
      <c r="L23" s="33">
        <f t="shared" si="0"/>
        <v>4600</v>
      </c>
      <c r="M23" s="36">
        <f t="shared" si="0"/>
        <v>205.35714285714283</v>
      </c>
    </row>
    <row r="24" spans="1:13" ht="15.75" x14ac:dyDescent="0.25">
      <c r="A24" s="1"/>
      <c r="B24" s="1"/>
      <c r="C24" s="1"/>
      <c r="D24" s="1"/>
      <c r="E24" s="12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6.5" thickBot="1" x14ac:dyDescent="0.3">
      <c r="A27" s="1"/>
      <c r="B27" s="1" t="s">
        <v>32</v>
      </c>
      <c r="C27" s="1" t="s">
        <v>33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9.5" thickTop="1" thickBot="1" x14ac:dyDescent="0.35">
      <c r="A28" s="40" t="s">
        <v>34</v>
      </c>
      <c r="B28" s="41" t="s">
        <v>35</v>
      </c>
      <c r="C28" s="42" t="s">
        <v>36</v>
      </c>
      <c r="D28" s="1"/>
      <c r="E28" s="1"/>
      <c r="F28" s="43" t="s">
        <v>53</v>
      </c>
      <c r="G28" s="44" t="s">
        <v>37</v>
      </c>
      <c r="H28" s="45" t="s">
        <v>38</v>
      </c>
      <c r="I28" s="44" t="s">
        <v>39</v>
      </c>
      <c r="J28" s="44" t="s">
        <v>40</v>
      </c>
      <c r="K28" s="46" t="s">
        <v>41</v>
      </c>
      <c r="L28" s="47" t="s">
        <v>42</v>
      </c>
      <c r="M28" s="1"/>
    </row>
    <row r="29" spans="1:13" ht="17.25" thickTop="1" thickBot="1" x14ac:dyDescent="0.3">
      <c r="A29" s="48" t="s">
        <v>48</v>
      </c>
      <c r="B29" s="37">
        <v>35.630000000000003</v>
      </c>
      <c r="C29" s="38">
        <v>-45.94</v>
      </c>
      <c r="D29" s="1"/>
      <c r="E29" s="1"/>
      <c r="F29" s="1"/>
      <c r="G29" s="49">
        <f>E23*1000/3600*B33*L3</f>
        <v>10204705.729166666</v>
      </c>
      <c r="H29" s="50">
        <f>M21*1000/3600*C36*1000</f>
        <v>-2620585.3174603172</v>
      </c>
      <c r="I29" s="49">
        <f>-H29*L4</f>
        <v>262058.53174603172</v>
      </c>
      <c r="J29" s="49">
        <f>-G29*L5</f>
        <v>-510235.28645833331</v>
      </c>
      <c r="K29" s="51">
        <f>SUM(G29:J29)</f>
        <v>7335943.6569940476</v>
      </c>
      <c r="L29" s="52">
        <f>G29+H29+I29+J29-K29</f>
        <v>0</v>
      </c>
      <c r="M29" s="53"/>
    </row>
    <row r="30" spans="1:13" ht="15.75" x14ac:dyDescent="0.25">
      <c r="A30" s="54" t="s">
        <v>49</v>
      </c>
      <c r="B30" s="37">
        <v>29.12</v>
      </c>
      <c r="C30" s="38">
        <v>0</v>
      </c>
      <c r="D30" s="1"/>
      <c r="E30" s="1"/>
      <c r="F30" s="55"/>
      <c r="G30" s="1"/>
      <c r="H30" s="1"/>
      <c r="I30" s="1"/>
      <c r="J30" s="1"/>
      <c r="K30" s="1"/>
      <c r="L30" s="1"/>
      <c r="M30" s="1"/>
    </row>
    <row r="31" spans="1:13" ht="18.75" x14ac:dyDescent="0.3">
      <c r="A31" s="48" t="s">
        <v>50</v>
      </c>
      <c r="B31" s="37">
        <v>28.83</v>
      </c>
      <c r="C31" s="38">
        <v>0</v>
      </c>
      <c r="D31" s="1"/>
      <c r="E31" s="1"/>
      <c r="F31" s="1"/>
      <c r="G31" s="1"/>
      <c r="H31" s="1"/>
      <c r="I31" s="1"/>
      <c r="J31" s="58"/>
      <c r="K31" s="59"/>
      <c r="L31" s="1"/>
      <c r="M31" s="1"/>
    </row>
    <row r="32" spans="1:13" ht="19.5" thickBot="1" x14ac:dyDescent="0.35">
      <c r="A32" s="56" t="s">
        <v>30</v>
      </c>
      <c r="B32" s="57">
        <v>35.700000000000003</v>
      </c>
      <c r="C32" s="38"/>
      <c r="D32" s="1"/>
      <c r="E32" s="1"/>
      <c r="F32" s="1"/>
      <c r="G32" s="55"/>
      <c r="H32" s="1"/>
      <c r="I32" s="1"/>
      <c r="J32" s="58"/>
      <c r="K32" s="59"/>
      <c r="L32" s="59"/>
      <c r="M32" s="59"/>
    </row>
    <row r="33" spans="1:13" ht="20.25" thickTop="1" thickBot="1" x14ac:dyDescent="0.35">
      <c r="A33" s="8" t="s">
        <v>43</v>
      </c>
      <c r="B33" s="60">
        <f>B29*F19+B30*F20+B31*F21+B32*F22</f>
        <v>35.623699999999999</v>
      </c>
      <c r="C33" s="39"/>
      <c r="D33" s="1"/>
      <c r="E33" s="1"/>
      <c r="F33" s="1"/>
      <c r="I33" s="1"/>
      <c r="J33" s="1"/>
      <c r="K33" s="1"/>
      <c r="L33" s="59"/>
      <c r="M33" s="59"/>
    </row>
    <row r="34" spans="1:13" ht="19.5" thickTop="1" thickBot="1" x14ac:dyDescent="0.35">
      <c r="A34" s="8" t="s">
        <v>44</v>
      </c>
      <c r="B34" s="60">
        <f>B29*J19+B30*J20+B31*J21+B32*J22</f>
        <v>33.97838031914894</v>
      </c>
      <c r="C34" s="61"/>
      <c r="D34" s="1"/>
      <c r="E34" s="1"/>
      <c r="F34" s="1"/>
      <c r="G34" s="63"/>
      <c r="L34" s="1"/>
      <c r="M34" s="1"/>
    </row>
    <row r="35" spans="1:13" ht="19.5" thickTop="1" thickBot="1" x14ac:dyDescent="0.35">
      <c r="A35" s="1"/>
      <c r="B35" s="8" t="s">
        <v>45</v>
      </c>
      <c r="C35" s="62">
        <f>3*C31+1*C30-2*C29</f>
        <v>91.88</v>
      </c>
      <c r="D35" s="1" t="s">
        <v>46</v>
      </c>
      <c r="E35" s="1"/>
      <c r="F35" s="1"/>
    </row>
    <row r="36" spans="1:13" ht="20.25" thickTop="1" x14ac:dyDescent="0.35">
      <c r="A36" s="1"/>
      <c r="B36" s="1" t="s">
        <v>47</v>
      </c>
      <c r="C36" s="1">
        <f>-C35/3</f>
        <v>-30.626666666666665</v>
      </c>
      <c r="D36" s="1" t="s">
        <v>52</v>
      </c>
      <c r="E36" s="1"/>
      <c r="F36" s="1"/>
    </row>
  </sheetData>
  <mergeCells count="4">
    <mergeCell ref="C3:D3"/>
    <mergeCell ref="C17:F17"/>
    <mergeCell ref="G17:J17"/>
    <mergeCell ref="K17:M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2024-12-20T02:32:43Z</dcterms:modified>
</cp:coreProperties>
</file>