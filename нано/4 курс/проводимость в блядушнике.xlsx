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нано\4 курс\"/>
    </mc:Choice>
  </mc:AlternateContent>
  <xr:revisionPtr revIDLastSave="0" documentId="13_ncr:1_{273F905A-3BCD-4D30-827F-968E4B802679}" xr6:coauthVersionLast="47" xr6:coauthVersionMax="47" xr10:uidLastSave="{00000000-0000-0000-0000-000000000000}"/>
  <bookViews>
    <workbookView xWindow="-120" yWindow="480" windowWidth="29040" windowHeight="15840" xr2:uid="{BC6D0F16-6F1F-4F1D-B75D-BBF6ADFCA37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9" i="1"/>
  <c r="D26" i="1"/>
  <c r="D25" i="1"/>
  <c r="D23" i="1"/>
  <c r="D22" i="1"/>
  <c r="D20" i="1"/>
  <c r="D19" i="1"/>
  <c r="D21" i="1"/>
  <c r="E21" i="1"/>
  <c r="D24" i="1"/>
  <c r="D18" i="1"/>
  <c r="C18" i="1"/>
  <c r="C21" i="1"/>
  <c r="C24" i="1"/>
  <c r="E24" i="1" l="1"/>
  <c r="F24" i="1" s="1"/>
  <c r="G24" i="1" a="1"/>
  <c r="G24" i="1" s="1"/>
  <c r="H24" i="1" s="1"/>
  <c r="F21" i="1"/>
  <c r="G18" i="1" a="1"/>
  <c r="G18" i="1" s="1"/>
  <c r="H18" i="1" s="1"/>
  <c r="C11" i="1"/>
  <c r="D11" i="1" s="1"/>
  <c r="C10" i="1"/>
  <c r="D10" i="1" s="1"/>
  <c r="C9" i="1"/>
  <c r="D9" i="1" s="1"/>
  <c r="C6" i="1"/>
  <c r="D6" i="1" s="1"/>
  <c r="C7" i="1"/>
  <c r="C8" i="1"/>
  <c r="D7" i="1"/>
  <c r="D3" i="1"/>
  <c r="D4" i="1"/>
  <c r="D5" i="1"/>
  <c r="D8" i="1"/>
  <c r="D2" i="1"/>
  <c r="C5" i="1"/>
  <c r="C4" i="1"/>
  <c r="C3" i="1"/>
  <c r="E18" i="1" l="1"/>
  <c r="F18" i="1" s="1"/>
  <c r="G21" i="1" a="1"/>
  <c r="G21" i="1" s="1"/>
  <c r="H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<sst xmlns="http://schemas.openxmlformats.org/spreadsheetml/2006/main" count="25" uniqueCount="22">
  <si>
    <t>Образец</t>
  </si>
  <si>
    <t>Сила тока, А</t>
  </si>
  <si>
    <t>Сопротивление, Ом</t>
  </si>
  <si>
    <t>Электропроводность, См</t>
  </si>
  <si>
    <t>Исх.</t>
  </si>
  <si>
    <t>100 циклов</t>
  </si>
  <si>
    <t>200 циклов</t>
  </si>
  <si>
    <t>300 циклов</t>
  </si>
  <si>
    <t>S</t>
  </si>
  <si>
    <r>
      <t>E</t>
    </r>
    <r>
      <rPr>
        <vertAlign val="subscript"/>
        <sz val="12"/>
        <color theme="1"/>
        <rFont val="Times New Roman"/>
        <family val="1"/>
        <charset val="204"/>
      </rPr>
      <t>0,95</t>
    </r>
  </si>
  <si>
    <r>
      <t>R±E</t>
    </r>
    <r>
      <rPr>
        <vertAlign val="subscript"/>
        <sz val="12"/>
        <color theme="1"/>
        <rFont val="Times New Roman"/>
        <family val="1"/>
        <charset val="204"/>
      </rPr>
      <t>0,95</t>
    </r>
  </si>
  <si>
    <t>100 ц</t>
  </si>
  <si>
    <t>200 ц</t>
  </si>
  <si>
    <r>
      <rPr>
        <sz val="12"/>
        <color theme="1"/>
        <rFont val="Aptos Narrow"/>
        <family val="2"/>
      </rPr>
      <t>σ</t>
    </r>
    <r>
      <rPr>
        <vertAlign val="subscript"/>
        <sz val="12"/>
        <color theme="1"/>
        <rFont val="Times New Roman"/>
        <family val="1"/>
        <charset val="204"/>
      </rPr>
      <t>i</t>
    </r>
  </si>
  <si>
    <t>σ</t>
  </si>
  <si>
    <t>∆σi</t>
  </si>
  <si>
    <t>∆σ</t>
  </si>
  <si>
    <r>
      <t>∆σ</t>
    </r>
    <r>
      <rPr>
        <sz val="12"/>
        <color theme="1"/>
        <rFont val="Times New Roman"/>
        <family val="1"/>
        <charset val="204"/>
      </rPr>
      <t>/σ∙100%</t>
    </r>
  </si>
  <si>
    <t>См</t>
  </si>
  <si>
    <r>
      <rPr>
        <sz val="11"/>
        <color theme="1"/>
        <rFont val="Aptos Narrow"/>
        <family val="2"/>
      </rPr>
      <t>ε</t>
    </r>
    <r>
      <rPr>
        <sz val="12.65"/>
        <color theme="1"/>
        <rFont val="Aptos Narrow"/>
        <family val="2"/>
        <charset val="204"/>
      </rPr>
      <t>1</t>
    </r>
  </si>
  <si>
    <r>
      <rPr>
        <sz val="11"/>
        <color theme="1"/>
        <rFont val="Aptos Narrow"/>
        <family val="2"/>
      </rPr>
      <t>ε</t>
    </r>
    <r>
      <rPr>
        <sz val="12.65"/>
        <color theme="1"/>
        <rFont val="Aptos Narrow"/>
        <family val="2"/>
        <charset val="204"/>
      </rPr>
      <t>2</t>
    </r>
  </si>
  <si>
    <t>ε3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</si>
</sst>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E+00"/>
  </numFmts>
  <fonts count="8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2"/>
      <color theme="1"/>
      <name val="Arial"/>
      <family val="2"/>
      <charset val="204"/>
    </font>
    <font>
      <sz val="12"/>
      <color theme="1"/>
      <name val="Aptos Narrow"/>
      <family val="2"/>
    </font>
    <font>
      <sz val="12"/>
      <color theme="1"/>
      <name val="Times New Roman"/>
      <family val="2"/>
      <charset val="204"/>
    </font>
    <font>
      <sz val="11"/>
      <color theme="1"/>
      <name val="Aptos Narrow"/>
      <family val="2"/>
    </font>
    <font>
      <sz val="12.65"/>
      <color theme="1"/>
      <name val="Aptos Narrow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1" fontId="1" fillId="0" borderId="4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1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6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AA99-0189-40CB-B5CE-8BA06F065470}">
  <dimension ref="A1:I31"/>
  <sheetViews>
    <sheetView tabSelected="1" topLeftCell="A7" zoomScale="115" zoomScaleNormal="115" workbookViewId="0">
      <selection activeCell="D18" sqref="D18:D26"/>
    </sheetView>
  </sheetViews>
  <sheetFormatPr defaultRowHeight="15" x14ac:dyDescent="0.25"/>
  <cols>
    <col min="3" max="3" width="10" customWidth="1"/>
    <col min="4" max="4" width="12.85546875" bestFit="1" customWidth="1"/>
    <col min="5" max="5" width="12" customWidth="1"/>
    <col min="6" max="6" width="11.7109375" customWidth="1"/>
    <col min="7" max="8" width="12.85546875" bestFit="1" customWidth="1"/>
    <col min="11" max="11" width="12" bestFit="1" customWidth="1"/>
    <col min="14" max="14" width="11" bestFit="1" customWidth="1"/>
    <col min="15" max="15" width="9.85546875" bestFit="1" customWidth="1"/>
    <col min="16" max="16" width="10.7109375" bestFit="1" customWidth="1"/>
    <col min="17" max="17" width="9.85546875" bestFit="1" customWidth="1"/>
    <col min="19" max="19" width="12.140625" bestFit="1" customWidth="1"/>
    <col min="20" max="20" width="13.42578125" bestFit="1" customWidth="1"/>
  </cols>
  <sheetData>
    <row r="1" spans="1:9" ht="48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9" ht="16.5" thickBot="1" x14ac:dyDescent="0.3">
      <c r="A2" s="3" t="s">
        <v>4</v>
      </c>
      <c r="B2" s="8">
        <v>13</v>
      </c>
      <c r="C2" s="4"/>
      <c r="D2" s="5" t="e">
        <f>1/C2</f>
        <v>#DIV/0!</v>
      </c>
    </row>
    <row r="3" spans="1:9" ht="16.5" thickBot="1" x14ac:dyDescent="0.3">
      <c r="A3" s="8" t="s">
        <v>5</v>
      </c>
      <c r="B3" s="9"/>
      <c r="C3" s="5">
        <f>2.2*10^11</f>
        <v>220000000000.00003</v>
      </c>
      <c r="D3" s="5">
        <f t="shared" ref="D3:D11" si="0">1/C3</f>
        <v>4.5454545454545452E-12</v>
      </c>
    </row>
    <row r="4" spans="1:9" ht="16.5" thickBot="1" x14ac:dyDescent="0.3">
      <c r="A4" s="9"/>
      <c r="B4" s="9"/>
      <c r="C4" s="4">
        <f>3*10^11</f>
        <v>300000000000</v>
      </c>
      <c r="D4" s="5">
        <f t="shared" si="0"/>
        <v>3.3333333333333331E-12</v>
      </c>
    </row>
    <row r="5" spans="1:9" ht="16.5" thickBot="1" x14ac:dyDescent="0.3">
      <c r="A5" s="10"/>
      <c r="B5" s="9"/>
      <c r="C5" s="4">
        <f>3.2*10^11</f>
        <v>320000000000</v>
      </c>
      <c r="D5" s="5">
        <f t="shared" si="0"/>
        <v>3.1250000000000001E-12</v>
      </c>
    </row>
    <row r="6" spans="1:9" ht="16.5" thickBot="1" x14ac:dyDescent="0.3">
      <c r="A6" s="8" t="s">
        <v>6</v>
      </c>
      <c r="B6" s="9"/>
      <c r="C6" s="6">
        <f>7.3*10^10</f>
        <v>73000000000</v>
      </c>
      <c r="D6" s="5">
        <f t="shared" si="0"/>
        <v>1.3698630136986301E-11</v>
      </c>
    </row>
    <row r="7" spans="1:9" ht="16.5" thickBot="1" x14ac:dyDescent="0.3">
      <c r="A7" s="9"/>
      <c r="B7" s="9"/>
      <c r="C7" s="4">
        <f>8.1*10^10</f>
        <v>81000000000</v>
      </c>
      <c r="D7" s="5">
        <f t="shared" si="0"/>
        <v>1.2345679012345679E-11</v>
      </c>
    </row>
    <row r="8" spans="1:9" ht="16.5" thickBot="1" x14ac:dyDescent="0.3">
      <c r="A8" s="10"/>
      <c r="B8" s="9"/>
      <c r="C8" s="4">
        <f>8.3*10^10</f>
        <v>83000000000</v>
      </c>
      <c r="D8" s="5">
        <f t="shared" si="0"/>
        <v>1.2048192771084338E-11</v>
      </c>
    </row>
    <row r="9" spans="1:9" ht="16.5" thickBot="1" x14ac:dyDescent="0.3">
      <c r="A9" s="8" t="s">
        <v>7</v>
      </c>
      <c r="B9" s="9"/>
      <c r="C9" s="4">
        <f>4.3*10^9</f>
        <v>4300000000</v>
      </c>
      <c r="D9" s="5">
        <f t="shared" si="0"/>
        <v>2.3255813953488372E-10</v>
      </c>
    </row>
    <row r="10" spans="1:9" ht="16.5" thickBot="1" x14ac:dyDescent="0.3">
      <c r="A10" s="9"/>
      <c r="B10" s="9"/>
      <c r="C10" s="4">
        <f>4.7*10^9</f>
        <v>4700000000</v>
      </c>
      <c r="D10" s="5">
        <f t="shared" si="0"/>
        <v>2.127659574468085E-10</v>
      </c>
    </row>
    <row r="11" spans="1:9" ht="16.5" thickBot="1" x14ac:dyDescent="0.3">
      <c r="A11" s="10"/>
      <c r="B11" s="10"/>
      <c r="C11" s="4">
        <f>4.5*10^9</f>
        <v>4500000000</v>
      </c>
      <c r="D11" s="5">
        <f t="shared" si="0"/>
        <v>2.2222222222222221E-10</v>
      </c>
    </row>
    <row r="14" spans="1:9" ht="15.75" thickBot="1" x14ac:dyDescent="0.3"/>
    <row r="15" spans="1:9" ht="15" customHeight="1" x14ac:dyDescent="0.25">
      <c r="A15" s="8" t="s">
        <v>0</v>
      </c>
      <c r="B15" s="18" t="s">
        <v>13</v>
      </c>
      <c r="C15" s="8" t="s">
        <v>14</v>
      </c>
      <c r="D15" s="16" t="s">
        <v>15</v>
      </c>
      <c r="E15" s="16" t="s">
        <v>16</v>
      </c>
      <c r="F15" s="11" t="s">
        <v>17</v>
      </c>
      <c r="G15" s="8" t="s">
        <v>8</v>
      </c>
      <c r="H15" s="8" t="s">
        <v>9</v>
      </c>
      <c r="I15" s="8" t="s">
        <v>10</v>
      </c>
    </row>
    <row r="16" spans="1:9" ht="15.75" customHeight="1" thickBot="1" x14ac:dyDescent="0.3">
      <c r="A16" s="10"/>
      <c r="B16" s="10"/>
      <c r="C16" s="10"/>
      <c r="D16" s="17"/>
      <c r="E16" s="17"/>
      <c r="F16" s="12"/>
      <c r="G16" s="10"/>
      <c r="H16" s="10"/>
      <c r="I16" s="10"/>
    </row>
    <row r="17" spans="1:9" ht="16.5" thickBot="1" x14ac:dyDescent="0.3">
      <c r="A17" s="3"/>
      <c r="B17" s="13" t="s">
        <v>18</v>
      </c>
      <c r="C17" s="14"/>
      <c r="D17" s="14"/>
      <c r="E17" s="15"/>
      <c r="F17" s="4"/>
      <c r="G17" s="4"/>
      <c r="H17" s="4"/>
      <c r="I17" s="4" t="s">
        <v>18</v>
      </c>
    </row>
    <row r="18" spans="1:9" ht="16.5" thickBot="1" x14ac:dyDescent="0.3">
      <c r="A18" s="8" t="s">
        <v>11</v>
      </c>
      <c r="B18" s="5">
        <v>4.5454545454545452E-12</v>
      </c>
      <c r="C18" s="7">
        <f>SUM(B18:B20)/3</f>
        <v>3.6679292929292929E-12</v>
      </c>
      <c r="D18" s="5">
        <f>ABS(B18-C18)</f>
        <v>8.7752525252525224E-13</v>
      </c>
      <c r="E18" s="19">
        <f>AVERAGE(D18:D20)</f>
        <v>5.8501683501683496E-13</v>
      </c>
      <c r="F18" s="22">
        <f>E18/C18</f>
        <v>0.15949512335054503</v>
      </c>
      <c r="G18" s="8" cm="1">
        <f t="array" ref="G18">SQRT((1/(3-1))*SUM((D18:D20)^2))</f>
        <v>7.6706493927116453E-13</v>
      </c>
      <c r="H18" s="8">
        <f>4.3*G18/SQRT(3)</f>
        <v>1.9043201414487625E-12</v>
      </c>
      <c r="I18" s="4"/>
    </row>
    <row r="19" spans="1:9" ht="16.5" thickBot="1" x14ac:dyDescent="0.3">
      <c r="A19" s="9"/>
      <c r="B19" s="5">
        <v>3.3333333333333331E-12</v>
      </c>
      <c r="C19" s="9"/>
      <c r="D19" s="5">
        <f>ABS(B19-C18)</f>
        <v>3.3459595959595981E-13</v>
      </c>
      <c r="E19" s="20"/>
      <c r="F19" s="23"/>
      <c r="G19" s="9"/>
      <c r="H19" s="9"/>
      <c r="I19" s="4"/>
    </row>
    <row r="20" spans="1:9" ht="16.5" thickBot="1" x14ac:dyDescent="0.3">
      <c r="A20" s="10"/>
      <c r="B20" s="5">
        <v>3.1250000000000001E-12</v>
      </c>
      <c r="C20" s="10"/>
      <c r="D20" s="5">
        <f>ABS(B20-C18)</f>
        <v>5.4292929292929283E-13</v>
      </c>
      <c r="E20" s="21"/>
      <c r="F20" s="24"/>
      <c r="G20" s="10"/>
      <c r="H20" s="10"/>
      <c r="I20" s="4"/>
    </row>
    <row r="21" spans="1:9" ht="16.5" thickBot="1" x14ac:dyDescent="0.3">
      <c r="A21" s="8" t="s">
        <v>12</v>
      </c>
      <c r="B21" s="4">
        <v>1.3698630136986301E-11</v>
      </c>
      <c r="C21" s="7">
        <f t="shared" ref="C21" si="1">(AVERAGE(B21:B23))</f>
        <v>1.2697500640138773E-11</v>
      </c>
      <c r="D21" s="5">
        <f t="shared" ref="D19:D26" si="2">ABS(B21-C21)</f>
        <v>1.0011294968475282E-12</v>
      </c>
      <c r="E21" s="19">
        <f t="shared" ref="E21" si="3">AVERAGE(D21:D23)</f>
        <v>6.6741966456501935E-13</v>
      </c>
      <c r="F21" s="22">
        <f t="shared" ref="F21" si="4">E21/C21</f>
        <v>5.2563073905678888E-2</v>
      </c>
      <c r="G21" s="8" cm="1">
        <f t="array" ref="G21">SQRT((1/(3-1))*SUM((D21:D23)^2))</f>
        <v>8.7967023254660022E-13</v>
      </c>
      <c r="H21" s="8">
        <f t="shared" ref="H21" si="5">4.3*G21/SQRT(3)</f>
        <v>2.1838747359031856E-12</v>
      </c>
      <c r="I21" s="4"/>
    </row>
    <row r="22" spans="1:9" ht="16.5" thickBot="1" x14ac:dyDescent="0.3">
      <c r="A22" s="9"/>
      <c r="B22" s="4">
        <v>1.2345679012345679E-11</v>
      </c>
      <c r="C22" s="9"/>
      <c r="D22" s="5">
        <f>ABS(B22-C21)</f>
        <v>3.5182162779309463E-13</v>
      </c>
      <c r="E22" s="20"/>
      <c r="F22" s="23"/>
      <c r="G22" s="9"/>
      <c r="H22" s="9"/>
      <c r="I22" s="4"/>
    </row>
    <row r="23" spans="1:9" ht="16.5" thickBot="1" x14ac:dyDescent="0.3">
      <c r="A23" s="10"/>
      <c r="B23" s="4">
        <v>1.2048192771084338E-11</v>
      </c>
      <c r="C23" s="10"/>
      <c r="D23" s="5">
        <f>ABS(B23-C21)</f>
        <v>6.4930786905443515E-13</v>
      </c>
      <c r="E23" s="21"/>
      <c r="F23" s="24"/>
      <c r="G23" s="10"/>
      <c r="H23" s="10"/>
      <c r="I23" s="4"/>
    </row>
    <row r="24" spans="1:9" ht="16.5" thickBot="1" x14ac:dyDescent="0.3">
      <c r="A24" s="8" t="s">
        <v>12</v>
      </c>
      <c r="B24" s="4">
        <v>2.3255813953488372E-10</v>
      </c>
      <c r="C24" s="7">
        <f t="shared" ref="C24" si="6">(AVERAGE(B24:B26))</f>
        <v>2.2251543973463814E-10</v>
      </c>
      <c r="D24" s="5">
        <f t="shared" si="2"/>
        <v>1.0042699800245582E-11</v>
      </c>
      <c r="E24" s="19">
        <f t="shared" ref="E24" si="7">AVERAGE(D24:D26)</f>
        <v>6.6951332001637125E-12</v>
      </c>
      <c r="F24" s="22">
        <f t="shared" ref="F24" si="8">E24/C24</f>
        <v>3.0088398396749573E-2</v>
      </c>
      <c r="G24" s="8" cm="1">
        <f t="array" ref="G24">SQRT((1/(3-1))*SUM((D24:D26)^2))</f>
        <v>9.8993484802825213E-12</v>
      </c>
      <c r="H24" s="8">
        <f t="shared" ref="H24" si="9">4.3*G24/SQRT(3)</f>
        <v>2.4576183492540015E-11</v>
      </c>
      <c r="I24" s="4"/>
    </row>
    <row r="25" spans="1:9" ht="16.5" thickBot="1" x14ac:dyDescent="0.3">
      <c r="A25" s="9"/>
      <c r="B25" s="4">
        <v>2.127659574468085E-10</v>
      </c>
      <c r="C25" s="9"/>
      <c r="D25" s="5">
        <f>ABS(B25-C24)</f>
        <v>9.7494822878296338E-12</v>
      </c>
      <c r="E25" s="20"/>
      <c r="F25" s="23"/>
      <c r="G25" s="9"/>
      <c r="H25" s="9"/>
      <c r="I25" s="4"/>
    </row>
    <row r="26" spans="1:9" ht="16.5" thickBot="1" x14ac:dyDescent="0.3">
      <c r="A26" s="10"/>
      <c r="B26" s="4">
        <v>2.2222222222222221E-10</v>
      </c>
      <c r="C26" s="10"/>
      <c r="D26" s="5">
        <f>ABS(B26-C24)</f>
        <v>2.9321751241592203E-13</v>
      </c>
      <c r="E26" s="21"/>
      <c r="F26" s="24"/>
      <c r="G26" s="10"/>
      <c r="H26" s="10"/>
      <c r="I26" s="4"/>
    </row>
    <row r="29" spans="1:9" ht="17.25" x14ac:dyDescent="0.3">
      <c r="A29" s="25" t="s">
        <v>19</v>
      </c>
      <c r="B29" s="26">
        <f>H18/C18*100</f>
        <v>51.9181257152296</v>
      </c>
    </row>
    <row r="30" spans="1:9" ht="17.25" x14ac:dyDescent="0.3">
      <c r="A30" s="25" t="s">
        <v>20</v>
      </c>
      <c r="B30" s="26">
        <f>H21/C21*100</f>
        <v>17.19924887422032</v>
      </c>
    </row>
    <row r="31" spans="1:9" ht="17.25" x14ac:dyDescent="0.3">
      <c r="A31" s="25" t="s">
        <v>21</v>
      </c>
      <c r="B31" s="26">
        <f>H24/C24*100</f>
        <v>11.044709311789088</v>
      </c>
    </row>
  </sheetData>
  <mergeCells count="32">
    <mergeCell ref="G18:G20"/>
    <mergeCell ref="G21:G23"/>
    <mergeCell ref="G24:G26"/>
    <mergeCell ref="H18:H20"/>
    <mergeCell ref="H21:H23"/>
    <mergeCell ref="H24:H26"/>
    <mergeCell ref="C24:C26"/>
    <mergeCell ref="E24:E26"/>
    <mergeCell ref="A24:A26"/>
    <mergeCell ref="F18:F20"/>
    <mergeCell ref="F21:F23"/>
    <mergeCell ref="F24:F26"/>
    <mergeCell ref="B17:E17"/>
    <mergeCell ref="A18:A20"/>
    <mergeCell ref="C18:C20"/>
    <mergeCell ref="E18:E20"/>
    <mergeCell ref="A21:A23"/>
    <mergeCell ref="C21:C23"/>
    <mergeCell ref="E21:E23"/>
    <mergeCell ref="I15:I16"/>
    <mergeCell ref="D15:D16"/>
    <mergeCell ref="A3:A5"/>
    <mergeCell ref="A6:A8"/>
    <mergeCell ref="A9:A11"/>
    <mergeCell ref="B2:B11"/>
    <mergeCell ref="A15:A16"/>
    <mergeCell ref="B15:B16"/>
    <mergeCell ref="C15:C16"/>
    <mergeCell ref="E15:E16"/>
    <mergeCell ref="F15:F16"/>
    <mergeCell ref="G15:G16"/>
    <mergeCell ref="H15:H1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2025-10-12T15:14:55Z</dcterms:created>
  <dcterms:modified xsi:type="dcterms:W3CDTF">2025-10-15T20:46:07Z</dcterms:modified>
</cp:coreProperties>
</file>