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нано\4 курс\дрозд\"/>
    </mc:Choice>
  </mc:AlternateContent>
  <xr:revisionPtr revIDLastSave="0" documentId="8_{236465CD-E5FF-44CD-ACF3-D536182BCBDB}" xr6:coauthVersionLast="47" xr6:coauthVersionMax="47" xr10:uidLastSave="{00000000-0000-0000-0000-000000000000}"/>
  <bookViews>
    <workbookView xWindow="-120" yWindow="480" windowWidth="29040" windowHeight="15840" xr2:uid="{C2DC9D65-C377-4D3B-B53C-ACB49516B3F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6" i="1" l="1"/>
  <c r="E5" i="1"/>
  <c r="E8" i="1"/>
  <c r="E7" i="1"/>
  <c r="E6" i="1"/>
</calcChain>
</file>

<file path=xl/sharedStrings.xml><?xml version="1.0" encoding="utf-8"?>
<sst xmlns="http://schemas.openxmlformats.org/spreadsheetml/2006/main" count="6" uniqueCount="2">
  <si>
    <t>T, °C</t>
  </si>
  <si>
    <t>τ, 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</si>
</sst>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24926789214639"/>
          <c:y val="5.9188231843512386E-2"/>
          <c:w val="0.82218412571846244"/>
          <c:h val="0.86965322744399065"/>
        </c:manualLayout>
      </c:layout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0.15363452986098255"/>
                  <c:y val="-0.593979950213959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Лист1!$D$5:$D$11</c:f>
              <c:numCache>
                <c:formatCode>General</c:formatCode>
                <c:ptCount val="7"/>
                <c:pt idx="0">
                  <c:v>2500</c:v>
                </c:pt>
                <c:pt idx="1">
                  <c:v>1500</c:v>
                </c:pt>
                <c:pt idx="2">
                  <c:v>1000</c:v>
                </c:pt>
                <c:pt idx="3">
                  <c:v>750</c:v>
                </c:pt>
                <c:pt idx="4">
                  <c:v>625</c:v>
                </c:pt>
                <c:pt idx="5">
                  <c:v>700</c:v>
                </c:pt>
                <c:pt idx="6">
                  <c:v>685</c:v>
                </c:pt>
              </c:numCache>
            </c:numRef>
          </c:xVal>
          <c:yVal>
            <c:numRef>
              <c:f>Лист1!$E$5:$E$11</c:f>
              <c:numCache>
                <c:formatCode>General</c:formatCode>
                <c:ptCount val="7"/>
                <c:pt idx="0">
                  <c:v>4.5199999999999991E-6</c:v>
                </c:pt>
                <c:pt idx="1">
                  <c:v>2.81E-3</c:v>
                </c:pt>
                <c:pt idx="2">
                  <c:v>5.5E-2</c:v>
                </c:pt>
                <c:pt idx="3">
                  <c:v>11.4</c:v>
                </c:pt>
                <c:pt idx="4">
                  <c:v>835.6</c:v>
                </c:pt>
                <c:pt idx="5">
                  <c:v>876</c:v>
                </c:pt>
                <c:pt idx="6">
                  <c:v>87.6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FC-4798-B9BB-D27BEC402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812415"/>
        <c:axId val="184811935"/>
      </c:scatterChart>
      <c:valAx>
        <c:axId val="184812415"/>
        <c:scaling>
          <c:orientation val="minMax"/>
          <c:min val="600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4811935"/>
        <c:crossesAt val="1.0000000000000004E-6"/>
        <c:crossBetween val="midCat"/>
      </c:valAx>
      <c:valAx>
        <c:axId val="184811935"/>
        <c:scaling>
          <c:logBase val="10"/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4812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8.3493000874890633E-3"/>
                  <c:y val="-0.527299504228638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Лист1!$E$26:$E$29</c:f>
              <c:numCache>
                <c:formatCode>General</c:formatCode>
                <c:ptCount val="4"/>
                <c:pt idx="0">
                  <c:v>2500</c:v>
                </c:pt>
                <c:pt idx="1">
                  <c:v>1500</c:v>
                </c:pt>
                <c:pt idx="2">
                  <c:v>2000</c:v>
                </c:pt>
                <c:pt idx="3">
                  <c:v>1750</c:v>
                </c:pt>
              </c:numCache>
            </c:numRef>
          </c:xVal>
          <c:yVal>
            <c:numRef>
              <c:f>Лист1!$F$26:$F$29</c:f>
              <c:numCache>
                <c:formatCode>General</c:formatCode>
                <c:ptCount val="4"/>
                <c:pt idx="0">
                  <c:v>0.16</c:v>
                </c:pt>
                <c:pt idx="1">
                  <c:v>3758.5</c:v>
                </c:pt>
                <c:pt idx="2">
                  <c:v>7.83</c:v>
                </c:pt>
                <c:pt idx="3">
                  <c:v>101.2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3B-456D-BC8A-6407D6665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7007311"/>
        <c:axId val="1327010191"/>
      </c:scatterChart>
      <c:valAx>
        <c:axId val="1327007311"/>
        <c:scaling>
          <c:orientation val="minMax"/>
          <c:min val="1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0" i="0" baseline="0">
                    <a:effectLst/>
                  </a:rPr>
                  <a:t>Т, °С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27010191"/>
        <c:crossesAt val="0.1"/>
        <c:crossBetween val="midCat"/>
      </c:valAx>
      <c:valAx>
        <c:axId val="132701019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lnτ,</a:t>
                </a:r>
                <a:r>
                  <a:rPr lang="ru-RU" sz="1800" b="0" i="0" baseline="0">
                    <a:effectLst/>
                  </a:rPr>
                  <a:t> с</a:t>
                </a:r>
                <a:endParaRPr lang="en-US" sz="1800" b="0" i="0" baseline="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27007311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8.3493000874890633E-3"/>
                  <c:y val="-0.527299504228638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Лист1!$Q$26:$Q$28</c:f>
              <c:numCache>
                <c:formatCode>General</c:formatCode>
                <c:ptCount val="3"/>
                <c:pt idx="0">
                  <c:v>2500</c:v>
                </c:pt>
                <c:pt idx="1">
                  <c:v>3500</c:v>
                </c:pt>
                <c:pt idx="2">
                  <c:v>4000</c:v>
                </c:pt>
              </c:numCache>
            </c:numRef>
          </c:xVal>
          <c:yVal>
            <c:numRef>
              <c:f>Лист1!$R$26:$R$28</c:f>
              <c:numCache>
                <c:formatCode>General</c:formatCode>
                <c:ptCount val="3"/>
                <c:pt idx="0">
                  <c:v>515000000.00000006</c:v>
                </c:pt>
                <c:pt idx="1">
                  <c:v>4829.7</c:v>
                </c:pt>
                <c:pt idx="2">
                  <c:v>131.19999999999999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4B-4407-A413-D2B339A07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7007311"/>
        <c:axId val="1327010191"/>
      </c:scatterChart>
      <c:valAx>
        <c:axId val="1327007311"/>
        <c:scaling>
          <c:orientation val="minMax"/>
          <c:min val="24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800" b="0" i="0" baseline="0">
                    <a:effectLst/>
                  </a:rPr>
                  <a:t>Т, °С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27010191"/>
        <c:crosses val="autoZero"/>
        <c:crossBetween val="midCat"/>
      </c:valAx>
      <c:valAx>
        <c:axId val="1327010191"/>
        <c:scaling>
          <c:logBase val="10"/>
          <c:orientation val="minMax"/>
          <c:min val="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lnτ,</a:t>
                </a:r>
                <a:r>
                  <a:rPr lang="ru-RU" sz="1800" b="0" i="0" baseline="0">
                    <a:effectLst/>
                  </a:rPr>
                  <a:t> с</a:t>
                </a:r>
                <a:endParaRPr lang="en-US" sz="1800" b="0" i="0" baseline="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27007311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180974</xdr:colOff>
      <xdr:row>4</xdr:row>
      <xdr:rowOff>171450</xdr:rowOff>
    </xdr:from>
    <xdr:to>
      <xdr:col>17</xdr:col>
      <xdr:colOff>571499</xdr:colOff>
      <xdr:row>18</xdr:row>
      <xdr:rowOff>142875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9CCDA2A-D658-3487-5810-2E0B265A49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185737</xdr:colOff>
      <xdr:row>21</xdr:row>
      <xdr:rowOff>47625</xdr:rowOff>
    </xdr:from>
    <xdr:to>
      <xdr:col>14</xdr:col>
      <xdr:colOff>490537</xdr:colOff>
      <xdr:row>36</xdr:row>
      <xdr:rowOff>142875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EF44062-90FA-CCE7-0DF0-CDD96CBDF2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19050</xdr:colOff>
      <xdr:row>18</xdr:row>
      <xdr:rowOff>152399</xdr:rowOff>
    </xdr:from>
    <xdr:to>
      <xdr:col>25</xdr:col>
      <xdr:colOff>323850</xdr:colOff>
      <xdr:row>39</xdr:row>
      <xdr:rowOff>152400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8E6BD8BA-B4F1-43C8-825A-772B6C2F76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CA67E-CD84-4002-A3C7-C7B96D16DB8B}">
  <dimension ref="D3:R29"/>
  <sheetViews>
    <sheetView tabSelected="1" topLeftCell="E2" zoomScaleNormal="100" workbookViewId="0">
      <selection activeCell="AA17" sqref="AA17"/>
    </sheetView>
  </sheetViews>
  <sheetFormatPr defaultRowHeight="15" x14ac:dyDescent="0.25"/>
  <cols>
    <col min="5" max="5" width="11.85546875" bestFit="1" customWidth="1"/>
    <col min="18" max="18" width="11.28515625" bestFit="1" customWidth="1"/>
  </cols>
  <sheetData>
    <row r="3" spans="4:5" ht="15.75" thickBot="1" x14ac:dyDescent="0.3"/>
    <row r="4" spans="4:5" ht="16.5" thickBot="1" x14ac:dyDescent="0.3">
      <c r="D4" s="1" t="s">
        <v>0</v>
      </c>
      <c r="E4" s="2" t="s">
        <v>1</v>
      </c>
    </row>
    <row r="5" spans="4:5" ht="16.5" thickBot="1" x14ac:dyDescent="0.3">
      <c r="D5" s="3">
        <v>2500</v>
      </c>
      <c r="E5" s="4">
        <f>4.52*10^-6</f>
        <v>4.5199999999999991E-6</v>
      </c>
    </row>
    <row r="6" spans="4:5" ht="38.25" thickBot="1" x14ac:dyDescent="0.3">
      <c r="D6" s="3">
        <v>1500</v>
      </c>
      <c r="E6" s="4">
        <f>2.81*10^-3</f>
        <v>2.81E-3</v>
      </c>
    </row>
    <row r="7" spans="4:5" ht="38.25" thickBot="1" x14ac:dyDescent="0.3">
      <c r="D7" s="3">
        <v>1000</v>
      </c>
      <c r="E7" s="4">
        <f>5.5*10^-2</f>
        <v>5.5E-2</v>
      </c>
    </row>
    <row r="8" spans="4:5" ht="16.5" thickBot="1" x14ac:dyDescent="0.3">
      <c r="D8" s="3">
        <v>750</v>
      </c>
      <c r="E8" s="4">
        <f>11.4</f>
        <v>11.4</v>
      </c>
    </row>
    <row r="9" spans="4:5" ht="16.5" thickBot="1" x14ac:dyDescent="0.3">
      <c r="D9" s="3">
        <v>625</v>
      </c>
      <c r="E9" s="4">
        <v>835.6</v>
      </c>
    </row>
    <row r="10" spans="4:5" ht="16.5" thickBot="1" x14ac:dyDescent="0.3">
      <c r="D10" s="3">
        <v>700</v>
      </c>
      <c r="E10" s="4">
        <v>876</v>
      </c>
    </row>
    <row r="11" spans="4:5" ht="16.5" thickBot="1" x14ac:dyDescent="0.3">
      <c r="D11" s="3">
        <v>685</v>
      </c>
      <c r="E11" s="4">
        <v>87.6</v>
      </c>
    </row>
    <row r="24" spans="5:18" ht="15.75" thickBot="1" x14ac:dyDescent="0.3"/>
    <row r="25" spans="5:18" ht="16.5" thickBot="1" x14ac:dyDescent="0.3">
      <c r="E25" s="1" t="s">
        <v>0</v>
      </c>
      <c r="F25" s="2" t="s">
        <v>1</v>
      </c>
      <c r="Q25" s="1" t="s">
        <v>0</v>
      </c>
      <c r="R25" s="2" t="s">
        <v>1</v>
      </c>
    </row>
    <row r="26" spans="5:18" ht="17.25" customHeight="1" thickBot="1" x14ac:dyDescent="0.3">
      <c r="E26" s="3">
        <v>2500</v>
      </c>
      <c r="F26" s="4">
        <v>0.16</v>
      </c>
      <c r="Q26" s="3">
        <v>2500</v>
      </c>
      <c r="R26" s="4">
        <f>5.15*10^8</f>
        <v>515000000.00000006</v>
      </c>
    </row>
    <row r="27" spans="5:18" ht="16.5" thickBot="1" x14ac:dyDescent="0.3">
      <c r="E27" s="3">
        <v>1500</v>
      </c>
      <c r="F27" s="4">
        <v>3758.5</v>
      </c>
      <c r="Q27" s="3">
        <v>3500</v>
      </c>
      <c r="R27" s="4">
        <v>4829.7</v>
      </c>
    </row>
    <row r="28" spans="5:18" ht="16.5" thickBot="1" x14ac:dyDescent="0.3">
      <c r="E28" s="3">
        <v>2000</v>
      </c>
      <c r="F28" s="4">
        <v>7.83</v>
      </c>
      <c r="Q28" s="3">
        <v>4000</v>
      </c>
      <c r="R28" s="4">
        <v>131.19999999999999</v>
      </c>
    </row>
    <row r="29" spans="5:18" ht="16.5" thickBot="1" x14ac:dyDescent="0.3">
      <c r="E29" s="3">
        <v>1750</v>
      </c>
      <c r="F29" s="4">
        <v>101.2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Леготин Андрей Александрович</dc:creator>
  <cp:lastModifiedBy>Леготин Андрей Александрович</cp:lastModifiedBy>
  <dcterms:created xsi:type="dcterms:W3CDTF">2025-12-22T18:37:32Z</dcterms:created>
  <dcterms:modified xsi:type="dcterms:W3CDTF">2025-12-22T20:04:05Z</dcterms:modified>
</cp:coreProperties>
</file>