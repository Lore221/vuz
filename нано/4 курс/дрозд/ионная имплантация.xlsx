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0C3B5C12-7DDD-44D9-87C3-C3635C65F76D}" xr6:coauthVersionLast="47" xr6:coauthVersionMax="47" xr10:uidLastSave="{00000000-0000-0000-0000-000000000000}"/>
  <bookViews>
    <workbookView xWindow="-120" yWindow="480" windowWidth="29040" windowHeight="15840" activeTab="1" xr2:uid="{00000000-000D-0000-FFFF-FFFF00000000}"/>
  </bookViews>
  <sheets>
    <sheet name="Власов" sheetId="1" r:id="rId1"/>
    <sheet name="Егоров" sheetId="2" r:id="rId2"/>
    <sheet name="Леготин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7" i="3"/>
  <c r="G6" i="3"/>
  <c r="G5" i="3"/>
  <c r="C8" i="3"/>
  <c r="C7" i="3"/>
  <c r="C6" i="3"/>
  <c r="C5" i="3"/>
  <c r="C5" i="1"/>
  <c r="C6" i="1"/>
  <c r="C7" i="1"/>
  <c r="C8" i="1"/>
  <c r="C9" i="1"/>
  <c r="B8" i="3"/>
  <c r="F8" i="3"/>
  <c r="F7" i="3"/>
  <c r="F6" i="3"/>
  <c r="F5" i="3"/>
  <c r="B7" i="3"/>
  <c r="B6" i="3"/>
  <c r="B5" i="3"/>
</calcChain>
</file>

<file path=xl/sharedStrings.xml><?xml version="1.0" encoding="utf-8"?>
<sst xmlns="http://schemas.openxmlformats.org/spreadsheetml/2006/main" count="42" uniqueCount="26">
  <si>
    <t>E, кЭв</t>
  </si>
  <si>
    <t>Rp</t>
  </si>
  <si>
    <t>Xmax</t>
  </si>
  <si>
    <t>1,55*10^-6</t>
  </si>
  <si>
    <t>Si-B</t>
  </si>
  <si>
    <t>Si-Au</t>
  </si>
  <si>
    <t>Ge-B</t>
  </si>
  <si>
    <t>Ge-Au</t>
  </si>
  <si>
    <t>GaAs-B</t>
  </si>
  <si>
    <t>GaAs-Au</t>
  </si>
  <si>
    <t>8,96*10^-7</t>
  </si>
  <si>
    <t>4,79*10^-6</t>
  </si>
  <si>
    <t>3,35*10^-6</t>
  </si>
  <si>
    <t>2,42*10^-6</t>
  </si>
  <si>
    <t>1,82*10^-6</t>
  </si>
  <si>
    <t>1,43*10^-6</t>
  </si>
  <si>
    <t>2,81*10^-5</t>
  </si>
  <si>
    <t>1,54*10^-5</t>
  </si>
  <si>
    <t>8,51*10^-6</t>
  </si>
  <si>
    <t>5,01*10^-6</t>
  </si>
  <si>
    <t>1,4*10^-6</t>
  </si>
  <si>
    <t>1,95*10^-6</t>
  </si>
  <si>
    <t>1,54*10^-6</t>
  </si>
  <si>
    <t>5,74*10^-7</t>
  </si>
  <si>
    <t>3,04*10^-6</t>
  </si>
  <si>
    <t>2,14*10^-6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</si>
</sst>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06330091091558"/>
          <c:y val="4.4176706827309238E-2"/>
          <c:w val="0.81537460758581648"/>
          <c:h val="0.77348069443126843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4386701662292213E-2"/>
                  <c:y val="-3.860481295259779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de-DE"/>
                </a:p>
              </c:txPr>
            </c:trendlineLbl>
          </c:trendline>
          <c:xVal>
            <c:numRef>
              <c:f>Власов!$A$5:$A$9</c:f>
              <c:numCache>
                <c:formatCode>General</c:formatCode>
                <c:ptCount val="5"/>
                <c:pt idx="0">
                  <c:v>3000</c:v>
                </c:pt>
                <c:pt idx="1">
                  <c:v>76500</c:v>
                </c:pt>
                <c:pt idx="2">
                  <c:v>39750</c:v>
                </c:pt>
                <c:pt idx="3">
                  <c:v>21375</c:v>
                </c:pt>
                <c:pt idx="4">
                  <c:v>12200</c:v>
                </c:pt>
              </c:numCache>
            </c:numRef>
          </c:xVal>
          <c:yVal>
            <c:numRef>
              <c:f>Власов!$C$5:$C$9</c:f>
              <c:numCache>
                <c:formatCode>General</c:formatCode>
                <c:ptCount val="5"/>
                <c:pt idx="0">
                  <c:v>3.1</c:v>
                </c:pt>
                <c:pt idx="1">
                  <c:v>36.200000000000003</c:v>
                </c:pt>
                <c:pt idx="2">
                  <c:v>30.7</c:v>
                </c:pt>
                <c:pt idx="3">
                  <c:v>17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66-4978-B5AB-188DABF2C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51423"/>
        <c:axId val="2001730943"/>
      </c:scatterChart>
      <c:valAx>
        <c:axId val="174751423"/>
        <c:scaling>
          <c:orientation val="minMax"/>
          <c:max val="77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E,</a:t>
                </a:r>
                <a:r>
                  <a:rPr lang="ru-RU"/>
                  <a:t> Эв</a:t>
                </a:r>
              </a:p>
            </c:rich>
          </c:tx>
          <c:layout>
            <c:manualLayout>
              <c:xMode val="edge"/>
              <c:yMode val="edge"/>
              <c:x val="0.49750872317430911"/>
              <c:y val="0.91885526357398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2001730943"/>
        <c:crosses val="autoZero"/>
        <c:crossBetween val="midCat"/>
        <c:majorUnit val="15000"/>
      </c:valAx>
      <c:valAx>
        <c:axId val="2001730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x,</a:t>
                </a:r>
                <a:r>
                  <a:rPr lang="ru-RU"/>
                  <a:t> см·10-6</a:t>
                </a:r>
                <a:r>
                  <a:rPr lang="en-US"/>
                  <a:t> 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5032885595182954E-2"/>
              <c:y val="0.34727223856054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7475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8345427409809"/>
          <c:y val="3.614457831325301E-2"/>
          <c:w val="0.81537460758581648"/>
          <c:h val="0.80560920848749329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5347434511862487E-2"/>
                  <c:y val="-3.86914587483793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de-DE"/>
                </a:p>
              </c:txPr>
            </c:trendlineLbl>
          </c:trendline>
          <c:xVal>
            <c:numRef>
              <c:f>Власов!$E$5:$E$10</c:f>
              <c:numCache>
                <c:formatCode>General</c:formatCode>
                <c:ptCount val="6"/>
                <c:pt idx="0">
                  <c:v>3000</c:v>
                </c:pt>
                <c:pt idx="1">
                  <c:v>76500</c:v>
                </c:pt>
                <c:pt idx="2">
                  <c:v>39750</c:v>
                </c:pt>
                <c:pt idx="3">
                  <c:v>21375</c:v>
                </c:pt>
                <c:pt idx="4">
                  <c:v>12200</c:v>
                </c:pt>
                <c:pt idx="5">
                  <c:v>7600</c:v>
                </c:pt>
              </c:numCache>
            </c:numRef>
          </c:xVal>
          <c:yVal>
            <c:numRef>
              <c:f>Власов!$G$5:$G$10</c:f>
              <c:numCache>
                <c:formatCode>General</c:formatCode>
                <c:ptCount val="6"/>
                <c:pt idx="0">
                  <c:v>1.79</c:v>
                </c:pt>
                <c:pt idx="1">
                  <c:v>9.58</c:v>
                </c:pt>
                <c:pt idx="2">
                  <c:v>6.71</c:v>
                </c:pt>
                <c:pt idx="3">
                  <c:v>4.8499999999999996</c:v>
                </c:pt>
                <c:pt idx="4">
                  <c:v>3.64</c:v>
                </c:pt>
                <c:pt idx="5">
                  <c:v>2.86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F0-4AA5-8BAF-8DDAC85C8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51423"/>
        <c:axId val="2001730943"/>
      </c:scatterChart>
      <c:valAx>
        <c:axId val="174751423"/>
        <c:scaling>
          <c:orientation val="minMax"/>
          <c:max val="77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E,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Эв</a:t>
                </a:r>
              </a:p>
            </c:rich>
          </c:tx>
          <c:layout>
            <c:manualLayout>
              <c:xMode val="edge"/>
              <c:yMode val="edge"/>
              <c:x val="0.47659369049457051"/>
              <c:y val="0.922871327831009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2001730943"/>
        <c:crosses val="autoZero"/>
        <c:crossBetween val="midCat"/>
        <c:majorUnit val="15000"/>
      </c:valAx>
      <c:valAx>
        <c:axId val="2001730943"/>
        <c:scaling>
          <c:orientation val="minMax"/>
          <c:max val="1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x,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см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·10</a:t>
                </a:r>
                <a:r>
                  <a:rPr lang="ru-RU" sz="1200" b="0" i="0" u="none" strike="noStrike" kern="1200" baseline="3000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-6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ru-RU"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490401935052229E-2"/>
              <c:y val="0.359320431331625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7475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20709176058875"/>
          <c:y val="4.4176706827309238E-2"/>
          <c:w val="0.78923081673614337"/>
          <c:h val="0.78248782486004265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4386701662292213E-2"/>
                  <c:y val="-3.860481295259779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de-DE"/>
                </a:p>
              </c:txPr>
            </c:trendlineLbl>
          </c:trendline>
          <c:xVal>
            <c:numRef>
              <c:f>Егоров!$A$5:$A$7</c:f>
              <c:numCache>
                <c:formatCode>General</c:formatCode>
                <c:ptCount val="3"/>
                <c:pt idx="0">
                  <c:v>3000</c:v>
                </c:pt>
                <c:pt idx="1">
                  <c:v>5000</c:v>
                </c:pt>
                <c:pt idx="2">
                  <c:v>3500</c:v>
                </c:pt>
              </c:numCache>
            </c:numRef>
          </c:xVal>
          <c:yVal>
            <c:numRef>
              <c:f>Егоров!$C$5:$C$7</c:f>
              <c:numCache>
                <c:formatCode>General</c:formatCode>
                <c:ptCount val="3"/>
                <c:pt idx="0">
                  <c:v>2.8</c:v>
                </c:pt>
                <c:pt idx="1">
                  <c:v>3.9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35-462E-9625-C5176DB11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51423"/>
        <c:axId val="2001730943"/>
      </c:scatterChart>
      <c:valAx>
        <c:axId val="174751423"/>
        <c:scaling>
          <c:orientation val="minMax"/>
          <c:max val="5100"/>
          <c:min val="29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E,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Эв</a:t>
                </a:r>
              </a:p>
            </c:rich>
          </c:tx>
          <c:layout>
            <c:manualLayout>
              <c:xMode val="edge"/>
              <c:yMode val="edge"/>
              <c:x val="0.47659369049457051"/>
              <c:y val="0.922871327831009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2001730943"/>
        <c:crosses val="autoZero"/>
        <c:crossBetween val="midCat"/>
      </c:valAx>
      <c:valAx>
        <c:axId val="2001730943"/>
        <c:scaling>
          <c:orientation val="minMax"/>
          <c:max val="4"/>
          <c:min val="2.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x,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см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·10</a:t>
                </a:r>
                <a:r>
                  <a:rPr lang="ru-RU" sz="1200" b="0" i="0" u="none" strike="noStrike" kern="1200" baseline="3000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-6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ru-RU"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490401935052229E-2"/>
              <c:y val="0.359320431331625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74751423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06330091091558"/>
          <c:y val="4.4176706827309238E-2"/>
          <c:w val="0.81537460758581648"/>
          <c:h val="0.7855288872023527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4386701662292213E-2"/>
                  <c:y val="-3.860481295259779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de-DE"/>
                </a:p>
              </c:txPr>
            </c:trendlineLbl>
          </c:trendline>
          <c:xVal>
            <c:numRef>
              <c:f>Егоров!$E$5:$E$8</c:f>
              <c:numCache>
                <c:formatCode>General</c:formatCode>
                <c:ptCount val="4"/>
                <c:pt idx="0">
                  <c:v>3000</c:v>
                </c:pt>
                <c:pt idx="1">
                  <c:v>76500</c:v>
                </c:pt>
                <c:pt idx="2">
                  <c:v>39750</c:v>
                </c:pt>
                <c:pt idx="3">
                  <c:v>21375</c:v>
                </c:pt>
              </c:numCache>
            </c:numRef>
          </c:xVal>
          <c:yVal>
            <c:numRef>
              <c:f>Егоров!$G$5:$G$8</c:f>
              <c:numCache>
                <c:formatCode>General</c:formatCode>
                <c:ptCount val="4"/>
                <c:pt idx="0">
                  <c:v>1.1499999999999999</c:v>
                </c:pt>
                <c:pt idx="1">
                  <c:v>6.08</c:v>
                </c:pt>
                <c:pt idx="2">
                  <c:v>4.2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0B-4464-9B60-75740A964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51423"/>
        <c:axId val="2001730943"/>
      </c:scatterChart>
      <c:valAx>
        <c:axId val="174751423"/>
        <c:scaling>
          <c:orientation val="minMax"/>
          <c:max val="77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E,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Эв</a:t>
                </a:r>
              </a:p>
            </c:rich>
          </c:tx>
          <c:layout>
            <c:manualLayout>
              <c:xMode val="edge"/>
              <c:yMode val="edge"/>
              <c:x val="0.46613617415470127"/>
              <c:y val="0.91885526357398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2001730943"/>
        <c:crosses val="autoZero"/>
        <c:crossBetween val="midCat"/>
        <c:majorUnit val="15000"/>
      </c:valAx>
      <c:valAx>
        <c:axId val="2001730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x,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см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·10</a:t>
                </a:r>
                <a:r>
                  <a:rPr lang="ru-RU" sz="1200" b="0" i="0" u="none" strike="noStrike" kern="1200" baseline="3000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-6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ru-RU"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490401935052229E-2"/>
              <c:y val="0.359320431331625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7475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49752114319042"/>
          <c:y val="4.4176706827309238E-2"/>
          <c:w val="0.79494031636849982"/>
          <c:h val="0.80560916804004146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4386701662292213E-2"/>
                  <c:y val="-3.860481295259779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de-DE"/>
                </a:p>
              </c:txPr>
            </c:trendlineLbl>
          </c:trendline>
          <c:xVal>
            <c:numRef>
              <c:f>Леготин!$A$5:$A$8</c:f>
              <c:numCache>
                <c:formatCode>General</c:formatCode>
                <c:ptCount val="4"/>
                <c:pt idx="0">
                  <c:v>3000</c:v>
                </c:pt>
                <c:pt idx="1">
                  <c:v>5000</c:v>
                </c:pt>
                <c:pt idx="2">
                  <c:v>4000</c:v>
                </c:pt>
                <c:pt idx="3">
                  <c:v>3500</c:v>
                </c:pt>
              </c:numCache>
            </c:numRef>
          </c:xVal>
          <c:yVal>
            <c:numRef>
              <c:f>Леготин!$C$5:$C$8</c:f>
              <c:numCache>
                <c:formatCode>0.00E+00</c:formatCode>
                <c:ptCount val="4"/>
                <c:pt idx="0">
                  <c:v>2.794</c:v>
                </c:pt>
                <c:pt idx="1">
                  <c:v>3.8759999999999999</c:v>
                </c:pt>
                <c:pt idx="2">
                  <c:v>3.35</c:v>
                </c:pt>
                <c:pt idx="3">
                  <c:v>3.08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8E-4488-91C2-11FD7B443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51423"/>
        <c:axId val="2001730943"/>
      </c:scatterChart>
      <c:valAx>
        <c:axId val="174751423"/>
        <c:scaling>
          <c:orientation val="minMax"/>
          <c:max val="5100"/>
          <c:min val="29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E,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Эв</a:t>
                </a:r>
              </a:p>
            </c:rich>
          </c:tx>
          <c:layout>
            <c:manualLayout>
              <c:xMode val="edge"/>
              <c:yMode val="edge"/>
              <c:x val="0.47659369049457051"/>
              <c:y val="0.922871327831009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2001730943"/>
        <c:crosses val="autoZero"/>
        <c:crossBetween val="midCat"/>
      </c:valAx>
      <c:valAx>
        <c:axId val="2001730943"/>
        <c:scaling>
          <c:orientation val="minMax"/>
          <c:max val="4"/>
          <c:min val="2.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x,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см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·10</a:t>
                </a:r>
                <a:r>
                  <a:rPr lang="ru-RU" sz="1200" b="0" i="0" u="none" strike="noStrike" kern="1200" baseline="3000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-6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ru-RU"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5032885595182954E-2"/>
              <c:y val="0.359320332051516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74751423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06330091091555"/>
          <c:y val="5.2208835341365459E-2"/>
          <c:w val="0.81537460758581648"/>
          <c:h val="0.78151282294532465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4386701662292213E-2"/>
                  <c:y val="-3.860481295259779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de-DE"/>
                </a:p>
              </c:txPr>
            </c:trendlineLbl>
          </c:trendline>
          <c:xVal>
            <c:numRef>
              <c:f>Леготин!$E$5:$E$8</c:f>
              <c:numCache>
                <c:formatCode>General</c:formatCode>
                <c:ptCount val="4"/>
                <c:pt idx="0">
                  <c:v>3000</c:v>
                </c:pt>
                <c:pt idx="1">
                  <c:v>76500</c:v>
                </c:pt>
                <c:pt idx="2">
                  <c:v>39750</c:v>
                </c:pt>
                <c:pt idx="3">
                  <c:v>21375</c:v>
                </c:pt>
              </c:numCache>
            </c:numRef>
          </c:xVal>
          <c:yVal>
            <c:numRef>
              <c:f>Леготин!$G$5:$G$8</c:f>
              <c:numCache>
                <c:formatCode>0.00E+00</c:formatCode>
                <c:ptCount val="4"/>
                <c:pt idx="0">
                  <c:v>1.1399999999999999</c:v>
                </c:pt>
                <c:pt idx="1">
                  <c:v>6.0650000000000004</c:v>
                </c:pt>
                <c:pt idx="2">
                  <c:v>4.2690000000000001</c:v>
                </c:pt>
                <c:pt idx="3">
                  <c:v>3.09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63-40CC-B08B-04F0F81FF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51423"/>
        <c:axId val="2001730943"/>
      </c:scatterChart>
      <c:valAx>
        <c:axId val="174751423"/>
        <c:scaling>
          <c:orientation val="minMax"/>
          <c:max val="77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E,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Эв</a:t>
                </a:r>
              </a:p>
            </c:rich>
          </c:tx>
          <c:layout>
            <c:manualLayout>
              <c:xMode val="edge"/>
              <c:yMode val="edge"/>
              <c:x val="0.47659369049457051"/>
              <c:y val="0.922871327831009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2001730943"/>
        <c:crosses val="autoZero"/>
        <c:crossBetween val="midCat"/>
        <c:majorUnit val="15000"/>
      </c:valAx>
      <c:valAx>
        <c:axId val="2001730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x,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см</a:t>
                </a:r>
                <a:r>
                  <a:rPr lang="ru-RU" sz="12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·10</a:t>
                </a:r>
                <a:r>
                  <a:rPr lang="ru-RU" sz="1200" b="0" i="0" u="none" strike="noStrike" kern="1200" baseline="3000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-6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ru-RU"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490401935052229E-2"/>
              <c:y val="0.359320431331625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7475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3</xdr:row>
      <xdr:rowOff>0</xdr:rowOff>
    </xdr:from>
    <xdr:to>
      <xdr:col>17</xdr:col>
      <xdr:colOff>9525</xdr:colOff>
      <xdr:row>19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2035B4F-6FEB-C745-C42F-EB17985B7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21</xdr:row>
      <xdr:rowOff>19050</xdr:rowOff>
    </xdr:from>
    <xdr:to>
      <xdr:col>17</xdr:col>
      <xdr:colOff>0</xdr:colOff>
      <xdr:row>37</xdr:row>
      <xdr:rowOff>133350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16FE01A-74E6-4F1D-949C-1ED6477A1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2</xdr:row>
      <xdr:rowOff>190499</xdr:rowOff>
    </xdr:from>
    <xdr:to>
      <xdr:col>16</xdr:col>
      <xdr:colOff>600075</xdr:colOff>
      <xdr:row>20</xdr:row>
      <xdr:rowOff>180974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A2A47B8-2BF1-478D-B1BF-6A05EAE57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21</xdr:row>
      <xdr:rowOff>19050</xdr:rowOff>
    </xdr:from>
    <xdr:to>
      <xdr:col>16</xdr:col>
      <xdr:colOff>590550</xdr:colOff>
      <xdr:row>37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7459C1A-A8A9-4499-8E41-D83756815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3</xdr:row>
      <xdr:rowOff>0</xdr:rowOff>
    </xdr:from>
    <xdr:to>
      <xdr:col>16</xdr:col>
      <xdr:colOff>600075</xdr:colOff>
      <xdr:row>20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5A2655-0E28-4A62-9677-0685FE26F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21</xdr:row>
      <xdr:rowOff>19050</xdr:rowOff>
    </xdr:from>
    <xdr:to>
      <xdr:col>16</xdr:col>
      <xdr:colOff>590550</xdr:colOff>
      <xdr:row>37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4BBD635-C2D1-42C6-9930-947D67D79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zoomScaleNormal="100" workbookViewId="0">
      <selection activeCell="F5" sqref="F5"/>
    </sheetView>
  </sheetViews>
  <sheetFormatPr defaultRowHeight="15" x14ac:dyDescent="0.25"/>
  <cols>
    <col min="2" max="2" width="11.5703125" bestFit="1" customWidth="1"/>
    <col min="3" max="3" width="10.28515625" bestFit="1" customWidth="1"/>
    <col min="6" max="7" width="10.28515625" bestFit="1" customWidth="1"/>
  </cols>
  <sheetData>
    <row r="1" spans="1:8" x14ac:dyDescent="0.25">
      <c r="A1" t="s">
        <v>4</v>
      </c>
      <c r="E1" t="s">
        <v>5</v>
      </c>
    </row>
    <row r="2" spans="1:8" x14ac:dyDescent="0.25">
      <c r="B2" s="1"/>
    </row>
    <row r="3" spans="1:8" x14ac:dyDescent="0.25">
      <c r="H3" s="3"/>
    </row>
    <row r="4" spans="1:8" x14ac:dyDescent="0.25">
      <c r="A4" t="s">
        <v>0</v>
      </c>
      <c r="B4" t="s">
        <v>1</v>
      </c>
      <c r="C4" t="s">
        <v>2</v>
      </c>
      <c r="E4" t="s">
        <v>0</v>
      </c>
      <c r="F4" t="s">
        <v>1</v>
      </c>
      <c r="G4" t="s">
        <v>2</v>
      </c>
    </row>
    <row r="5" spans="1:8" x14ac:dyDescent="0.25">
      <c r="A5">
        <v>3000</v>
      </c>
      <c r="B5" s="1" t="s">
        <v>3</v>
      </c>
      <c r="C5">
        <f>3.1</f>
        <v>3.1</v>
      </c>
      <c r="E5">
        <v>3000</v>
      </c>
      <c r="F5" t="s">
        <v>10</v>
      </c>
      <c r="G5">
        <v>1.79</v>
      </c>
    </row>
    <row r="6" spans="1:8" x14ac:dyDescent="0.25">
      <c r="A6">
        <v>76500</v>
      </c>
      <c r="B6" t="s">
        <v>16</v>
      </c>
      <c r="C6">
        <f>36.2</f>
        <v>36.200000000000003</v>
      </c>
      <c r="E6">
        <v>76500</v>
      </c>
      <c r="F6" t="s">
        <v>11</v>
      </c>
      <c r="G6">
        <v>9.58</v>
      </c>
    </row>
    <row r="7" spans="1:8" x14ac:dyDescent="0.25">
      <c r="A7">
        <v>39750</v>
      </c>
      <c r="B7" t="s">
        <v>17</v>
      </c>
      <c r="C7">
        <f>30.7</f>
        <v>30.7</v>
      </c>
      <c r="E7">
        <v>39750</v>
      </c>
      <c r="F7" t="s">
        <v>12</v>
      </c>
      <c r="G7">
        <v>6.71</v>
      </c>
    </row>
    <row r="8" spans="1:8" x14ac:dyDescent="0.25">
      <c r="A8">
        <v>21375</v>
      </c>
      <c r="B8" t="s">
        <v>18</v>
      </c>
      <c r="C8">
        <f>17</f>
        <v>17</v>
      </c>
      <c r="E8">
        <v>21375</v>
      </c>
      <c r="F8" t="s">
        <v>13</v>
      </c>
      <c r="G8">
        <v>4.8499999999999996</v>
      </c>
    </row>
    <row r="9" spans="1:8" x14ac:dyDescent="0.25">
      <c r="A9">
        <v>12200</v>
      </c>
      <c r="B9" t="s">
        <v>19</v>
      </c>
      <c r="C9">
        <f>10</f>
        <v>10</v>
      </c>
      <c r="E9">
        <v>12200</v>
      </c>
      <c r="F9" t="s">
        <v>14</v>
      </c>
      <c r="G9">
        <v>3.64</v>
      </c>
    </row>
    <row r="10" spans="1:8" x14ac:dyDescent="0.25">
      <c r="E10">
        <v>7600</v>
      </c>
      <c r="F10" t="s">
        <v>15</v>
      </c>
      <c r="G10">
        <v>2.86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workbookViewId="0">
      <selection activeCell="H14" sqref="H14"/>
    </sheetView>
  </sheetViews>
  <sheetFormatPr defaultRowHeight="15" x14ac:dyDescent="0.25"/>
  <sheetData>
    <row r="1" spans="1:7" x14ac:dyDescent="0.25">
      <c r="A1" t="s">
        <v>6</v>
      </c>
      <c r="E1" t="s">
        <v>7</v>
      </c>
    </row>
    <row r="2" spans="1:7" x14ac:dyDescent="0.25">
      <c r="B2" s="1"/>
    </row>
    <row r="4" spans="1:7" x14ac:dyDescent="0.25">
      <c r="A4" t="s">
        <v>0</v>
      </c>
      <c r="B4" t="s">
        <v>1</v>
      </c>
      <c r="C4" t="s">
        <v>2</v>
      </c>
      <c r="E4" t="s">
        <v>0</v>
      </c>
      <c r="F4" t="s">
        <v>1</v>
      </c>
      <c r="G4" t="s">
        <v>2</v>
      </c>
    </row>
    <row r="5" spans="1:7" x14ac:dyDescent="0.25">
      <c r="A5">
        <v>3000</v>
      </c>
      <c r="B5" t="s">
        <v>20</v>
      </c>
      <c r="C5">
        <v>2.8</v>
      </c>
      <c r="E5">
        <v>3000</v>
      </c>
      <c r="F5" t="s">
        <v>23</v>
      </c>
      <c r="G5">
        <v>1.1499999999999999</v>
      </c>
    </row>
    <row r="6" spans="1:7" x14ac:dyDescent="0.25">
      <c r="A6">
        <v>5000</v>
      </c>
      <c r="B6" t="s">
        <v>21</v>
      </c>
      <c r="C6">
        <v>3.9</v>
      </c>
      <c r="E6">
        <v>76500</v>
      </c>
      <c r="F6" t="s">
        <v>24</v>
      </c>
      <c r="G6">
        <v>6.08</v>
      </c>
    </row>
    <row r="7" spans="1:7" x14ac:dyDescent="0.25">
      <c r="A7">
        <v>3500</v>
      </c>
      <c r="B7" t="s">
        <v>22</v>
      </c>
      <c r="C7">
        <v>3</v>
      </c>
      <c r="E7">
        <v>39750</v>
      </c>
      <c r="F7" t="s">
        <v>25</v>
      </c>
      <c r="G7">
        <v>4.2</v>
      </c>
    </row>
    <row r="8" spans="1:7" x14ac:dyDescent="0.25">
      <c r="E8">
        <v>21375</v>
      </c>
      <c r="F8" t="s">
        <v>3</v>
      </c>
      <c r="G8">
        <v>3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G5" sqref="G5:G8"/>
    </sheetView>
  </sheetViews>
  <sheetFormatPr defaultRowHeight="15" x14ac:dyDescent="0.25"/>
  <cols>
    <col min="2" max="2" width="11" bestFit="1" customWidth="1"/>
    <col min="3" max="3" width="12" bestFit="1" customWidth="1"/>
    <col min="6" max="7" width="12" bestFit="1" customWidth="1"/>
  </cols>
  <sheetData>
    <row r="1" spans="1:7" x14ac:dyDescent="0.25">
      <c r="A1" t="s">
        <v>8</v>
      </c>
      <c r="E1" t="s">
        <v>9</v>
      </c>
    </row>
    <row r="2" spans="1:7" x14ac:dyDescent="0.25">
      <c r="B2" s="1"/>
    </row>
    <row r="4" spans="1:7" x14ac:dyDescent="0.25">
      <c r="A4" t="s">
        <v>0</v>
      </c>
      <c r="B4" t="s">
        <v>1</v>
      </c>
      <c r="C4" t="s">
        <v>2</v>
      </c>
      <c r="E4" t="s">
        <v>0</v>
      </c>
      <c r="F4" t="s">
        <v>1</v>
      </c>
      <c r="G4" t="s">
        <v>2</v>
      </c>
    </row>
    <row r="5" spans="1:7" x14ac:dyDescent="0.25">
      <c r="A5">
        <v>3000</v>
      </c>
      <c r="B5" s="2">
        <f>1.397*10^-6</f>
        <v>1.3969999999999999E-6</v>
      </c>
      <c r="C5" s="2">
        <f>2.794</f>
        <v>2.794</v>
      </c>
      <c r="E5">
        <v>3000</v>
      </c>
      <c r="F5" s="2">
        <f>5.72*10^-7</f>
        <v>5.7199999999999999E-7</v>
      </c>
      <c r="G5" s="2">
        <f>1.14</f>
        <v>1.1399999999999999</v>
      </c>
    </row>
    <row r="6" spans="1:7" x14ac:dyDescent="0.25">
      <c r="A6">
        <v>5000</v>
      </c>
      <c r="B6" s="2">
        <f>1.938*10^-6</f>
        <v>1.9379999999999999E-6</v>
      </c>
      <c r="C6" s="2">
        <f>3.876</f>
        <v>3.8759999999999999</v>
      </c>
      <c r="E6">
        <v>76500</v>
      </c>
      <c r="F6" s="2">
        <f>3.03*10^-6</f>
        <v>3.0299999999999998E-6</v>
      </c>
      <c r="G6" s="2">
        <f>6.065</f>
        <v>6.0650000000000004</v>
      </c>
    </row>
    <row r="7" spans="1:7" x14ac:dyDescent="0.25">
      <c r="A7">
        <v>4000</v>
      </c>
      <c r="B7" s="2">
        <f>1.67*10^-6</f>
        <v>1.6699999999999999E-6</v>
      </c>
      <c r="C7" s="2">
        <f>3.35</f>
        <v>3.35</v>
      </c>
      <c r="E7">
        <v>39750</v>
      </c>
      <c r="F7" s="2">
        <f>2.134*10^-6</f>
        <v>2.1339999999999998E-6</v>
      </c>
      <c r="G7" s="2">
        <f>4.269</f>
        <v>4.2690000000000001</v>
      </c>
    </row>
    <row r="8" spans="1:7" x14ac:dyDescent="0.25">
      <c r="A8">
        <v>3500</v>
      </c>
      <c r="B8" s="2">
        <f>1.537*10^-6</f>
        <v>1.5369999999999999E-6</v>
      </c>
      <c r="C8" s="2">
        <f>3.08</f>
        <v>3.08</v>
      </c>
      <c r="E8">
        <v>21375</v>
      </c>
      <c r="F8" s="2">
        <f>1.546*10^-6</f>
        <v>1.5459999999999999E-6</v>
      </c>
      <c r="G8" s="2">
        <f>3.09</f>
        <v>3.09</v>
      </c>
    </row>
    <row r="9" spans="1:7" x14ac:dyDescent="0.25">
      <c r="B9" s="2"/>
      <c r="C9" s="2"/>
    </row>
    <row r="10" spans="1:7" x14ac:dyDescent="0.25">
      <c r="B10" s="2"/>
      <c r="C10" s="2"/>
    </row>
  </sheetData>
  <pageMargins left="0.7" right="0.7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Власов</vt:lpstr>
      <vt:lpstr>Егоров</vt:lpstr>
      <vt:lpstr>Леготин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2025-12-22T21:40:25Z</dcterms:modified>
</cp:coreProperties>
</file>