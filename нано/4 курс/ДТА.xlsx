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нано\"/>
    </mc:Choice>
  </mc:AlternateContent>
  <xr:revisionPtr revIDLastSave="0" documentId="13_ncr:1_{96074A3B-D29A-4E8F-A872-44CAE97A3724}" xr6:coauthVersionLast="47" xr6:coauthVersionMax="47" xr10:uidLastSave="{00000000-0000-0000-0000-000000000000}"/>
  <bookViews>
    <workbookView xWindow="-120" yWindow="480" windowWidth="29040" windowHeight="15840" xr2:uid="{5660C4C3-DD7A-4BD5-A361-D41BF98002FC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" l="1"/>
  <c r="B54" i="2"/>
  <c r="I48" i="2"/>
  <c r="I49" i="2"/>
  <c r="C20" i="2"/>
  <c r="D20" i="2" s="1"/>
  <c r="E20" i="2" s="1"/>
  <c r="F20" i="2" s="1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32" i="2"/>
  <c r="F12" i="2"/>
  <c r="F13" i="2"/>
  <c r="F14" i="2"/>
  <c r="F15" i="2"/>
  <c r="F16" i="2"/>
  <c r="F17" i="2"/>
  <c r="F18" i="2"/>
  <c r="F19" i="2"/>
  <c r="F21" i="2"/>
  <c r="F22" i="2"/>
  <c r="F23" i="2"/>
  <c r="F24" i="2"/>
  <c r="F25" i="2"/>
  <c r="F26" i="2"/>
  <c r="F27" i="2"/>
  <c r="F28" i="2"/>
  <c r="F29" i="2"/>
  <c r="F11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32" i="2"/>
  <c r="H48" i="2"/>
  <c r="H49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32" i="2"/>
  <c r="E12" i="2"/>
  <c r="E13" i="2"/>
  <c r="E14" i="2"/>
  <c r="E15" i="2"/>
  <c r="E16" i="2"/>
  <c r="E17" i="2"/>
  <c r="E18" i="2"/>
  <c r="E19" i="2"/>
  <c r="E21" i="2"/>
  <c r="E22" i="2"/>
  <c r="E23" i="2"/>
  <c r="E24" i="2"/>
  <c r="E25" i="2"/>
  <c r="E26" i="2"/>
  <c r="E27" i="2"/>
  <c r="E28" i="2"/>
  <c r="E29" i="2"/>
  <c r="E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11" i="2"/>
  <c r="H12" i="2"/>
  <c r="H13" i="2"/>
  <c r="H14" i="2"/>
  <c r="H15" i="2"/>
  <c r="H16" i="2"/>
  <c r="H17" i="2"/>
  <c r="H18" i="2"/>
  <c r="H19" i="2"/>
  <c r="H21" i="2"/>
  <c r="H22" i="2"/>
  <c r="H23" i="2"/>
  <c r="H24" i="2"/>
  <c r="H25" i="2"/>
  <c r="H26" i="2"/>
  <c r="H27" i="2"/>
  <c r="H28" i="2"/>
  <c r="H29" i="2"/>
  <c r="H11" i="2"/>
  <c r="G12" i="2"/>
  <c r="G13" i="2"/>
  <c r="G14" i="2"/>
  <c r="G15" i="2"/>
  <c r="G16" i="2"/>
  <c r="G17" i="2"/>
  <c r="G18" i="2"/>
  <c r="G19" i="2"/>
  <c r="G21" i="2"/>
  <c r="G22" i="2"/>
  <c r="G23" i="2"/>
  <c r="G24" i="2"/>
  <c r="G25" i="2"/>
  <c r="G26" i="2"/>
  <c r="G27" i="2"/>
  <c r="G28" i="2"/>
  <c r="G29" i="2"/>
  <c r="G11" i="2"/>
  <c r="C4" i="2"/>
  <c r="B4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32" i="2"/>
  <c r="D17" i="2"/>
  <c r="D22" i="2"/>
  <c r="D25" i="2"/>
  <c r="D27" i="2"/>
  <c r="D28" i="2"/>
  <c r="D29" i="2"/>
  <c r="C26" i="2"/>
  <c r="D26" i="2" s="1"/>
  <c r="C25" i="2"/>
  <c r="C24" i="2"/>
  <c r="D24" i="2" s="1"/>
  <c r="C23" i="2"/>
  <c r="D23" i="2" s="1"/>
  <c r="C22" i="2"/>
  <c r="C21" i="2"/>
  <c r="D21" i="2" s="1"/>
  <c r="C19" i="2"/>
  <c r="D19" i="2" s="1"/>
  <c r="C18" i="2"/>
  <c r="D18" i="2" s="1"/>
  <c r="C17" i="2"/>
  <c r="C16" i="2"/>
  <c r="D16" i="2" s="1"/>
  <c r="C15" i="2"/>
  <c r="D15" i="2" s="1"/>
  <c r="C14" i="2"/>
  <c r="D14" i="2" s="1"/>
  <c r="C13" i="2"/>
  <c r="D13" i="2" s="1"/>
  <c r="C12" i="2"/>
  <c r="D12" i="2" s="1"/>
  <c r="C11" i="2"/>
  <c r="D11" i="2" s="1"/>
  <c r="G20" i="2" l="1"/>
  <c r="H20" i="2" s="1"/>
</calcChain>
</file>

<file path=xl/sharedStrings.xml><?xml version="1.0" encoding="utf-8"?>
<sst xmlns="http://schemas.openxmlformats.org/spreadsheetml/2006/main" count="35" uniqueCount="22">
  <si>
    <t>исх</t>
  </si>
  <si>
    <t>модиф</t>
  </si>
  <si>
    <t>Ts</t>
  </si>
  <si>
    <t>Wt</t>
  </si>
  <si>
    <t>W0</t>
  </si>
  <si>
    <t>Tб</t>
  </si>
  <si>
    <t>W(мг)</t>
  </si>
  <si>
    <t>F</t>
  </si>
  <si>
    <t>исходное</t>
  </si>
  <si>
    <t>N</t>
  </si>
  <si>
    <t xml:space="preserve"> T</t>
  </si>
  <si>
    <t>Wi(мг)</t>
  </si>
  <si>
    <t>модифицированное</t>
  </si>
  <si>
    <t>(дел)</t>
  </si>
  <si>
    <t>lnln</t>
  </si>
  <si>
    <t>Q</t>
  </si>
  <si>
    <t>Eэфф</t>
  </si>
  <si>
    <t>y=0,0164x+0,3495</t>
  </si>
  <si>
    <t>Дж/моль</t>
  </si>
  <si>
    <t>y=0,0139x+0,5549</t>
  </si>
  <si>
    <t>Еэфф</t>
  </si>
  <si>
    <t>W%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</si>
</sst>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797823122495593"/>
          <c:y val="0.10095324071752178"/>
          <c:w val="0.72950053863291919"/>
          <c:h val="0.7368019124997909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Лист2!$B$11:$B$29</c:f>
              <c:numCache>
                <c:formatCode>General</c:formatCode>
                <c:ptCount val="19"/>
                <c:pt idx="0">
                  <c:v>430</c:v>
                </c:pt>
                <c:pt idx="1">
                  <c:v>450</c:v>
                </c:pt>
                <c:pt idx="2">
                  <c:v>470</c:v>
                </c:pt>
                <c:pt idx="3">
                  <c:v>490</c:v>
                </c:pt>
                <c:pt idx="4">
                  <c:v>510</c:v>
                </c:pt>
                <c:pt idx="5">
                  <c:v>530</c:v>
                </c:pt>
                <c:pt idx="6">
                  <c:v>550</c:v>
                </c:pt>
                <c:pt idx="7">
                  <c:v>570</c:v>
                </c:pt>
                <c:pt idx="8">
                  <c:v>590</c:v>
                </c:pt>
                <c:pt idx="9">
                  <c:v>610</c:v>
                </c:pt>
                <c:pt idx="10">
                  <c:v>630</c:v>
                </c:pt>
                <c:pt idx="11">
                  <c:v>650</c:v>
                </c:pt>
                <c:pt idx="12">
                  <c:v>670</c:v>
                </c:pt>
                <c:pt idx="13">
                  <c:v>690</c:v>
                </c:pt>
                <c:pt idx="14">
                  <c:v>710</c:v>
                </c:pt>
                <c:pt idx="15">
                  <c:v>730</c:v>
                </c:pt>
                <c:pt idx="16">
                  <c:v>750</c:v>
                </c:pt>
                <c:pt idx="17">
                  <c:v>820</c:v>
                </c:pt>
                <c:pt idx="18">
                  <c:v>1000</c:v>
                </c:pt>
              </c:numCache>
            </c:numRef>
          </c:xVal>
          <c:yVal>
            <c:numRef>
              <c:f>Лист2!$E$11:$E$29</c:f>
              <c:numCache>
                <c:formatCode>0.00</c:formatCode>
                <c:ptCount val="19"/>
                <c:pt idx="0">
                  <c:v>0.91818181818181444</c:v>
                </c:pt>
                <c:pt idx="1">
                  <c:v>0.91818181818181444</c:v>
                </c:pt>
                <c:pt idx="2">
                  <c:v>2.7545454545454575</c:v>
                </c:pt>
                <c:pt idx="3">
                  <c:v>3.672727272727272</c:v>
                </c:pt>
                <c:pt idx="4">
                  <c:v>4.5909090909090935</c:v>
                </c:pt>
                <c:pt idx="5">
                  <c:v>5.9681818181818187</c:v>
                </c:pt>
                <c:pt idx="6">
                  <c:v>8.2636363636363654</c:v>
                </c:pt>
                <c:pt idx="7">
                  <c:v>11.477272727272727</c:v>
                </c:pt>
                <c:pt idx="8">
                  <c:v>15.609090909090909</c:v>
                </c:pt>
                <c:pt idx="9">
                  <c:v>17.445454545454545</c:v>
                </c:pt>
                <c:pt idx="10">
                  <c:v>19.281818181818181</c:v>
                </c:pt>
                <c:pt idx="11">
                  <c:v>21.577272727272728</c:v>
                </c:pt>
                <c:pt idx="12">
                  <c:v>24.790909090909089</c:v>
                </c:pt>
                <c:pt idx="13">
                  <c:v>28.463636363636361</c:v>
                </c:pt>
                <c:pt idx="14">
                  <c:v>29.84090909090909</c:v>
                </c:pt>
                <c:pt idx="15">
                  <c:v>30.759090909090908</c:v>
                </c:pt>
                <c:pt idx="16">
                  <c:v>30.759090909090908</c:v>
                </c:pt>
                <c:pt idx="17">
                  <c:v>30.759090909090908</c:v>
                </c:pt>
                <c:pt idx="18">
                  <c:v>30.759090909090908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80-4325-900F-7837311BF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4495232"/>
        <c:axId val="1724495712"/>
      </c:scatterChart>
      <c:valAx>
        <c:axId val="1724495232"/>
        <c:scaling>
          <c:orientation val="minMax"/>
          <c:max val="1050"/>
          <c:min val="4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T, 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724495712"/>
        <c:crosses val="autoZero"/>
        <c:crossBetween val="midCat"/>
        <c:majorUnit val="100"/>
      </c:valAx>
      <c:valAx>
        <c:axId val="17244957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W, </a:t>
                </a:r>
                <a:r>
                  <a:rPr lang="ru-R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мг</a:t>
                </a:r>
              </a:p>
            </c:rich>
          </c:tx>
          <c:layout>
            <c:manualLayout>
              <c:xMode val="edge"/>
              <c:yMode val="edge"/>
              <c:x val="3.8056400956076104E-2"/>
              <c:y val="0.431400554097404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72449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772222222222224"/>
                  <c:y val="0.684559619920927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de-DE"/>
                </a:p>
              </c:txPr>
            </c:trendlineLbl>
          </c:trendline>
          <c:xVal>
            <c:numRef>
              <c:f>Лист2!$I$11:$I$25</c:f>
              <c:numCache>
                <c:formatCode>General</c:formatCode>
                <c:ptCount val="15"/>
                <c:pt idx="0">
                  <c:v>-220</c:v>
                </c:pt>
                <c:pt idx="1">
                  <c:v>-200</c:v>
                </c:pt>
                <c:pt idx="2">
                  <c:v>-180</c:v>
                </c:pt>
                <c:pt idx="3">
                  <c:v>-160</c:v>
                </c:pt>
                <c:pt idx="4">
                  <c:v>-140</c:v>
                </c:pt>
                <c:pt idx="5">
                  <c:v>-120</c:v>
                </c:pt>
                <c:pt idx="6">
                  <c:v>-100</c:v>
                </c:pt>
                <c:pt idx="7">
                  <c:v>-80</c:v>
                </c:pt>
                <c:pt idx="8">
                  <c:v>-60</c:v>
                </c:pt>
                <c:pt idx="9">
                  <c:v>-40</c:v>
                </c:pt>
                <c:pt idx="10">
                  <c:v>-20</c:v>
                </c:pt>
                <c:pt idx="11">
                  <c:v>0</c:v>
                </c:pt>
                <c:pt idx="12">
                  <c:v>20</c:v>
                </c:pt>
                <c:pt idx="13">
                  <c:v>40</c:v>
                </c:pt>
                <c:pt idx="14">
                  <c:v>60</c:v>
                </c:pt>
              </c:numCache>
            </c:numRef>
          </c:xVal>
          <c:yVal>
            <c:numRef>
              <c:f>Лист2!$H$11:$H$25</c:f>
              <c:numCache>
                <c:formatCode>0.0</c:formatCode>
                <c:ptCount val="15"/>
                <c:pt idx="0">
                  <c:v>-3.4964310310491555</c:v>
                </c:pt>
                <c:pt idx="1">
                  <c:v>-3.4964310310491555</c:v>
                </c:pt>
                <c:pt idx="2">
                  <c:v>-2.3663904939415876</c:v>
                </c:pt>
                <c:pt idx="3">
                  <c:v>-2.0623470841653759</c:v>
                </c:pt>
                <c:pt idx="4">
                  <c:v>-1.8223752772848221</c:v>
                </c:pt>
                <c:pt idx="5">
                  <c:v>-1.5338269821640498</c:v>
                </c:pt>
                <c:pt idx="6">
                  <c:v>-1.1619600908958083</c:v>
                </c:pt>
                <c:pt idx="7">
                  <c:v>-0.76137676961906287</c:v>
                </c:pt>
                <c:pt idx="8">
                  <c:v>-0.3450498381932709</c:v>
                </c:pt>
                <c:pt idx="9">
                  <c:v>-0.1774572594091107</c:v>
                </c:pt>
                <c:pt idx="10">
                  <c:v>-1.4284748415761698E-2</c:v>
                </c:pt>
                <c:pt idx="11">
                  <c:v>0.18976077195246524</c:v>
                </c:pt>
                <c:pt idx="12">
                  <c:v>0.49453968197724557</c:v>
                </c:pt>
                <c:pt idx="13">
                  <c:v>0.95368466477105485</c:v>
                </c:pt>
                <c:pt idx="14">
                  <c:v>1.2560562365392032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5E-4FCA-9566-1FC762326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960960"/>
        <c:axId val="1174961440"/>
      </c:scatterChart>
      <c:valAx>
        <c:axId val="1174960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θ(Q)</a:t>
                </a:r>
                <a:r>
                  <a:rPr lang="ru-R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, мг</a:t>
                </a:r>
              </a:p>
            </c:rich>
          </c:tx>
          <c:layout>
            <c:manualLayout>
              <c:xMode val="edge"/>
              <c:yMode val="edge"/>
              <c:x val="8.6124890638670196E-2"/>
              <c:y val="0.216643336249635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174961440"/>
        <c:crosses val="autoZero"/>
        <c:crossBetween val="midCat"/>
      </c:valAx>
      <c:valAx>
        <c:axId val="11749614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lnln(F)</a:t>
                </a:r>
                <a:endParaRPr lang="ru-RU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73055555555555551"/>
              <c:y val="0.67930519101778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0.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174960960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Лист2!$B$32:$B$49</c:f>
              <c:numCache>
                <c:formatCode>General</c:formatCode>
                <c:ptCount val="18"/>
                <c:pt idx="0">
                  <c:v>510</c:v>
                </c:pt>
                <c:pt idx="1">
                  <c:v>530</c:v>
                </c:pt>
                <c:pt idx="2">
                  <c:v>550</c:v>
                </c:pt>
                <c:pt idx="3">
                  <c:v>570</c:v>
                </c:pt>
                <c:pt idx="4">
                  <c:v>590</c:v>
                </c:pt>
                <c:pt idx="5">
                  <c:v>610</c:v>
                </c:pt>
                <c:pt idx="6">
                  <c:v>630</c:v>
                </c:pt>
                <c:pt idx="7">
                  <c:v>650</c:v>
                </c:pt>
                <c:pt idx="8">
                  <c:v>670</c:v>
                </c:pt>
                <c:pt idx="9">
                  <c:v>690</c:v>
                </c:pt>
                <c:pt idx="10">
                  <c:v>710</c:v>
                </c:pt>
                <c:pt idx="11">
                  <c:v>730</c:v>
                </c:pt>
                <c:pt idx="12">
                  <c:v>750</c:v>
                </c:pt>
                <c:pt idx="13">
                  <c:v>770</c:v>
                </c:pt>
                <c:pt idx="14">
                  <c:v>790</c:v>
                </c:pt>
                <c:pt idx="15">
                  <c:v>810</c:v>
                </c:pt>
                <c:pt idx="16">
                  <c:v>830</c:v>
                </c:pt>
                <c:pt idx="17">
                  <c:v>900</c:v>
                </c:pt>
              </c:numCache>
            </c:numRef>
          </c:xVal>
          <c:yVal>
            <c:numRef>
              <c:f>Лист2!$E$32:$E$49</c:f>
              <c:numCache>
                <c:formatCode>General</c:formatCode>
                <c:ptCount val="18"/>
                <c:pt idx="0">
                  <c:v>0.60000000000000142</c:v>
                </c:pt>
                <c:pt idx="1">
                  <c:v>0.79999999999999716</c:v>
                </c:pt>
                <c:pt idx="2">
                  <c:v>1</c:v>
                </c:pt>
                <c:pt idx="3">
                  <c:v>1.3999999999999986</c:v>
                </c:pt>
                <c:pt idx="4">
                  <c:v>1.8000000000000007</c:v>
                </c:pt>
                <c:pt idx="5">
                  <c:v>2.8000000000000007</c:v>
                </c:pt>
                <c:pt idx="6">
                  <c:v>3.8000000000000007</c:v>
                </c:pt>
                <c:pt idx="7">
                  <c:v>4.9999999999999964</c:v>
                </c:pt>
                <c:pt idx="8">
                  <c:v>5.6000000000000014</c:v>
                </c:pt>
                <c:pt idx="9">
                  <c:v>7.9999999999999964</c:v>
                </c:pt>
                <c:pt idx="10">
                  <c:v>9.8000000000000007</c:v>
                </c:pt>
                <c:pt idx="11">
                  <c:v>11</c:v>
                </c:pt>
                <c:pt idx="12">
                  <c:v>12.599999999999998</c:v>
                </c:pt>
                <c:pt idx="13">
                  <c:v>14.399999999999999</c:v>
                </c:pt>
                <c:pt idx="14">
                  <c:v>14.8</c:v>
                </c:pt>
                <c:pt idx="15">
                  <c:v>18.199999999999996</c:v>
                </c:pt>
                <c:pt idx="16">
                  <c:v>21.799999999999997</c:v>
                </c:pt>
                <c:pt idx="17">
                  <c:v>21.799999999999997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1A-4F23-9974-0D5965B1A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790544"/>
        <c:axId val="1724495232"/>
      </c:scatterChart>
      <c:valAx>
        <c:axId val="1361790544"/>
        <c:scaling>
          <c:orientation val="minMax"/>
          <c:max val="920"/>
          <c:min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T, </a:t>
                </a: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°C</a:t>
                </a:r>
                <a:endParaRPr lang="ru-RU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724495232"/>
        <c:crosses val="autoZero"/>
        <c:crossBetween val="midCat"/>
      </c:valAx>
      <c:valAx>
        <c:axId val="17244952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W,</a:t>
                </a:r>
                <a:r>
                  <a:rPr lang="en-US" sz="12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ru-RU" sz="12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мг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36179054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398884514435691"/>
                  <c:y val="0.578703703703703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de-DE"/>
                </a:p>
              </c:txPr>
            </c:trendlineLbl>
          </c:trendline>
          <c:xVal>
            <c:numRef>
              <c:f>Лист2!$I$32:$I$47</c:f>
              <c:numCache>
                <c:formatCode>General</c:formatCode>
                <c:ptCount val="16"/>
                <c:pt idx="0">
                  <c:v>-290</c:v>
                </c:pt>
                <c:pt idx="1">
                  <c:v>-270</c:v>
                </c:pt>
                <c:pt idx="2">
                  <c:v>-250</c:v>
                </c:pt>
                <c:pt idx="3">
                  <c:v>-230</c:v>
                </c:pt>
                <c:pt idx="4">
                  <c:v>-210</c:v>
                </c:pt>
                <c:pt idx="5">
                  <c:v>-190</c:v>
                </c:pt>
                <c:pt idx="6">
                  <c:v>-170</c:v>
                </c:pt>
                <c:pt idx="7">
                  <c:v>-150</c:v>
                </c:pt>
                <c:pt idx="8">
                  <c:v>-130</c:v>
                </c:pt>
                <c:pt idx="9">
                  <c:v>-110</c:v>
                </c:pt>
                <c:pt idx="10">
                  <c:v>-90</c:v>
                </c:pt>
                <c:pt idx="11">
                  <c:v>-70</c:v>
                </c:pt>
                <c:pt idx="12">
                  <c:v>-50</c:v>
                </c:pt>
                <c:pt idx="13">
                  <c:v>-30</c:v>
                </c:pt>
                <c:pt idx="14">
                  <c:v>-10</c:v>
                </c:pt>
                <c:pt idx="15">
                  <c:v>10</c:v>
                </c:pt>
              </c:numCache>
            </c:numRef>
          </c:xVal>
          <c:yVal>
            <c:numRef>
              <c:f>Лист2!$H$32:$H$47</c:f>
              <c:numCache>
                <c:formatCode>0.0</c:formatCode>
                <c:ptCount val="16"/>
                <c:pt idx="0">
                  <c:v>-3.5788136534774302</c:v>
                </c:pt>
                <c:pt idx="1">
                  <c:v>-3.2864179972097833</c:v>
                </c:pt>
                <c:pt idx="2">
                  <c:v>-3.0585233498239393</c:v>
                </c:pt>
                <c:pt idx="3">
                  <c:v>-2.7124337607030959</c:v>
                </c:pt>
                <c:pt idx="4">
                  <c:v>-2.4513438790959108</c:v>
                </c:pt>
                <c:pt idx="5">
                  <c:v>-1.9843423613808671</c:v>
                </c:pt>
                <c:pt idx="6">
                  <c:v>-1.6526679503249579</c:v>
                </c:pt>
                <c:pt idx="7">
                  <c:v>-1.3450331028884808</c:v>
                </c:pt>
                <c:pt idx="8">
                  <c:v>-1.2143641829854832</c:v>
                </c:pt>
                <c:pt idx="9">
                  <c:v>-0.78254384889959949</c:v>
                </c:pt>
                <c:pt idx="10">
                  <c:v>-0.51583260445417223</c:v>
                </c:pt>
                <c:pt idx="11">
                  <c:v>-0.35330372479641764</c:v>
                </c:pt>
                <c:pt idx="12">
                  <c:v>-0.14768075497255068</c:v>
                </c:pt>
                <c:pt idx="13">
                  <c:v>7.7359081893430562E-2</c:v>
                </c:pt>
                <c:pt idx="14">
                  <c:v>0.12751316249941386</c:v>
                </c:pt>
                <c:pt idx="15">
                  <c:v>0.5883288092114306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6F-4534-8BB9-4419169EA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435152"/>
        <c:axId val="1360426512"/>
      </c:scatterChart>
      <c:valAx>
        <c:axId val="1360435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θ(Q), </a:t>
                </a:r>
                <a:r>
                  <a:rPr lang="ru-RU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мг</a:t>
                </a:r>
              </a:p>
            </c:rich>
          </c:tx>
          <c:layout>
            <c:manualLayout>
              <c:xMode val="edge"/>
              <c:yMode val="edge"/>
              <c:x val="9.4215223097112902E-2"/>
              <c:y val="0.121296296296296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360426512"/>
        <c:crosses val="autoZero"/>
        <c:crossBetween val="midCat"/>
      </c:valAx>
      <c:valAx>
        <c:axId val="13604265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lnln(F)</a:t>
                </a:r>
                <a:endParaRPr lang="ru-RU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85555555555555551"/>
              <c:y val="0.691955745115193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36043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56554339302403"/>
          <c:y val="4.0182648401826483E-2"/>
          <c:w val="0.82700110644423197"/>
          <c:h val="0.79790572753748246"/>
        </c:manualLayout>
      </c:layout>
      <c:scatterChart>
        <c:scatterStyle val="smoothMarker"/>
        <c:varyColors val="0"/>
        <c:ser>
          <c:idx val="0"/>
          <c:order val="0"/>
          <c:tx>
            <c:v>Исходный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Лист2!$B$11:$B$29</c:f>
              <c:numCache>
                <c:formatCode>General</c:formatCode>
                <c:ptCount val="19"/>
                <c:pt idx="0">
                  <c:v>430</c:v>
                </c:pt>
                <c:pt idx="1">
                  <c:v>450</c:v>
                </c:pt>
                <c:pt idx="2">
                  <c:v>470</c:v>
                </c:pt>
                <c:pt idx="3">
                  <c:v>490</c:v>
                </c:pt>
                <c:pt idx="4">
                  <c:v>510</c:v>
                </c:pt>
                <c:pt idx="5">
                  <c:v>530</c:v>
                </c:pt>
                <c:pt idx="6">
                  <c:v>550</c:v>
                </c:pt>
                <c:pt idx="7">
                  <c:v>570</c:v>
                </c:pt>
                <c:pt idx="8">
                  <c:v>590</c:v>
                </c:pt>
                <c:pt idx="9">
                  <c:v>610</c:v>
                </c:pt>
                <c:pt idx="10">
                  <c:v>630</c:v>
                </c:pt>
                <c:pt idx="11">
                  <c:v>650</c:v>
                </c:pt>
                <c:pt idx="12">
                  <c:v>670</c:v>
                </c:pt>
                <c:pt idx="13">
                  <c:v>690</c:v>
                </c:pt>
                <c:pt idx="14">
                  <c:v>710</c:v>
                </c:pt>
                <c:pt idx="15">
                  <c:v>730</c:v>
                </c:pt>
                <c:pt idx="16">
                  <c:v>750</c:v>
                </c:pt>
                <c:pt idx="17">
                  <c:v>820</c:v>
                </c:pt>
                <c:pt idx="18">
                  <c:v>1000</c:v>
                </c:pt>
              </c:numCache>
            </c:numRef>
          </c:xVal>
          <c:yVal>
            <c:numRef>
              <c:f>Лист2!$F$11:$F$29</c:f>
              <c:numCache>
                <c:formatCode>0.0</c:formatCode>
                <c:ptCount val="19"/>
                <c:pt idx="0">
                  <c:v>2.2727272727272636</c:v>
                </c:pt>
                <c:pt idx="1">
                  <c:v>2.2727272727272636</c:v>
                </c:pt>
                <c:pt idx="2">
                  <c:v>6.8181818181818263</c:v>
                </c:pt>
                <c:pt idx="3">
                  <c:v>9.0909090909090899</c:v>
                </c:pt>
                <c:pt idx="4">
                  <c:v>11.36363636363637</c:v>
                </c:pt>
                <c:pt idx="5">
                  <c:v>14.772727272727273</c:v>
                </c:pt>
                <c:pt idx="6">
                  <c:v>20.45454545454546</c:v>
                </c:pt>
                <c:pt idx="7">
                  <c:v>28.409090909090907</c:v>
                </c:pt>
                <c:pt idx="8">
                  <c:v>38.63636363636364</c:v>
                </c:pt>
                <c:pt idx="9">
                  <c:v>43.18181818181818</c:v>
                </c:pt>
                <c:pt idx="10">
                  <c:v>47.727272727272727</c:v>
                </c:pt>
                <c:pt idx="11">
                  <c:v>53.409090909090921</c:v>
                </c:pt>
                <c:pt idx="12">
                  <c:v>61.363636363636367</c:v>
                </c:pt>
                <c:pt idx="13">
                  <c:v>70.454545454545453</c:v>
                </c:pt>
                <c:pt idx="14">
                  <c:v>73.86363636363636</c:v>
                </c:pt>
                <c:pt idx="15">
                  <c:v>76.13636363636364</c:v>
                </c:pt>
                <c:pt idx="16">
                  <c:v>76.13636363636364</c:v>
                </c:pt>
                <c:pt idx="17">
                  <c:v>76.13636363636364</c:v>
                </c:pt>
                <c:pt idx="18">
                  <c:v>76.13636363636364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77-4E54-BF78-43ABBAECCD1D}"/>
            </c:ext>
          </c:extLst>
        </c:ser>
        <c:ser>
          <c:idx val="1"/>
          <c:order val="1"/>
          <c:tx>
            <c:v>Модифицированный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Лист2!$B$32:$B$49</c:f>
              <c:numCache>
                <c:formatCode>General</c:formatCode>
                <c:ptCount val="18"/>
                <c:pt idx="0">
                  <c:v>510</c:v>
                </c:pt>
                <c:pt idx="1">
                  <c:v>530</c:v>
                </c:pt>
                <c:pt idx="2">
                  <c:v>550</c:v>
                </c:pt>
                <c:pt idx="3">
                  <c:v>570</c:v>
                </c:pt>
                <c:pt idx="4">
                  <c:v>590</c:v>
                </c:pt>
                <c:pt idx="5">
                  <c:v>610</c:v>
                </c:pt>
                <c:pt idx="6">
                  <c:v>630</c:v>
                </c:pt>
                <c:pt idx="7">
                  <c:v>650</c:v>
                </c:pt>
                <c:pt idx="8">
                  <c:v>670</c:v>
                </c:pt>
                <c:pt idx="9">
                  <c:v>690</c:v>
                </c:pt>
                <c:pt idx="10">
                  <c:v>710</c:v>
                </c:pt>
                <c:pt idx="11">
                  <c:v>730</c:v>
                </c:pt>
                <c:pt idx="12">
                  <c:v>750</c:v>
                </c:pt>
                <c:pt idx="13">
                  <c:v>770</c:v>
                </c:pt>
                <c:pt idx="14">
                  <c:v>790</c:v>
                </c:pt>
                <c:pt idx="15">
                  <c:v>810</c:v>
                </c:pt>
                <c:pt idx="16">
                  <c:v>830</c:v>
                </c:pt>
                <c:pt idx="17">
                  <c:v>900</c:v>
                </c:pt>
              </c:numCache>
            </c:numRef>
          </c:xVal>
          <c:yVal>
            <c:numRef>
              <c:f>Лист2!$F$32:$F$49</c:f>
              <c:numCache>
                <c:formatCode>0.0</c:formatCode>
                <c:ptCount val="18"/>
                <c:pt idx="0">
                  <c:v>1.7964071856287469</c:v>
                </c:pt>
                <c:pt idx="1">
                  <c:v>2.3952095808383147</c:v>
                </c:pt>
                <c:pt idx="2">
                  <c:v>2.9940119760479043</c:v>
                </c:pt>
                <c:pt idx="3">
                  <c:v>4.191616766467062</c:v>
                </c:pt>
                <c:pt idx="4">
                  <c:v>5.3892215568862296</c:v>
                </c:pt>
                <c:pt idx="5">
                  <c:v>8.3832335329341348</c:v>
                </c:pt>
                <c:pt idx="6">
                  <c:v>11.377245508982039</c:v>
                </c:pt>
                <c:pt idx="7">
                  <c:v>14.970059880239511</c:v>
                </c:pt>
                <c:pt idx="8">
                  <c:v>16.76646706586827</c:v>
                </c:pt>
                <c:pt idx="9">
                  <c:v>23.952095808383227</c:v>
                </c:pt>
                <c:pt idx="10">
                  <c:v>29.341317365269465</c:v>
                </c:pt>
                <c:pt idx="11">
                  <c:v>32.934131736526943</c:v>
                </c:pt>
                <c:pt idx="12">
                  <c:v>37.724550898203589</c:v>
                </c:pt>
                <c:pt idx="13">
                  <c:v>43.113772455089816</c:v>
                </c:pt>
                <c:pt idx="14">
                  <c:v>44.311377245508986</c:v>
                </c:pt>
                <c:pt idx="15">
                  <c:v>54.491017964071844</c:v>
                </c:pt>
                <c:pt idx="16">
                  <c:v>65.269461077844298</c:v>
                </c:pt>
                <c:pt idx="17">
                  <c:v>65.269461077844298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77-4E54-BF78-43ABBAECC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815727"/>
        <c:axId val="1614814287"/>
      </c:scatterChart>
      <c:valAx>
        <c:axId val="1614815727"/>
        <c:scaling>
          <c:orientation val="minMax"/>
          <c:max val="100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  <a:r>
                  <a:rPr lang="ru-RU" sz="12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, °</a:t>
                </a:r>
                <a:r>
                  <a:rPr lang="en-US" sz="12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</a:t>
                </a:r>
                <a:endParaRPr lang="ru-RU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614814287"/>
        <c:crosses val="autoZero"/>
        <c:crossBetween val="midCat"/>
      </c:valAx>
      <c:valAx>
        <c:axId val="1614814287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W,</a:t>
                </a:r>
                <a:r>
                  <a:rPr lang="ru-RU" sz="12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%</a:t>
                </a:r>
                <a:endParaRPr lang="ru-RU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614815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437195862113412"/>
          <c:y val="0.57716837450113267"/>
          <c:w val="0.24150777196506645"/>
          <c:h val="0.210959767015424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80961</xdr:colOff>
      <xdr:row>8</xdr:row>
      <xdr:rowOff>114300</xdr:rowOff>
    </xdr:from>
    <xdr:to>
      <xdr:col>16</xdr:col>
      <xdr:colOff>485774</xdr:colOff>
      <xdr:row>24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5D9A6AC-DDB4-6CCC-8611-6B794A0EF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566737</xdr:colOff>
      <xdr:row>8</xdr:row>
      <xdr:rowOff>104775</xdr:rowOff>
    </xdr:from>
    <xdr:to>
      <xdr:col>24</xdr:col>
      <xdr:colOff>261937</xdr:colOff>
      <xdr:row>24</xdr:row>
      <xdr:rowOff>66675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986CF74-0E9B-E73E-E179-6E6E2B546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142875</xdr:colOff>
      <xdr:row>31</xdr:row>
      <xdr:rowOff>133350</xdr:rowOff>
    </xdr:from>
    <xdr:to>
      <xdr:col>16</xdr:col>
      <xdr:colOff>447675</xdr:colOff>
      <xdr:row>46</xdr:row>
      <xdr:rowOff>19050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DEB9A2F-B234-0E41-1929-7B1ADB4D3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533400</xdr:colOff>
      <xdr:row>31</xdr:row>
      <xdr:rowOff>171450</xdr:rowOff>
    </xdr:from>
    <xdr:to>
      <xdr:col>24</xdr:col>
      <xdr:colOff>228600</xdr:colOff>
      <xdr:row>46</xdr:row>
      <xdr:rowOff>57150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A78743F-9796-721A-5B79-8BCC4BB59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447675</xdr:colOff>
      <xdr:row>51</xdr:row>
      <xdr:rowOff>47624</xdr:rowOff>
    </xdr:from>
    <xdr:to>
      <xdr:col>20</xdr:col>
      <xdr:colOff>114300</xdr:colOff>
      <xdr:row>69</xdr:row>
      <xdr:rowOff>95249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5C078D0-C167-DBD0-6D9C-17F3B8709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C8A4-BCEE-41C2-8AFD-91E36E4601C5}">
  <dimension ref="A1:I57"/>
  <sheetViews>
    <sheetView tabSelected="1" topLeftCell="B1" workbookViewId="0">
      <selection activeCell="T28" sqref="T28"/>
    </sheetView>
  </sheetViews>
  <sheetFormatPr defaultRowHeight="15" x14ac:dyDescent="0.25"/>
  <cols>
    <col min="7" max="7" width="9.5703125" bestFit="1" customWidth="1"/>
  </cols>
  <sheetData>
    <row r="1" spans="1:9" x14ac:dyDescent="0.25">
      <c r="B1" t="s">
        <v>0</v>
      </c>
      <c r="C1" t="s">
        <v>1</v>
      </c>
    </row>
    <row r="2" spans="1:9" x14ac:dyDescent="0.25">
      <c r="A2" t="s">
        <v>2</v>
      </c>
      <c r="B2">
        <v>650</v>
      </c>
      <c r="C2">
        <v>800</v>
      </c>
    </row>
    <row r="3" spans="1:9" x14ac:dyDescent="0.25">
      <c r="A3" t="s">
        <v>4</v>
      </c>
      <c r="B3">
        <v>40.4</v>
      </c>
      <c r="C3">
        <v>33.4</v>
      </c>
    </row>
    <row r="4" spans="1:9" x14ac:dyDescent="0.25">
      <c r="A4" t="s">
        <v>3</v>
      </c>
      <c r="B4" s="1">
        <f>D29</f>
        <v>9.6409090909090907</v>
      </c>
      <c r="C4" s="1">
        <f>D48</f>
        <v>11.6</v>
      </c>
    </row>
    <row r="5" spans="1:9" x14ac:dyDescent="0.25">
      <c r="A5" t="s">
        <v>5</v>
      </c>
      <c r="B5">
        <v>430</v>
      </c>
      <c r="C5">
        <v>490</v>
      </c>
    </row>
    <row r="9" spans="1:9" x14ac:dyDescent="0.25">
      <c r="A9" s="4" t="s">
        <v>8</v>
      </c>
      <c r="B9" s="4"/>
      <c r="C9" s="4"/>
      <c r="D9" s="4"/>
      <c r="E9" s="4"/>
      <c r="F9" s="4"/>
      <c r="G9" s="4"/>
      <c r="H9" s="4"/>
    </row>
    <row r="10" spans="1:9" x14ac:dyDescent="0.25">
      <c r="A10" t="s">
        <v>9</v>
      </c>
      <c r="B10" t="s">
        <v>10</v>
      </c>
      <c r="C10" t="s">
        <v>13</v>
      </c>
      <c r="D10" t="s">
        <v>6</v>
      </c>
      <c r="E10" t="s">
        <v>11</v>
      </c>
      <c r="F10" t="s">
        <v>21</v>
      </c>
      <c r="G10" t="s">
        <v>7</v>
      </c>
      <c r="H10" t="s">
        <v>14</v>
      </c>
      <c r="I10" t="s">
        <v>15</v>
      </c>
    </row>
    <row r="11" spans="1:9" x14ac:dyDescent="0.25">
      <c r="A11">
        <v>1</v>
      </c>
      <c r="B11">
        <v>430</v>
      </c>
      <c r="C11">
        <f>100-14</f>
        <v>86</v>
      </c>
      <c r="D11" s="2">
        <f>40.4*C11/88</f>
        <v>39.481818181818184</v>
      </c>
      <c r="E11" s="2">
        <f>$B$3-D11</f>
        <v>0.91818181818181444</v>
      </c>
      <c r="F11" s="3">
        <f>E11/$B$3*100</f>
        <v>2.2727272727272636</v>
      </c>
      <c r="G11" s="1">
        <f t="shared" ref="G11:G29" si="0">($B$3-$B$4)/(D11-$B$4)</f>
        <v>1.0307692307692307</v>
      </c>
      <c r="H11" s="3">
        <f>LN(LN(G11))</f>
        <v>-3.4964310310491555</v>
      </c>
      <c r="I11">
        <f t="shared" ref="I11:I25" si="1">B11-$B$2</f>
        <v>-220</v>
      </c>
    </row>
    <row r="12" spans="1:9" x14ac:dyDescent="0.25">
      <c r="A12">
        <v>2</v>
      </c>
      <c r="B12">
        <v>450</v>
      </c>
      <c r="C12">
        <f>100-14</f>
        <v>86</v>
      </c>
      <c r="D12" s="2">
        <f t="shared" ref="D12:D29" si="2">40.4*C12/88</f>
        <v>39.481818181818184</v>
      </c>
      <c r="E12" s="2">
        <f t="shared" ref="E12:E29" si="3">$B$3-D12</f>
        <v>0.91818181818181444</v>
      </c>
      <c r="F12" s="3">
        <f t="shared" ref="F12:F29" si="4">E12/$B$3*100</f>
        <v>2.2727272727272636</v>
      </c>
      <c r="G12" s="1">
        <f t="shared" si="0"/>
        <v>1.0307692307692307</v>
      </c>
      <c r="H12" s="3">
        <f t="shared" ref="H12:H29" si="5">LN(LN(G12))</f>
        <v>-3.4964310310491555</v>
      </c>
      <c r="I12">
        <f t="shared" si="1"/>
        <v>-200</v>
      </c>
    </row>
    <row r="13" spans="1:9" x14ac:dyDescent="0.25">
      <c r="A13">
        <v>3</v>
      </c>
      <c r="B13">
        <v>470</v>
      </c>
      <c r="C13">
        <f>100-18</f>
        <v>82</v>
      </c>
      <c r="D13" s="2">
        <f t="shared" si="2"/>
        <v>37.645454545454541</v>
      </c>
      <c r="E13" s="2">
        <f t="shared" si="3"/>
        <v>2.7545454545454575</v>
      </c>
      <c r="F13" s="3">
        <f t="shared" si="4"/>
        <v>6.8181818181818263</v>
      </c>
      <c r="G13" s="1">
        <f t="shared" si="0"/>
        <v>1.098360655737705</v>
      </c>
      <c r="H13" s="3">
        <f t="shared" si="5"/>
        <v>-2.3663904939415876</v>
      </c>
      <c r="I13">
        <f t="shared" si="1"/>
        <v>-180</v>
      </c>
    </row>
    <row r="14" spans="1:9" x14ac:dyDescent="0.25">
      <c r="A14">
        <v>4</v>
      </c>
      <c r="B14">
        <v>490</v>
      </c>
      <c r="C14">
        <f>100-20</f>
        <v>80</v>
      </c>
      <c r="D14" s="2">
        <f t="shared" si="2"/>
        <v>36.727272727272727</v>
      </c>
      <c r="E14" s="2">
        <f t="shared" si="3"/>
        <v>3.672727272727272</v>
      </c>
      <c r="F14" s="3">
        <f t="shared" si="4"/>
        <v>9.0909090909090899</v>
      </c>
      <c r="G14" s="1">
        <f t="shared" si="0"/>
        <v>1.1355932203389831</v>
      </c>
      <c r="H14" s="3">
        <f t="shared" si="5"/>
        <v>-2.0623470841653759</v>
      </c>
      <c r="I14">
        <f t="shared" si="1"/>
        <v>-160</v>
      </c>
    </row>
    <row r="15" spans="1:9" x14ac:dyDescent="0.25">
      <c r="A15">
        <v>5</v>
      </c>
      <c r="B15">
        <v>510</v>
      </c>
      <c r="C15">
        <f>100-22</f>
        <v>78</v>
      </c>
      <c r="D15" s="2">
        <f t="shared" si="2"/>
        <v>35.809090909090905</v>
      </c>
      <c r="E15" s="2">
        <f t="shared" si="3"/>
        <v>4.5909090909090935</v>
      </c>
      <c r="F15" s="3">
        <f t="shared" si="4"/>
        <v>11.36363636363637</v>
      </c>
      <c r="G15" s="1">
        <f t="shared" si="0"/>
        <v>1.1754385964912282</v>
      </c>
      <c r="H15" s="3">
        <f t="shared" si="5"/>
        <v>-1.8223752772848221</v>
      </c>
      <c r="I15">
        <f t="shared" si="1"/>
        <v>-140</v>
      </c>
    </row>
    <row r="16" spans="1:9" x14ac:dyDescent="0.25">
      <c r="A16">
        <v>6</v>
      </c>
      <c r="B16">
        <v>530</v>
      </c>
      <c r="C16">
        <f>100-25</f>
        <v>75</v>
      </c>
      <c r="D16" s="2">
        <f t="shared" si="2"/>
        <v>34.43181818181818</v>
      </c>
      <c r="E16" s="2">
        <f t="shared" si="3"/>
        <v>5.9681818181818187</v>
      </c>
      <c r="F16" s="3">
        <f t="shared" si="4"/>
        <v>14.772727272727273</v>
      </c>
      <c r="G16" s="1">
        <f t="shared" si="0"/>
        <v>1.2407407407407407</v>
      </c>
      <c r="H16" s="3">
        <f t="shared" si="5"/>
        <v>-1.5338269821640498</v>
      </c>
      <c r="I16">
        <f t="shared" si="1"/>
        <v>-120</v>
      </c>
    </row>
    <row r="17" spans="1:9" x14ac:dyDescent="0.25">
      <c r="A17">
        <v>7</v>
      </c>
      <c r="B17">
        <v>550</v>
      </c>
      <c r="C17">
        <f>100-30</f>
        <v>70</v>
      </c>
      <c r="D17" s="2">
        <f t="shared" si="2"/>
        <v>32.136363636363633</v>
      </c>
      <c r="E17" s="2">
        <f t="shared" si="3"/>
        <v>8.2636363636363654</v>
      </c>
      <c r="F17" s="3">
        <f t="shared" si="4"/>
        <v>20.45454545454546</v>
      </c>
      <c r="G17" s="1">
        <f t="shared" si="0"/>
        <v>1.3673469387755104</v>
      </c>
      <c r="H17" s="3">
        <f t="shared" si="5"/>
        <v>-1.1619600908958083</v>
      </c>
      <c r="I17">
        <f t="shared" si="1"/>
        <v>-100</v>
      </c>
    </row>
    <row r="18" spans="1:9" x14ac:dyDescent="0.25">
      <c r="A18">
        <v>8</v>
      </c>
      <c r="B18">
        <v>570</v>
      </c>
      <c r="C18">
        <f>100-37</f>
        <v>63</v>
      </c>
      <c r="D18" s="2">
        <f t="shared" si="2"/>
        <v>28.922727272727272</v>
      </c>
      <c r="E18" s="2">
        <f t="shared" si="3"/>
        <v>11.477272727272727</v>
      </c>
      <c r="F18" s="3">
        <f t="shared" si="4"/>
        <v>28.409090909090907</v>
      </c>
      <c r="G18" s="1">
        <f t="shared" si="0"/>
        <v>1.5952380952380951</v>
      </c>
      <c r="H18" s="3">
        <f t="shared" si="5"/>
        <v>-0.76137676961906287</v>
      </c>
      <c r="I18">
        <f t="shared" si="1"/>
        <v>-80</v>
      </c>
    </row>
    <row r="19" spans="1:9" x14ac:dyDescent="0.25">
      <c r="A19">
        <v>9</v>
      </c>
      <c r="B19">
        <v>590</v>
      </c>
      <c r="C19">
        <f>100-46</f>
        <v>54</v>
      </c>
      <c r="D19" s="2">
        <f t="shared" si="2"/>
        <v>24.790909090909089</v>
      </c>
      <c r="E19" s="2">
        <f t="shared" si="3"/>
        <v>15.609090909090909</v>
      </c>
      <c r="F19" s="3">
        <f t="shared" si="4"/>
        <v>38.63636363636364</v>
      </c>
      <c r="G19" s="1">
        <f t="shared" si="0"/>
        <v>2.0303030303030303</v>
      </c>
      <c r="H19" s="3">
        <f t="shared" si="5"/>
        <v>-0.3450498381932709</v>
      </c>
      <c r="I19">
        <f t="shared" si="1"/>
        <v>-60</v>
      </c>
    </row>
    <row r="20" spans="1:9" x14ac:dyDescent="0.25">
      <c r="A20">
        <v>10</v>
      </c>
      <c r="B20">
        <v>610</v>
      </c>
      <c r="C20">
        <f>100-50</f>
        <v>50</v>
      </c>
      <c r="D20" s="2">
        <f t="shared" si="2"/>
        <v>22.954545454545453</v>
      </c>
      <c r="E20" s="2">
        <f t="shared" si="3"/>
        <v>17.445454545454545</v>
      </c>
      <c r="F20" s="3">
        <f t="shared" si="4"/>
        <v>43.18181818181818</v>
      </c>
      <c r="G20" s="1">
        <f t="shared" si="0"/>
        <v>2.3103448275862069</v>
      </c>
      <c r="H20" s="3">
        <f t="shared" si="5"/>
        <v>-0.1774572594091107</v>
      </c>
      <c r="I20">
        <f t="shared" si="1"/>
        <v>-40</v>
      </c>
    </row>
    <row r="21" spans="1:9" x14ac:dyDescent="0.25">
      <c r="A21">
        <v>11</v>
      </c>
      <c r="B21">
        <v>630</v>
      </c>
      <c r="C21">
        <f>100-54</f>
        <v>46</v>
      </c>
      <c r="D21" s="2">
        <f t="shared" si="2"/>
        <v>21.118181818181817</v>
      </c>
      <c r="E21" s="2">
        <f t="shared" si="3"/>
        <v>19.281818181818181</v>
      </c>
      <c r="F21" s="3">
        <f t="shared" si="4"/>
        <v>47.727272727272727</v>
      </c>
      <c r="G21" s="1">
        <f t="shared" si="0"/>
        <v>2.68</v>
      </c>
      <c r="H21" s="3">
        <f t="shared" si="5"/>
        <v>-1.4284748415761698E-2</v>
      </c>
      <c r="I21">
        <f t="shared" si="1"/>
        <v>-20</v>
      </c>
    </row>
    <row r="22" spans="1:9" x14ac:dyDescent="0.25">
      <c r="A22">
        <v>12</v>
      </c>
      <c r="B22">
        <v>650</v>
      </c>
      <c r="C22">
        <f>100-59</f>
        <v>41</v>
      </c>
      <c r="D22" s="2">
        <f t="shared" si="2"/>
        <v>18.822727272727271</v>
      </c>
      <c r="E22" s="2">
        <f t="shared" si="3"/>
        <v>21.577272727272728</v>
      </c>
      <c r="F22" s="3">
        <f t="shared" si="4"/>
        <v>53.409090909090921</v>
      </c>
      <c r="G22" s="1">
        <f t="shared" si="0"/>
        <v>3.3500000000000005</v>
      </c>
      <c r="H22" s="3">
        <f t="shared" si="5"/>
        <v>0.18976077195246524</v>
      </c>
      <c r="I22">
        <f t="shared" si="1"/>
        <v>0</v>
      </c>
    </row>
    <row r="23" spans="1:9" x14ac:dyDescent="0.25">
      <c r="A23">
        <v>13</v>
      </c>
      <c r="B23">
        <v>670</v>
      </c>
      <c r="C23">
        <f>100-66</f>
        <v>34</v>
      </c>
      <c r="D23" s="2">
        <f t="shared" si="2"/>
        <v>15.609090909090908</v>
      </c>
      <c r="E23" s="2">
        <f t="shared" si="3"/>
        <v>24.790909090909089</v>
      </c>
      <c r="F23" s="3">
        <f t="shared" si="4"/>
        <v>61.363636363636367</v>
      </c>
      <c r="G23" s="1">
        <f t="shared" si="0"/>
        <v>5.1538461538461551</v>
      </c>
      <c r="H23" s="3">
        <f t="shared" si="5"/>
        <v>0.49453968197724557</v>
      </c>
      <c r="I23">
        <f t="shared" si="1"/>
        <v>20</v>
      </c>
    </row>
    <row r="24" spans="1:9" x14ac:dyDescent="0.25">
      <c r="A24">
        <v>14</v>
      </c>
      <c r="B24">
        <v>690</v>
      </c>
      <c r="C24">
        <f>100-74</f>
        <v>26</v>
      </c>
      <c r="D24" s="2">
        <f t="shared" si="2"/>
        <v>11.936363636363636</v>
      </c>
      <c r="E24" s="2">
        <f t="shared" si="3"/>
        <v>28.463636363636361</v>
      </c>
      <c r="F24" s="3">
        <f t="shared" si="4"/>
        <v>70.454545454545453</v>
      </c>
      <c r="G24" s="1">
        <f t="shared" si="0"/>
        <v>13.400000000000002</v>
      </c>
      <c r="H24" s="3">
        <f t="shared" si="5"/>
        <v>0.95368466477105485</v>
      </c>
      <c r="I24">
        <f t="shared" si="1"/>
        <v>40</v>
      </c>
    </row>
    <row r="25" spans="1:9" x14ac:dyDescent="0.25">
      <c r="A25">
        <v>15</v>
      </c>
      <c r="B25">
        <v>710</v>
      </c>
      <c r="C25">
        <f>100-77</f>
        <v>23</v>
      </c>
      <c r="D25" s="2">
        <f t="shared" si="2"/>
        <v>10.559090909090909</v>
      </c>
      <c r="E25" s="2">
        <f t="shared" si="3"/>
        <v>29.84090909090909</v>
      </c>
      <c r="F25" s="3">
        <f t="shared" si="4"/>
        <v>73.86363636363636</v>
      </c>
      <c r="G25" s="1">
        <f t="shared" si="0"/>
        <v>33.500000000000007</v>
      </c>
      <c r="H25" s="3">
        <f t="shared" si="5"/>
        <v>1.2560562365392032</v>
      </c>
      <c r="I25">
        <f t="shared" si="1"/>
        <v>60</v>
      </c>
    </row>
    <row r="26" spans="1:9" x14ac:dyDescent="0.25">
      <c r="A26">
        <v>16</v>
      </c>
      <c r="B26">
        <v>730</v>
      </c>
      <c r="C26">
        <f>100-79</f>
        <v>21</v>
      </c>
      <c r="D26" s="2">
        <f t="shared" si="2"/>
        <v>9.6409090909090907</v>
      </c>
      <c r="E26" s="2">
        <f t="shared" si="3"/>
        <v>30.759090909090908</v>
      </c>
      <c r="F26" s="3">
        <f t="shared" si="4"/>
        <v>76.13636363636364</v>
      </c>
      <c r="G26" t="e">
        <f t="shared" si="0"/>
        <v>#DIV/0!</v>
      </c>
      <c r="H26" t="e">
        <f t="shared" si="5"/>
        <v>#DIV/0!</v>
      </c>
    </row>
    <row r="27" spans="1:9" x14ac:dyDescent="0.25">
      <c r="A27">
        <v>17</v>
      </c>
      <c r="B27">
        <v>750</v>
      </c>
      <c r="C27">
        <v>21</v>
      </c>
      <c r="D27" s="2">
        <f t="shared" si="2"/>
        <v>9.6409090909090907</v>
      </c>
      <c r="E27" s="2">
        <f t="shared" si="3"/>
        <v>30.759090909090908</v>
      </c>
      <c r="F27" s="3">
        <f t="shared" si="4"/>
        <v>76.13636363636364</v>
      </c>
      <c r="G27" t="e">
        <f t="shared" si="0"/>
        <v>#DIV/0!</v>
      </c>
      <c r="H27" t="e">
        <f t="shared" si="5"/>
        <v>#DIV/0!</v>
      </c>
    </row>
    <row r="28" spans="1:9" x14ac:dyDescent="0.25">
      <c r="A28">
        <v>18</v>
      </c>
      <c r="B28">
        <v>820</v>
      </c>
      <c r="C28">
        <v>21</v>
      </c>
      <c r="D28" s="2">
        <f t="shared" si="2"/>
        <v>9.6409090909090907</v>
      </c>
      <c r="E28" s="2">
        <f t="shared" si="3"/>
        <v>30.759090909090908</v>
      </c>
      <c r="F28" s="3">
        <f t="shared" si="4"/>
        <v>76.13636363636364</v>
      </c>
      <c r="G28" t="e">
        <f t="shared" si="0"/>
        <v>#DIV/0!</v>
      </c>
      <c r="H28" t="e">
        <f t="shared" si="5"/>
        <v>#DIV/0!</v>
      </c>
    </row>
    <row r="29" spans="1:9" x14ac:dyDescent="0.25">
      <c r="A29">
        <v>19</v>
      </c>
      <c r="B29">
        <v>1000</v>
      </c>
      <c r="C29">
        <v>21</v>
      </c>
      <c r="D29" s="2">
        <f t="shared" si="2"/>
        <v>9.6409090909090907</v>
      </c>
      <c r="E29" s="2">
        <f t="shared" si="3"/>
        <v>30.759090909090908</v>
      </c>
      <c r="F29" s="3">
        <f t="shared" si="4"/>
        <v>76.13636363636364</v>
      </c>
      <c r="G29" t="e">
        <f t="shared" si="0"/>
        <v>#DIV/0!</v>
      </c>
      <c r="H29" t="e">
        <f t="shared" si="5"/>
        <v>#DIV/0!</v>
      </c>
    </row>
    <row r="30" spans="1:9" x14ac:dyDescent="0.25">
      <c r="A30" t="s">
        <v>12</v>
      </c>
    </row>
    <row r="31" spans="1:9" x14ac:dyDescent="0.25">
      <c r="A31" t="s">
        <v>9</v>
      </c>
      <c r="B31" t="s">
        <v>10</v>
      </c>
      <c r="C31" t="s">
        <v>13</v>
      </c>
      <c r="D31" t="s">
        <v>6</v>
      </c>
      <c r="E31" t="s">
        <v>11</v>
      </c>
      <c r="F31" t="s">
        <v>21</v>
      </c>
      <c r="G31" t="s">
        <v>7</v>
      </c>
      <c r="H31" t="s">
        <v>14</v>
      </c>
      <c r="I31" t="s">
        <v>15</v>
      </c>
    </row>
    <row r="32" spans="1:9" x14ac:dyDescent="0.25">
      <c r="A32">
        <v>1</v>
      </c>
      <c r="B32">
        <v>510</v>
      </c>
      <c r="C32">
        <v>82</v>
      </c>
      <c r="D32">
        <f>33.4*C32/83.5</f>
        <v>32.799999999999997</v>
      </c>
      <c r="E32">
        <f>$C$3-D32</f>
        <v>0.60000000000000142</v>
      </c>
      <c r="F32" s="3">
        <f>E32/$C$3*100</f>
        <v>1.7964071856287469</v>
      </c>
      <c r="G32" s="1">
        <f t="shared" ref="G32:G49" si="6">($C$3-$C$4)/(D32-$C$4)</f>
        <v>1.0283018867924529</v>
      </c>
      <c r="H32" s="3">
        <f>LN(LN(G32))</f>
        <v>-3.5788136534774302</v>
      </c>
      <c r="I32">
        <f t="shared" ref="I32:I49" si="7">B32-$C$2</f>
        <v>-290</v>
      </c>
    </row>
    <row r="33" spans="1:9" x14ac:dyDescent="0.25">
      <c r="A33">
        <v>2</v>
      </c>
      <c r="B33">
        <v>530</v>
      </c>
      <c r="C33">
        <v>81.5</v>
      </c>
      <c r="D33">
        <f t="shared" ref="D33:D49" si="8">33.4*C33/83.5</f>
        <v>32.6</v>
      </c>
      <c r="E33">
        <f t="shared" ref="E33:E49" si="9">$C$3-D33</f>
        <v>0.79999999999999716</v>
      </c>
      <c r="F33" s="3">
        <f t="shared" ref="F33:F49" si="10">E33/$C$3*100</f>
        <v>2.3952095808383147</v>
      </c>
      <c r="G33" s="1">
        <f t="shared" si="6"/>
        <v>1.038095238095238</v>
      </c>
      <c r="H33" s="3">
        <f t="shared" ref="H33:H49" si="11">LN(LN(G33))</f>
        <v>-3.2864179972097833</v>
      </c>
      <c r="I33">
        <f t="shared" si="7"/>
        <v>-270</v>
      </c>
    </row>
    <row r="34" spans="1:9" x14ac:dyDescent="0.25">
      <c r="A34">
        <v>3</v>
      </c>
      <c r="B34">
        <v>550</v>
      </c>
      <c r="C34">
        <v>81</v>
      </c>
      <c r="D34">
        <f t="shared" si="8"/>
        <v>32.4</v>
      </c>
      <c r="E34">
        <f t="shared" si="9"/>
        <v>1</v>
      </c>
      <c r="F34" s="3">
        <f t="shared" si="10"/>
        <v>2.9940119760479043</v>
      </c>
      <c r="G34" s="1">
        <f t="shared" si="6"/>
        <v>1.0480769230769231</v>
      </c>
      <c r="H34" s="3">
        <f t="shared" si="11"/>
        <v>-3.0585233498239393</v>
      </c>
      <c r="I34">
        <f t="shared" si="7"/>
        <v>-250</v>
      </c>
    </row>
    <row r="35" spans="1:9" x14ac:dyDescent="0.25">
      <c r="A35">
        <v>4</v>
      </c>
      <c r="B35">
        <v>570</v>
      </c>
      <c r="C35">
        <v>80</v>
      </c>
      <c r="D35">
        <f t="shared" si="8"/>
        <v>32</v>
      </c>
      <c r="E35">
        <f t="shared" si="9"/>
        <v>1.3999999999999986</v>
      </c>
      <c r="F35" s="3">
        <f t="shared" si="10"/>
        <v>4.191616766467062</v>
      </c>
      <c r="G35" s="1">
        <f t="shared" si="6"/>
        <v>1.0686274509803921</v>
      </c>
      <c r="H35" s="3">
        <f t="shared" si="11"/>
        <v>-2.7124337607030959</v>
      </c>
      <c r="I35">
        <f t="shared" si="7"/>
        <v>-230</v>
      </c>
    </row>
    <row r="36" spans="1:9" x14ac:dyDescent="0.25">
      <c r="A36">
        <v>5</v>
      </c>
      <c r="B36">
        <v>590</v>
      </c>
      <c r="C36">
        <v>79</v>
      </c>
      <c r="D36">
        <f t="shared" si="8"/>
        <v>31.599999999999998</v>
      </c>
      <c r="E36">
        <f t="shared" si="9"/>
        <v>1.8000000000000007</v>
      </c>
      <c r="F36" s="3">
        <f t="shared" si="10"/>
        <v>5.3892215568862296</v>
      </c>
      <c r="G36" s="1">
        <f t="shared" si="6"/>
        <v>1.0899999999999999</v>
      </c>
      <c r="H36" s="3">
        <f t="shared" si="11"/>
        <v>-2.4513438790959108</v>
      </c>
      <c r="I36">
        <f t="shared" si="7"/>
        <v>-210</v>
      </c>
    </row>
    <row r="37" spans="1:9" x14ac:dyDescent="0.25">
      <c r="A37">
        <v>6</v>
      </c>
      <c r="B37">
        <v>610</v>
      </c>
      <c r="C37">
        <v>76.5</v>
      </c>
      <c r="D37">
        <f t="shared" si="8"/>
        <v>30.599999999999998</v>
      </c>
      <c r="E37">
        <f t="shared" si="9"/>
        <v>2.8000000000000007</v>
      </c>
      <c r="F37" s="3">
        <f t="shared" si="10"/>
        <v>8.3832335329341348</v>
      </c>
      <c r="G37" s="1">
        <f t="shared" si="6"/>
        <v>1.1473684210526314</v>
      </c>
      <c r="H37" s="3">
        <f t="shared" si="11"/>
        <v>-1.9843423613808671</v>
      </c>
      <c r="I37">
        <f t="shared" si="7"/>
        <v>-190</v>
      </c>
    </row>
    <row r="38" spans="1:9" x14ac:dyDescent="0.25">
      <c r="A38">
        <v>7</v>
      </c>
      <c r="B38">
        <v>630</v>
      </c>
      <c r="C38">
        <v>74</v>
      </c>
      <c r="D38">
        <f t="shared" si="8"/>
        <v>29.599999999999998</v>
      </c>
      <c r="E38">
        <f t="shared" si="9"/>
        <v>3.8000000000000007</v>
      </c>
      <c r="F38" s="3">
        <f t="shared" si="10"/>
        <v>11.377245508982039</v>
      </c>
      <c r="G38" s="1">
        <f t="shared" si="6"/>
        <v>1.211111111111111</v>
      </c>
      <c r="H38" s="3">
        <f t="shared" si="11"/>
        <v>-1.6526679503249579</v>
      </c>
      <c r="I38">
        <f t="shared" si="7"/>
        <v>-170</v>
      </c>
    </row>
    <row r="39" spans="1:9" x14ac:dyDescent="0.25">
      <c r="A39">
        <v>8</v>
      </c>
      <c r="B39">
        <v>650</v>
      </c>
      <c r="C39">
        <v>71</v>
      </c>
      <c r="D39">
        <f t="shared" si="8"/>
        <v>28.400000000000002</v>
      </c>
      <c r="E39">
        <f t="shared" si="9"/>
        <v>4.9999999999999964</v>
      </c>
      <c r="F39" s="3">
        <f t="shared" si="10"/>
        <v>14.970059880239511</v>
      </c>
      <c r="G39" s="1">
        <f t="shared" si="6"/>
        <v>1.2976190476190472</v>
      </c>
      <c r="H39" s="3">
        <f t="shared" si="11"/>
        <v>-1.3450331028884808</v>
      </c>
      <c r="I39">
        <f t="shared" si="7"/>
        <v>-150</v>
      </c>
    </row>
    <row r="40" spans="1:9" x14ac:dyDescent="0.25">
      <c r="A40">
        <v>9</v>
      </c>
      <c r="B40">
        <v>670</v>
      </c>
      <c r="C40">
        <v>69.5</v>
      </c>
      <c r="D40">
        <f t="shared" si="8"/>
        <v>27.799999999999997</v>
      </c>
      <c r="E40">
        <f t="shared" si="9"/>
        <v>5.6000000000000014</v>
      </c>
      <c r="F40" s="3">
        <f t="shared" si="10"/>
        <v>16.76646706586827</v>
      </c>
      <c r="G40" s="1">
        <f t="shared" si="6"/>
        <v>1.3456790123456792</v>
      </c>
      <c r="H40" s="3">
        <f t="shared" si="11"/>
        <v>-1.2143641829854832</v>
      </c>
      <c r="I40">
        <f t="shared" si="7"/>
        <v>-130</v>
      </c>
    </row>
    <row r="41" spans="1:9" x14ac:dyDescent="0.25">
      <c r="A41">
        <v>10</v>
      </c>
      <c r="B41">
        <v>690</v>
      </c>
      <c r="C41">
        <v>63.5</v>
      </c>
      <c r="D41">
        <f t="shared" si="8"/>
        <v>25.400000000000002</v>
      </c>
      <c r="E41">
        <f t="shared" si="9"/>
        <v>7.9999999999999964</v>
      </c>
      <c r="F41" s="3">
        <f t="shared" si="10"/>
        <v>23.952095808383227</v>
      </c>
      <c r="G41" s="1">
        <f t="shared" si="6"/>
        <v>1.5797101449275357</v>
      </c>
      <c r="H41" s="3">
        <f t="shared" si="11"/>
        <v>-0.78254384889959949</v>
      </c>
      <c r="I41">
        <f t="shared" si="7"/>
        <v>-110</v>
      </c>
    </row>
    <row r="42" spans="1:9" x14ac:dyDescent="0.25">
      <c r="A42">
        <v>11</v>
      </c>
      <c r="B42">
        <v>710</v>
      </c>
      <c r="C42">
        <v>59</v>
      </c>
      <c r="D42">
        <f t="shared" si="8"/>
        <v>23.599999999999998</v>
      </c>
      <c r="E42">
        <f t="shared" si="9"/>
        <v>9.8000000000000007</v>
      </c>
      <c r="F42" s="3">
        <f t="shared" si="10"/>
        <v>29.341317365269465</v>
      </c>
      <c r="G42" s="1">
        <f t="shared" si="6"/>
        <v>1.8166666666666667</v>
      </c>
      <c r="H42" s="3">
        <f t="shared" si="11"/>
        <v>-0.51583260445417223</v>
      </c>
      <c r="I42">
        <f t="shared" si="7"/>
        <v>-90</v>
      </c>
    </row>
    <row r="43" spans="1:9" x14ac:dyDescent="0.25">
      <c r="A43">
        <v>12</v>
      </c>
      <c r="B43">
        <v>730</v>
      </c>
      <c r="C43">
        <v>56</v>
      </c>
      <c r="D43">
        <f t="shared" si="8"/>
        <v>22.4</v>
      </c>
      <c r="E43">
        <f t="shared" si="9"/>
        <v>11</v>
      </c>
      <c r="F43" s="3">
        <f t="shared" si="10"/>
        <v>32.934131736526943</v>
      </c>
      <c r="G43" s="1">
        <f t="shared" si="6"/>
        <v>2.0185185185185186</v>
      </c>
      <c r="H43" s="3">
        <f t="shared" si="11"/>
        <v>-0.35330372479641764</v>
      </c>
      <c r="I43">
        <f t="shared" si="7"/>
        <v>-70</v>
      </c>
    </row>
    <row r="44" spans="1:9" x14ac:dyDescent="0.25">
      <c r="A44">
        <v>13</v>
      </c>
      <c r="B44">
        <v>750</v>
      </c>
      <c r="C44">
        <v>52</v>
      </c>
      <c r="D44">
        <f t="shared" si="8"/>
        <v>20.8</v>
      </c>
      <c r="E44">
        <f t="shared" si="9"/>
        <v>12.599999999999998</v>
      </c>
      <c r="F44" s="3">
        <f t="shared" si="10"/>
        <v>37.724550898203589</v>
      </c>
      <c r="G44" s="1">
        <f t="shared" si="6"/>
        <v>2.3695652173913038</v>
      </c>
      <c r="H44" s="3">
        <f t="shared" si="11"/>
        <v>-0.14768075497255068</v>
      </c>
      <c r="I44">
        <f t="shared" si="7"/>
        <v>-50</v>
      </c>
    </row>
    <row r="45" spans="1:9" x14ac:dyDescent="0.25">
      <c r="A45">
        <v>14</v>
      </c>
      <c r="B45">
        <v>770</v>
      </c>
      <c r="C45">
        <v>47.5</v>
      </c>
      <c r="D45">
        <f t="shared" si="8"/>
        <v>19</v>
      </c>
      <c r="E45">
        <f t="shared" si="9"/>
        <v>14.399999999999999</v>
      </c>
      <c r="F45" s="3">
        <f t="shared" si="10"/>
        <v>43.113772455089816</v>
      </c>
      <c r="G45" s="1">
        <f t="shared" si="6"/>
        <v>2.9459459459459456</v>
      </c>
      <c r="H45" s="3">
        <f t="shared" si="11"/>
        <v>7.7359081893430562E-2</v>
      </c>
      <c r="I45">
        <f t="shared" si="7"/>
        <v>-30</v>
      </c>
    </row>
    <row r="46" spans="1:9" x14ac:dyDescent="0.25">
      <c r="A46">
        <v>15</v>
      </c>
      <c r="B46">
        <v>790</v>
      </c>
      <c r="C46">
        <v>46.5</v>
      </c>
      <c r="D46">
        <f t="shared" si="8"/>
        <v>18.599999999999998</v>
      </c>
      <c r="E46">
        <f t="shared" si="9"/>
        <v>14.8</v>
      </c>
      <c r="F46" s="3">
        <f t="shared" si="10"/>
        <v>44.311377245508986</v>
      </c>
      <c r="G46" s="1">
        <f t="shared" si="6"/>
        <v>3.1142857142857148</v>
      </c>
      <c r="H46" s="3">
        <f t="shared" si="11"/>
        <v>0.12751316249941386</v>
      </c>
      <c r="I46">
        <f t="shared" si="7"/>
        <v>-10</v>
      </c>
    </row>
    <row r="47" spans="1:9" x14ac:dyDescent="0.25">
      <c r="A47">
        <v>16</v>
      </c>
      <c r="B47">
        <v>810</v>
      </c>
      <c r="C47">
        <v>38</v>
      </c>
      <c r="D47">
        <f t="shared" si="8"/>
        <v>15.200000000000001</v>
      </c>
      <c r="E47">
        <f t="shared" si="9"/>
        <v>18.199999999999996</v>
      </c>
      <c r="F47" s="3">
        <f t="shared" si="10"/>
        <v>54.491017964071844</v>
      </c>
      <c r="G47" s="1">
        <f t="shared" si="6"/>
        <v>6.0555555555555527</v>
      </c>
      <c r="H47" s="3">
        <f t="shared" si="11"/>
        <v>0.5883288092114306</v>
      </c>
      <c r="I47">
        <f t="shared" si="7"/>
        <v>10</v>
      </c>
    </row>
    <row r="48" spans="1:9" x14ac:dyDescent="0.25">
      <c r="A48">
        <v>17</v>
      </c>
      <c r="B48">
        <v>830</v>
      </c>
      <c r="C48">
        <v>29</v>
      </c>
      <c r="D48">
        <f t="shared" si="8"/>
        <v>11.6</v>
      </c>
      <c r="E48">
        <f t="shared" si="9"/>
        <v>21.799999999999997</v>
      </c>
      <c r="F48" s="3">
        <f t="shared" si="10"/>
        <v>65.269461077844298</v>
      </c>
      <c r="G48" t="e">
        <f t="shared" si="6"/>
        <v>#DIV/0!</v>
      </c>
      <c r="H48" t="e">
        <f>LN(LN(G48))</f>
        <v>#DIV/0!</v>
      </c>
      <c r="I48">
        <f t="shared" si="7"/>
        <v>30</v>
      </c>
    </row>
    <row r="49" spans="1:9" x14ac:dyDescent="0.25">
      <c r="A49">
        <v>18</v>
      </c>
      <c r="B49">
        <v>900</v>
      </c>
      <c r="C49">
        <v>29</v>
      </c>
      <c r="D49">
        <f t="shared" si="8"/>
        <v>11.6</v>
      </c>
      <c r="E49">
        <f t="shared" si="9"/>
        <v>21.799999999999997</v>
      </c>
      <c r="F49" s="3">
        <f t="shared" si="10"/>
        <v>65.269461077844298</v>
      </c>
      <c r="G49" t="e">
        <f t="shared" si="6"/>
        <v>#DIV/0!</v>
      </c>
      <c r="H49" t="e">
        <f t="shared" si="11"/>
        <v>#DIV/0!</v>
      </c>
      <c r="I49">
        <f t="shared" si="7"/>
        <v>100</v>
      </c>
    </row>
    <row r="52" spans="1:9" x14ac:dyDescent="0.25">
      <c r="A52" t="s">
        <v>16</v>
      </c>
    </row>
    <row r="53" spans="1:9" x14ac:dyDescent="0.25">
      <c r="A53" t="s">
        <v>8</v>
      </c>
      <c r="D53" t="s">
        <v>17</v>
      </c>
    </row>
    <row r="54" spans="1:9" x14ac:dyDescent="0.25">
      <c r="A54" t="s">
        <v>16</v>
      </c>
      <c r="B54">
        <f>0.0164*8.314*(650+273)^2</f>
        <v>116160.17837840001</v>
      </c>
      <c r="C54" t="s">
        <v>18</v>
      </c>
    </row>
    <row r="56" spans="1:9" x14ac:dyDescent="0.25">
      <c r="A56" t="s">
        <v>12</v>
      </c>
      <c r="D56" t="s">
        <v>19</v>
      </c>
    </row>
    <row r="57" spans="1:9" x14ac:dyDescent="0.25">
      <c r="A57" t="s">
        <v>20</v>
      </c>
      <c r="B57">
        <f>0.0139*8.314*(800+273)^2</f>
        <v>133052.87535339998</v>
      </c>
      <c r="C57" t="s">
        <v>18</v>
      </c>
    </row>
  </sheetData>
  <mergeCells count="1">
    <mergeCell ref="A9:H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2025-09-10T16:29:03Z</dcterms:created>
  <dcterms:modified xsi:type="dcterms:W3CDTF">2025-09-18T19:29:33Z</dcterms:modified>
</cp:coreProperties>
</file>