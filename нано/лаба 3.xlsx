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нано\"/>
    </mc:Choice>
  </mc:AlternateContent>
  <xr:revisionPtr revIDLastSave="0" documentId="13_ncr:1_{E9D388E7-65C6-451E-B1BB-9B3C6137F922}" xr6:coauthVersionLast="47" xr6:coauthVersionMax="47" xr10:uidLastSave="{00000000-0000-0000-0000-000000000000}"/>
  <bookViews>
    <workbookView xWindow="-120" yWindow="480" windowWidth="29040" windowHeight="15840" xr2:uid="{1ACF436D-02EF-47DF-A2C2-0FF32D57ADF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3" i="1"/>
  <c r="A6" i="1"/>
  <c r="A5" i="1"/>
  <c r="A4" i="1"/>
  <c r="A3" i="1"/>
  <c r="A2" i="1"/>
  <c r="D24" i="1"/>
  <c r="D23" i="1"/>
  <c r="F23" i="1" l="1"/>
  <c r="H23" i="1" s="1"/>
  <c r="G23" i="1" l="1"/>
  <c r="I23" i="1" s="1"/>
</calcChain>
</file>

<file path=xl/sharedStrings.xml><?xml version="1.0" encoding="utf-8"?>
<sst xmlns="http://schemas.openxmlformats.org/spreadsheetml/2006/main" count="11" uniqueCount="10">
  <si>
    <t>lgD</t>
  </si>
  <si>
    <t>№</t>
  </si>
  <si>
    <t>m, г</t>
  </si>
  <si>
    <t>[V] ммоль/г</t>
  </si>
  <si>
    <t>[V]ср ммоль/г</t>
  </si>
  <si>
    <t>[V]SiO2, моль V/г SiO2</t>
  </si>
  <si>
    <t>∆m, мг/г</t>
  </si>
  <si>
    <t>Ө отн. ед.</t>
  </si>
  <si>
    <t>ммоль/л</t>
  </si>
  <si>
    <t>C V, ммоль/л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</si>
</sst>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Aptos Narrow"/>
      <family val="2"/>
      <charset val="204"/>
      <scheme val="minor"/>
    </font>
    <font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3" xfId="0" applyBorder="1"/>
    <xf numFmtId="0" fontId="0" fillId="0" borderId="1" xfId="0" applyBorder="1"/>
    <xf numFmtId="0" fontId="0" fillId="0" borderId="12" xfId="0" applyBorder="1"/>
    <xf numFmtId="0" fontId="0" fillId="0" borderId="11" xfId="0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0" xfId="0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164" fontId="0" fillId="0" borderId="1" xfId="0" applyNumberFormat="1" applyBorder="1"/>
    <xf numFmtId="164" fontId="0" fillId="0" borderId="10" xfId="0" applyNumberFormat="1" applyBorder="1"/>
    <xf numFmtId="164" fontId="0" fillId="0" borderId="6" xfId="0" applyNumberFormat="1" applyBorder="1"/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Зависимость концентрации ванадия от </a:t>
            </a:r>
            <a:br>
              <a:rPr lang="ru-RU" sz="1400" b="0" i="0" u="none" strike="noStrike" baseline="0"/>
            </a:br>
            <a:r>
              <a:rPr lang="ru-RU" sz="1400" b="0" i="0" u="none" strike="noStrike" baseline="0"/>
              <a:t>его оптической плотности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 cmpd="sng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2639408528184761"/>
                  <c:y val="5.72079252288586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Лист1!$B$2:$B$6</c:f>
              <c:numCache>
                <c:formatCode>General</c:formatCode>
                <c:ptCount val="5"/>
                <c:pt idx="0">
                  <c:v>0.06</c:v>
                </c:pt>
                <c:pt idx="1">
                  <c:v>0.13</c:v>
                </c:pt>
                <c:pt idx="2">
                  <c:v>0.18</c:v>
                </c:pt>
                <c:pt idx="3">
                  <c:v>0.22</c:v>
                </c:pt>
                <c:pt idx="4">
                  <c:v>0.28000000000000003</c:v>
                </c:pt>
              </c:numCache>
            </c:numRef>
          </c:xVal>
          <c:yVal>
            <c:numRef>
              <c:f>Лист1!$A$2:$A$6</c:f>
              <c:numCache>
                <c:formatCode>General</c:formatCode>
                <c:ptCount val="5"/>
                <c:pt idx="0">
                  <c:v>8.0000000000000016E-2</c:v>
                </c:pt>
                <c:pt idx="1">
                  <c:v>0.16000000000000003</c:v>
                </c:pt>
                <c:pt idx="2">
                  <c:v>0.24000000000000005</c:v>
                </c:pt>
                <c:pt idx="3">
                  <c:v>0.32000000000000006</c:v>
                </c:pt>
                <c:pt idx="4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7E-47C5-A468-AF7B2EB05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0384480"/>
        <c:axId val="1530386400"/>
      </c:scatterChart>
      <c:valAx>
        <c:axId val="1530384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lgD</a:t>
                </a:r>
                <a:r>
                  <a:rPr lang="ru-RU"/>
                  <a:t>, отн. ед.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0386400"/>
        <c:crosses val="autoZero"/>
        <c:crossBetween val="midCat"/>
      </c:valAx>
      <c:valAx>
        <c:axId val="1530386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</a:t>
                </a:r>
                <a:r>
                  <a:rPr lang="en-US" baseline="0"/>
                  <a:t> V, </a:t>
                </a:r>
                <a:r>
                  <a:rPr lang="ru-RU" baseline="0"/>
                  <a:t>ммоль/л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0384480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0</xdr:row>
      <xdr:rowOff>76200</xdr:rowOff>
    </xdr:from>
    <xdr:to>
      <xdr:col>11</xdr:col>
      <xdr:colOff>304799</xdr:colOff>
      <xdr:row>16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5B9FB4E-459F-0C1F-3D86-D3E15AE63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4E4C-DB27-400D-B84C-B2E65A3AD191}">
  <dimension ref="A1:J25"/>
  <sheetViews>
    <sheetView tabSelected="1" workbookViewId="0">
      <selection activeCell="F23" sqref="F23:G24"/>
    </sheetView>
  </sheetViews>
  <sheetFormatPr defaultRowHeight="15" x14ac:dyDescent="0.25"/>
  <cols>
    <col min="1" max="1" width="12.28515625" bestFit="1" customWidth="1"/>
    <col min="6" max="6" width="9.5703125" bestFit="1" customWidth="1"/>
    <col min="9" max="9" width="10.5703125" customWidth="1"/>
  </cols>
  <sheetData>
    <row r="1" spans="1:2" ht="16.5" thickTop="1" thickBot="1" x14ac:dyDescent="0.3">
      <c r="A1" s="2" t="s">
        <v>8</v>
      </c>
      <c r="B1" s="4" t="s">
        <v>0</v>
      </c>
    </row>
    <row r="2" spans="1:2" ht="16.5" thickTop="1" thickBot="1" x14ac:dyDescent="0.3">
      <c r="A2" s="2">
        <f>2*0.4*10^-1</f>
        <v>8.0000000000000016E-2</v>
      </c>
      <c r="B2" s="4">
        <v>0.06</v>
      </c>
    </row>
    <row r="3" spans="1:2" ht="16.5" thickTop="1" thickBot="1" x14ac:dyDescent="0.3">
      <c r="A3" s="2">
        <f>4*0.4*10^-1</f>
        <v>0.16000000000000003</v>
      </c>
      <c r="B3" s="4">
        <v>0.13</v>
      </c>
    </row>
    <row r="4" spans="1:2" ht="16.5" thickTop="1" thickBot="1" x14ac:dyDescent="0.3">
      <c r="A4" s="2">
        <f>6*0.4*10^-1</f>
        <v>0.24000000000000005</v>
      </c>
      <c r="B4" s="12">
        <v>0.18</v>
      </c>
    </row>
    <row r="5" spans="1:2" ht="16.5" thickTop="1" thickBot="1" x14ac:dyDescent="0.3">
      <c r="A5" s="2">
        <f>8*0.4*10^-1</f>
        <v>0.32000000000000006</v>
      </c>
      <c r="B5" s="4">
        <v>0.22</v>
      </c>
    </row>
    <row r="6" spans="1:2" ht="16.5" thickTop="1" thickBot="1" x14ac:dyDescent="0.3">
      <c r="A6" s="2">
        <f>10*0.4*10^-1</f>
        <v>0.4</v>
      </c>
      <c r="B6" s="13">
        <v>0.28000000000000003</v>
      </c>
    </row>
    <row r="7" spans="1:2" ht="15.75" thickTop="1" x14ac:dyDescent="0.25"/>
    <row r="21" spans="1:10" ht="15.75" thickBot="1" x14ac:dyDescent="0.3"/>
    <row r="22" spans="1:10" ht="45" thickTop="1" thickBot="1" x14ac:dyDescent="0.3">
      <c r="A22" s="11" t="s">
        <v>1</v>
      </c>
      <c r="B22" s="10" t="s">
        <v>2</v>
      </c>
      <c r="C22" s="10" t="s">
        <v>0</v>
      </c>
      <c r="D22" s="7" t="s">
        <v>9</v>
      </c>
      <c r="E22" s="6" t="s">
        <v>3</v>
      </c>
      <c r="F22" s="7" t="s">
        <v>4</v>
      </c>
      <c r="G22" s="8" t="s">
        <v>5</v>
      </c>
      <c r="H22" s="9" t="s">
        <v>6</v>
      </c>
      <c r="I22" s="5" t="s">
        <v>7</v>
      </c>
      <c r="J22" s="1"/>
    </row>
    <row r="23" spans="1:10" ht="16.5" thickTop="1" thickBot="1" x14ac:dyDescent="0.3">
      <c r="A23" s="2">
        <v>1</v>
      </c>
      <c r="B23" s="2">
        <v>0.1081</v>
      </c>
      <c r="C23" s="2">
        <v>0.12</v>
      </c>
      <c r="D23" s="15">
        <f>1.4972*C23-0.02051</f>
        <v>0.15915399999999999</v>
      </c>
      <c r="E23" s="14">
        <f>D23*(25/1000)/B23*10</f>
        <v>0.36807123034227562</v>
      </c>
      <c r="F23" s="21">
        <f>AVERAGE(E23:E24)</f>
        <v>0.38575711656131395</v>
      </c>
      <c r="G23" s="17">
        <f>F23*1000/(1000-F23*(63.9+0.5*18))</f>
        <v>0.39691915551499751</v>
      </c>
      <c r="H23" s="17">
        <f>F23*(63.9+0.5*18)</f>
        <v>28.121693797319789</v>
      </c>
      <c r="I23" s="19">
        <f>(G23*2/2+G23*3/2)/5.6</f>
        <v>0.17719605156919532</v>
      </c>
    </row>
    <row r="24" spans="1:10" ht="16.5" thickTop="1" thickBot="1" x14ac:dyDescent="0.3">
      <c r="A24" s="3">
        <v>2</v>
      </c>
      <c r="B24" s="3">
        <v>0.1079</v>
      </c>
      <c r="C24" s="3">
        <v>0.13</v>
      </c>
      <c r="D24" s="16">
        <f>1.4972*C24-0.02051</f>
        <v>0.17412600000000003</v>
      </c>
      <c r="E24" s="14">
        <f>D24*(25/1000)/B24*10</f>
        <v>0.40344300278035228</v>
      </c>
      <c r="F24" s="22"/>
      <c r="G24" s="18"/>
      <c r="H24" s="18"/>
      <c r="I24" s="20"/>
    </row>
    <row r="25" spans="1:10" ht="15.75" thickTop="1" x14ac:dyDescent="0.25"/>
  </sheetData>
  <mergeCells count="4">
    <mergeCell ref="F23:F24"/>
    <mergeCell ref="G23:G24"/>
    <mergeCell ref="H23:H24"/>
    <mergeCell ref="I23:I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2024-11-07T19:36:59Z</dcterms:created>
  <dcterms:modified xsi:type="dcterms:W3CDTF">2024-11-14T16:17:03Z</dcterms:modified>
</cp:coreProperties>
</file>