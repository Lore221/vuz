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VMA-2\OneDrive\Рабочий стол\учеба\3 курс\нано\"/>
    </mc:Choice>
  </mc:AlternateContent>
  <xr:revisionPtr revIDLastSave="0" documentId="13_ncr:1_{C4EC842B-8DA9-4030-B2E6-245E931A44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2" i="1"/>
  <c r="E7" i="1"/>
  <c r="E6" i="1"/>
  <c r="E5" i="1"/>
  <c r="E4" i="1"/>
  <c r="E3" i="1"/>
  <c r="E2" i="1"/>
  <c r="F7" i="1"/>
  <c r="F6" i="1"/>
  <c r="F2" i="1"/>
  <c r="F3" i="1"/>
  <c r="D23" i="1"/>
  <c r="D24" i="1"/>
  <c r="D25" i="1"/>
  <c r="D26" i="1"/>
  <c r="D22" i="1"/>
  <c r="A14" i="1"/>
  <c r="A11" i="1"/>
  <c r="D3" i="1" s="1"/>
  <c r="D6" i="1"/>
  <c r="D5" i="1"/>
  <c r="D4" i="1"/>
  <c r="C3" i="1"/>
  <c r="C6" i="1"/>
  <c r="C5" i="1"/>
  <c r="C4" i="1"/>
  <c r="C2" i="1"/>
  <c r="B6" i="1"/>
  <c r="B5" i="1"/>
  <c r="B4" i="1"/>
  <c r="B3" i="1"/>
  <c r="B7" i="1"/>
  <c r="D7" i="1"/>
  <c r="A17" i="1"/>
  <c r="D2" i="1" l="1"/>
  <c r="F4" i="1"/>
  <c r="C7" i="1"/>
  <c r="F5" i="1" l="1"/>
  <c r="G3" i="1"/>
</calcChain>
</file>

<file path=xl/sharedStrings.xml><?xml version="1.0" encoding="utf-8"?>
<sst xmlns="http://schemas.openxmlformats.org/spreadsheetml/2006/main" count="20" uniqueCount="19">
  <si>
    <t>T</t>
  </si>
  <si>
    <t>dm абс, мг</t>
  </si>
  <si>
    <t>[OH]абс(T), ммоль</t>
  </si>
  <si>
    <t>[OH](T),ммоль/г</t>
  </si>
  <si>
    <t>pOH(T),нм^-2</t>
  </si>
  <si>
    <t>As(T)</t>
  </si>
  <si>
    <t>dон-он, нм</t>
  </si>
  <si>
    <t>-</t>
  </si>
  <si>
    <r>
      <rPr>
        <sz val="11"/>
        <color rgb="FF1F1F1F"/>
        <rFont val="Arial"/>
        <scheme val="minor"/>
      </rPr>
      <t>m</t>
    </r>
    <r>
      <rPr>
        <sz val="8"/>
        <color rgb="FF1F1F1F"/>
        <rFont val="Arial"/>
        <scheme val="minor"/>
      </rPr>
      <t>0</t>
    </r>
  </si>
  <si>
    <t>[OH]абс(T) = 2(Δmабс(T) − Δmабс(Tк))/MH2O ,</t>
  </si>
  <si>
    <r>
      <rPr>
        <sz val="10"/>
        <color theme="1"/>
        <rFont val="Arial"/>
      </rPr>
      <t>w</t>
    </r>
    <r>
      <rPr>
        <sz val="9"/>
        <color theme="1"/>
        <rFont val="Arial"/>
      </rPr>
      <t>ост</t>
    </r>
  </si>
  <si>
    <t>[OH](T) = [OH]абс(T)/ mост = 2(Δmабс(T) − Δmабс(Tк))/ MH2O(m0 + Δmабс(Tк))</t>
  </si>
  <si>
    <t>ρOH(T) = [OH](T)NA /As(T) ,</t>
  </si>
  <si>
    <t>Na</t>
  </si>
  <si>
    <t>As(T) = as(T) /wост(T) ,</t>
  </si>
  <si>
    <t>wост(T) = mост /m(T) = m0 + Δmабс(Tк) /m0 + Δmабс(T) ,</t>
  </si>
  <si>
    <t>t</t>
  </si>
  <si>
    <r>
      <rPr>
        <sz val="10"/>
        <color theme="1"/>
        <rFont val="Arial"/>
      </rPr>
      <t>a</t>
    </r>
    <r>
      <rPr>
        <sz val="9"/>
        <color theme="1"/>
        <rFont val="Arial"/>
      </rPr>
      <t>s</t>
    </r>
  </si>
  <si>
    <t>wост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</si>
</sst>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>
    <font>
      <sz val="10"/>
      <color rgb="FF000000"/>
      <name val="Arial"/>
      <scheme val="minor"/>
    </font>
    <font>
      <sz val="10"/>
      <color theme="1"/>
      <name val="Times New Roman"/>
    </font>
    <font>
      <sz val="9"/>
      <color rgb="FF1F1F1F"/>
      <name val="Times New Roman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1F1F1F"/>
      <name val="&quot;Google Sans&quot;"/>
    </font>
    <font>
      <sz val="11"/>
      <color rgb="FF1F1F1F"/>
      <name val="Arial"/>
      <scheme val="minor"/>
    </font>
    <font>
      <sz val="8"/>
      <color rgb="FF1F1F1F"/>
      <name val="Arial"/>
      <scheme val="minor"/>
    </font>
    <font>
      <sz val="10"/>
      <color theme="1"/>
      <name val="Arial"/>
    </font>
    <font>
      <sz val="9"/>
      <color theme="1"/>
      <name val="Arial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65" fontId="4" fillId="0" borderId="1" xfId="0" applyNumberFormat="1" applyFont="1" applyBorder="1"/>
    <xf numFmtId="2" fontId="4" fillId="0" borderId="1" xfId="0" applyNumberFormat="1" applyFont="1" applyBorder="1"/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right"/>
    </xf>
    <xf numFmtId="0" fontId="5" fillId="2" borderId="0" xfId="0" applyFont="1" applyFill="1"/>
    <xf numFmtId="0" fontId="4" fillId="0" borderId="0" xfId="0" applyFont="1"/>
    <xf numFmtId="2" fontId="4" fillId="0" borderId="0" xfId="0" applyNumberFormat="1" applyFont="1"/>
    <xf numFmtId="164" fontId="10" fillId="0" borderId="1" xfId="0" applyNumberFormat="1" applyFont="1" applyBorder="1"/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18</xdr:col>
      <xdr:colOff>312038</xdr:colOff>
      <xdr:row>30</xdr:row>
      <xdr:rowOff>153316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12E9E5E-2BD6-ED8A-2DFB-7B9F0B64E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7550" y="0"/>
          <a:ext cx="8694038" cy="5449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7"/>
  <sheetViews>
    <sheetView tabSelected="1" zoomScaleNormal="100" workbookViewId="0">
      <selection activeCell="T9" sqref="T9"/>
    </sheetView>
  </sheetViews>
  <sheetFormatPr defaultColWidth="12.5703125" defaultRowHeight="15.75" customHeight="1"/>
  <cols>
    <col min="3" max="3" width="18" customWidth="1"/>
  </cols>
  <sheetData>
    <row r="1" spans="1:7" ht="12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 spans="1:7" ht="12.75">
      <c r="A2" s="1">
        <v>35</v>
      </c>
      <c r="B2" s="1">
        <v>0</v>
      </c>
      <c r="C2" s="5">
        <f>2*(B2-B7)/(18/1000)</f>
        <v>186.66666666666669</v>
      </c>
      <c r="D2" s="6">
        <f>(2*(B2-B7)*1000/(18*(A11+B5)))</f>
        <v>7.6848234343201476</v>
      </c>
      <c r="E2" s="7">
        <f>(D2*$A$17)/F2/10^21</f>
        <v>6.1062429080048561</v>
      </c>
      <c r="F2" s="8">
        <f>B23/D22</f>
        <v>757.62850858684669</v>
      </c>
      <c r="G2" s="9">
        <f>SQRT(2/(SQRT(3)*E2))</f>
        <v>0.43485818194116044</v>
      </c>
    </row>
    <row r="3" spans="1:7" ht="12.75">
      <c r="A3" s="1">
        <v>200</v>
      </c>
      <c r="B3" s="1">
        <f>-0.27</f>
        <v>-0.27</v>
      </c>
      <c r="C3" s="5">
        <f>2*(B3-B7)/(18/1000)</f>
        <v>156.66666666666666</v>
      </c>
      <c r="D3" s="6">
        <f>(2*(B3-B7)*1000/(18*(A11+B5)))</f>
        <v>6.4497625252329804</v>
      </c>
      <c r="E3" s="7">
        <f>(D3*$A$17)/F3/10^21</f>
        <v>5.3235864987307293</v>
      </c>
      <c r="F3" s="8">
        <f>B24/D23</f>
        <v>729.34985486119103</v>
      </c>
      <c r="G3" s="9">
        <f t="shared" ref="G2:G4" si="0">SQRT(2/(SQRT(3)*E3))</f>
        <v>0.46572819062955934</v>
      </c>
    </row>
    <row r="4" spans="1:7" ht="12.75">
      <c r="A4" s="1">
        <v>300</v>
      </c>
      <c r="B4" s="1">
        <f>(-0.52)</f>
        <v>-0.52</v>
      </c>
      <c r="C4" s="5">
        <f>2*(B4-B7)/(18/1000)</f>
        <v>128.88888888888889</v>
      </c>
      <c r="D4" s="6">
        <f>(2*(B4-B7)*1000/(18*(A11+B5)))</f>
        <v>5.3061876094115306</v>
      </c>
      <c r="E4" s="7">
        <f>(D4*$A$17)/F4/10^21</f>
        <v>4.5566204064330575</v>
      </c>
      <c r="F4" s="8">
        <f>B25/D24</f>
        <v>701.02941565112121</v>
      </c>
      <c r="G4" s="9">
        <f>SQRT(2/(SQRT(3)*E4))</f>
        <v>0.50340005511746955</v>
      </c>
    </row>
    <row r="5" spans="1:7" ht="12.75">
      <c r="A5" s="1">
        <v>400</v>
      </c>
      <c r="B5" s="1">
        <f>(-0.85)</f>
        <v>-0.85</v>
      </c>
      <c r="C5" s="5">
        <f>2*(B5-B7)/(18)</f>
        <v>9.2222222222222219E-2</v>
      </c>
      <c r="D5" s="4">
        <f>(2*(B5-B7)*1000/(18*(A11+B5)))</f>
        <v>3.7966687205272156</v>
      </c>
      <c r="E5" s="7">
        <f>(D5*$A$17)/F5/10^21</f>
        <v>4.1808631838260251</v>
      </c>
      <c r="F5" s="8">
        <f>B26/D25</f>
        <v>546.68006802982052</v>
      </c>
      <c r="G5" s="10">
        <f>SQRT(2/(SQRT(3)*E5))</f>
        <v>0.52553507436227886</v>
      </c>
    </row>
    <row r="6" spans="1:7" ht="15.75" customHeight="1">
      <c r="A6" s="1">
        <v>600</v>
      </c>
      <c r="B6" s="1">
        <f>(-1.28)</f>
        <v>-1.28</v>
      </c>
      <c r="C6" s="14">
        <f>2*(B6-B7)/(18)</f>
        <v>4.4444444444444432E-2</v>
      </c>
      <c r="D6" s="4">
        <f>(2*(B6-B7)*1000/(18*(A11+B6)))</f>
        <v>1.8626942848348276</v>
      </c>
      <c r="E6" s="7">
        <f>(D6*$A$17)/F6/10^21</f>
        <v>2.0511850075525317</v>
      </c>
      <c r="F6" s="8">
        <f>B26/D25</f>
        <v>546.68006802982052</v>
      </c>
      <c r="G6" s="10">
        <f>SQRT(2/(SQRT(3)*E6))</f>
        <v>0.75029537159357329</v>
      </c>
    </row>
    <row r="7" spans="1:7" ht="12.75">
      <c r="A7" s="1">
        <v>1100</v>
      </c>
      <c r="B7" s="1">
        <f>(-1.68)</f>
        <v>-1.68</v>
      </c>
      <c r="C7" s="1">
        <f>2*(B7-B7)/(18)</f>
        <v>0</v>
      </c>
      <c r="D7" s="4">
        <f>(2*(B7-B7)*1000/(18*(A12+B7)))</f>
        <v>0</v>
      </c>
      <c r="E7" s="7">
        <f>(D7*$A$17)/F7/10^21</f>
        <v>0</v>
      </c>
      <c r="F7" s="8">
        <f>B27/D26</f>
        <v>223.75101767667081</v>
      </c>
      <c r="G7" s="15" t="s">
        <v>7</v>
      </c>
    </row>
    <row r="8" spans="1:7" ht="12.75"/>
    <row r="10" spans="1:7" ht="14.25">
      <c r="A10" s="11" t="s">
        <v>8</v>
      </c>
    </row>
    <row r="11" spans="1:7" ht="12.75">
      <c r="A11" s="12">
        <f>25.1403</f>
        <v>25.1403</v>
      </c>
      <c r="C11" s="17" t="s">
        <v>9</v>
      </c>
      <c r="D11" s="17"/>
      <c r="E11" s="17"/>
    </row>
    <row r="12" spans="1:7" ht="12.75"/>
    <row r="13" spans="1:7" ht="12.75">
      <c r="A13" s="12" t="s">
        <v>10</v>
      </c>
      <c r="C13" s="16" t="s">
        <v>11</v>
      </c>
      <c r="D13" s="16"/>
      <c r="E13" s="16"/>
      <c r="F13" s="16"/>
      <c r="G13" s="16"/>
    </row>
    <row r="14" spans="1:7" ht="12.75">
      <c r="A14" s="13">
        <f>(A11+B7)/(A11+B3)</f>
        <v>0.94330587085801132</v>
      </c>
    </row>
    <row r="15" spans="1:7" ht="15.75" customHeight="1">
      <c r="C15" s="17" t="s">
        <v>12</v>
      </c>
      <c r="D15" s="17"/>
    </row>
    <row r="16" spans="1:7" ht="12.75">
      <c r="A16" s="12" t="s">
        <v>13</v>
      </c>
    </row>
    <row r="17" spans="1:8" ht="15.75" customHeight="1">
      <c r="A17" s="12">
        <f>6.02*10^23</f>
        <v>6.0199999999999993E+23</v>
      </c>
      <c r="C17" s="17" t="s">
        <v>14</v>
      </c>
      <c r="D17" s="17"/>
    </row>
    <row r="18" spans="1:8" ht="12.75"/>
    <row r="19" spans="1:8" ht="12.75">
      <c r="C19" s="17" t="s">
        <v>15</v>
      </c>
      <c r="D19" s="17"/>
      <c r="E19" s="17"/>
      <c r="F19" s="17"/>
    </row>
    <row r="20" spans="1:8" ht="12.75"/>
    <row r="21" spans="1:8" ht="12.75">
      <c r="A21" s="4" t="s">
        <v>16</v>
      </c>
      <c r="B21" s="4" t="s">
        <v>17</v>
      </c>
      <c r="C21" s="4" t="s">
        <v>16</v>
      </c>
      <c r="D21" s="4" t="s">
        <v>18</v>
      </c>
    </row>
    <row r="22" spans="1:8" ht="12.75">
      <c r="A22" s="4">
        <v>0</v>
      </c>
      <c r="B22" s="4">
        <v>707</v>
      </c>
      <c r="C22" s="4">
        <v>35</v>
      </c>
      <c r="D22" s="4">
        <f>(A$11+B$7)/(A$11+B2)</f>
        <v>0.93317502177778311</v>
      </c>
    </row>
    <row r="23" spans="1:8" ht="12.75">
      <c r="A23" s="4">
        <v>200</v>
      </c>
      <c r="B23" s="4">
        <v>707</v>
      </c>
      <c r="C23" s="4">
        <v>300</v>
      </c>
      <c r="D23" s="4">
        <f t="shared" ref="D23:D26" si="1">(A$11+B$7)/(A$11+B3)</f>
        <v>0.94330587085801132</v>
      </c>
    </row>
    <row r="24" spans="1:8" ht="15.75" customHeight="1">
      <c r="A24" s="4">
        <v>300</v>
      </c>
      <c r="B24" s="4">
        <v>688</v>
      </c>
      <c r="C24" s="4">
        <v>400</v>
      </c>
      <c r="D24" s="4">
        <f t="shared" si="1"/>
        <v>0.95288440839469868</v>
      </c>
    </row>
    <row r="25" spans="1:8" ht="15.75" customHeight="1">
      <c r="A25" s="4">
        <v>400</v>
      </c>
      <c r="B25" s="4">
        <v>668</v>
      </c>
      <c r="C25" s="4">
        <v>600</v>
      </c>
      <c r="D25" s="4">
        <f t="shared" si="1"/>
        <v>0.96582998151525512</v>
      </c>
    </row>
    <row r="26" spans="1:8" ht="15.75" customHeight="1">
      <c r="A26" s="4">
        <v>600</v>
      </c>
      <c r="B26" s="4">
        <v>528</v>
      </c>
      <c r="C26" s="4">
        <v>1100</v>
      </c>
      <c r="D26" s="4">
        <f t="shared" si="1"/>
        <v>0.98323575143648656</v>
      </c>
      <c r="H26" s="12"/>
    </row>
    <row r="27" spans="1:8" ht="15.75" customHeight="1">
      <c r="A27" s="4">
        <v>1100</v>
      </c>
      <c r="B27" s="4">
        <v>220</v>
      </c>
    </row>
  </sheetData>
  <mergeCells count="5">
    <mergeCell ref="C11:E11"/>
    <mergeCell ref="C13:G13"/>
    <mergeCell ref="C15:D15"/>
    <mergeCell ref="C17:D17"/>
    <mergeCell ref="C19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 Vlasov</dc:creator>
  <cp:lastModifiedBy>Misha Vlasov</cp:lastModifiedBy>
  <dcterms:created xsi:type="dcterms:W3CDTF">2024-11-28T21:18:46Z</dcterms:created>
  <dcterms:modified xsi:type="dcterms:W3CDTF">2024-11-28T21:43:03Z</dcterms:modified>
</cp:coreProperties>
</file>