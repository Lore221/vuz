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примех\"/>
    </mc:Choice>
  </mc:AlternateContent>
  <xr:revisionPtr revIDLastSave="0" documentId="13_ncr:1_{E59055E9-25F5-45CE-A98A-DF3F14581270}" xr6:coauthVersionLast="47" xr6:coauthVersionMax="47" xr10:uidLastSave="{00000000-0000-0000-0000-000000000000}"/>
  <bookViews>
    <workbookView xWindow="-120" yWindow="480" windowWidth="29040" windowHeight="15840" activeTab="4" xr2:uid="{3BF96F6F-12D3-44F2-998D-DC0FEF4D8314}"/>
  </bookViews>
  <sheets>
    <sheet name="1 Задача" sheetId="1" r:id="rId1"/>
    <sheet name="2 Задача" sheetId="2" r:id="rId2"/>
    <sheet name="3 Задача" sheetId="3" r:id="rId3"/>
    <sheet name="4 Задача" sheetId="4" r:id="rId4"/>
    <sheet name="5 Задач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5" l="1"/>
  <c r="F36" i="5"/>
  <c r="F35" i="5"/>
  <c r="F34" i="5"/>
  <c r="F33" i="5"/>
  <c r="F32" i="5"/>
  <c r="F31" i="5"/>
  <c r="F37" i="3"/>
  <c r="F36" i="3"/>
  <c r="F35" i="3"/>
  <c r="F34" i="3"/>
  <c r="F33" i="3"/>
  <c r="F32" i="3"/>
  <c r="F31" i="3"/>
  <c r="F34" i="4"/>
  <c r="F35" i="4"/>
  <c r="F33" i="4"/>
  <c r="F36" i="4"/>
  <c r="F32" i="4"/>
  <c r="B32" i="1"/>
  <c r="C11" i="2"/>
  <c r="B13" i="2" s="1"/>
  <c r="C5" i="3"/>
  <c r="C5" i="5"/>
  <c r="C5" i="4"/>
  <c r="E12" i="3"/>
  <c r="E12" i="4"/>
  <c r="E37" i="3"/>
  <c r="E34" i="3"/>
  <c r="E33" i="3"/>
  <c r="E32" i="3"/>
  <c r="E27" i="3"/>
  <c r="C13" i="3"/>
  <c r="C14" i="3" s="1"/>
  <c r="E14" i="3" s="1"/>
  <c r="F23" i="3" s="1"/>
  <c r="C10" i="3"/>
  <c r="C11" i="3" s="1"/>
  <c r="E11" i="3" s="1"/>
  <c r="C4" i="3"/>
  <c r="E37" i="5"/>
  <c r="E34" i="5"/>
  <c r="E33" i="5"/>
  <c r="E35" i="5" s="1"/>
  <c r="E32" i="5"/>
  <c r="A31" i="5"/>
  <c r="C31" i="5" s="1"/>
  <c r="E27" i="5"/>
  <c r="C15" i="5"/>
  <c r="C27" i="5" s="1"/>
  <c r="E14" i="5"/>
  <c r="F23" i="5" s="1"/>
  <c r="C14" i="5"/>
  <c r="C13" i="5"/>
  <c r="C10" i="5"/>
  <c r="E10" i="5" s="1"/>
  <c r="C4" i="5"/>
  <c r="F31" i="4"/>
  <c r="E34" i="4"/>
  <c r="E37" i="4"/>
  <c r="F37" i="4" s="1"/>
  <c r="E32" i="4"/>
  <c r="E27" i="4"/>
  <c r="C13" i="4"/>
  <c r="A32" i="4" s="1"/>
  <c r="C10" i="4"/>
  <c r="C11" i="4" s="1"/>
  <c r="E11" i="4" s="1"/>
  <c r="C4" i="4"/>
  <c r="B11" i="1"/>
  <c r="E20" i="2"/>
  <c r="B20" i="2"/>
  <c r="D31" i="2" s="1"/>
  <c r="E18" i="2"/>
  <c r="E16" i="2"/>
  <c r="E26" i="2" s="1"/>
  <c r="H4" i="1"/>
  <c r="B18" i="2"/>
  <c r="H5" i="1"/>
  <c r="D15" i="1"/>
  <c r="B17" i="1" s="1"/>
  <c r="D25" i="1" s="1"/>
  <c r="A31" i="3" l="1"/>
  <c r="E10" i="3"/>
  <c r="E35" i="3"/>
  <c r="C15" i="3"/>
  <c r="C31" i="3"/>
  <c r="A34" i="3"/>
  <c r="C34" i="3" s="1"/>
  <c r="E36" i="3"/>
  <c r="A32" i="3"/>
  <c r="C32" i="3" s="1"/>
  <c r="C25" i="3"/>
  <c r="E25" i="3" s="1"/>
  <c r="E13" i="3"/>
  <c r="A35" i="3"/>
  <c r="C35" i="3" s="1"/>
  <c r="C33" i="3"/>
  <c r="E15" i="5"/>
  <c r="A34" i="5"/>
  <c r="C34" i="5" s="1"/>
  <c r="E36" i="5"/>
  <c r="C11" i="5"/>
  <c r="E11" i="5" s="1"/>
  <c r="A32" i="5"/>
  <c r="C32" i="5" s="1"/>
  <c r="D41" i="5" s="1"/>
  <c r="D42" i="5"/>
  <c r="C25" i="5"/>
  <c r="E25" i="5" s="1"/>
  <c r="E13" i="5"/>
  <c r="A35" i="5"/>
  <c r="C35" i="5" s="1"/>
  <c r="C33" i="5"/>
  <c r="A34" i="4"/>
  <c r="C34" i="4" s="1"/>
  <c r="E33" i="4"/>
  <c r="E35" i="4" s="1"/>
  <c r="E36" i="4"/>
  <c r="C32" i="4"/>
  <c r="A35" i="4"/>
  <c r="C35" i="4" s="1"/>
  <c r="E13" i="4"/>
  <c r="C33" i="4"/>
  <c r="C14" i="4"/>
  <c r="E14" i="4" s="1"/>
  <c r="F23" i="4" s="1"/>
  <c r="C25" i="4"/>
  <c r="E25" i="4" s="1"/>
  <c r="E10" i="4"/>
  <c r="C15" i="4"/>
  <c r="A31" i="4"/>
  <c r="C31" i="4" s="1"/>
  <c r="B37" i="2"/>
  <c r="D39" i="2" s="1"/>
  <c r="C32" i="2"/>
  <c r="D32" i="2" s="1"/>
  <c r="C33" i="2" s="1"/>
  <c r="D33" i="2" s="1"/>
  <c r="C34" i="2" s="1"/>
  <c r="D34" i="2" s="1"/>
  <c r="B22" i="2"/>
  <c r="B23" i="2" s="1"/>
  <c r="E22" i="2"/>
  <c r="E23" i="2" s="1"/>
  <c r="E13" i="2"/>
  <c r="B19" i="1"/>
  <c r="D19" i="1" s="1"/>
  <c r="B13" i="1"/>
  <c r="D13" i="1" s="1"/>
  <c r="D42" i="4" l="1"/>
  <c r="D42" i="3"/>
  <c r="C27" i="3"/>
  <c r="E15" i="3"/>
  <c r="D41" i="3"/>
  <c r="D41" i="4"/>
  <c r="C27" i="4"/>
  <c r="E15" i="4"/>
  <c r="D42" i="2"/>
  <c r="D43" i="2" s="1"/>
  <c r="C26" i="1"/>
  <c r="D26" i="1" s="1"/>
  <c r="C27" i="1" l="1"/>
  <c r="D27" i="1" l="1"/>
  <c r="C28" i="1" s="1"/>
  <c r="D28" i="1" s="1"/>
  <c r="C35" i="1" l="1"/>
  <c r="B38" i="1"/>
  <c r="B39" i="1" s="1"/>
  <c r="D39" i="1" s="1"/>
</calcChain>
</file>

<file path=xl/sharedStrings.xml><?xml version="1.0" encoding="utf-8"?>
<sst xmlns="http://schemas.openxmlformats.org/spreadsheetml/2006/main" count="307" uniqueCount="119">
  <si>
    <t>N max</t>
  </si>
  <si>
    <t>минимальная площадь:</t>
  </si>
  <si>
    <t>A</t>
  </si>
  <si>
    <t>м</t>
  </si>
  <si>
    <t>N1, кН</t>
  </si>
  <si>
    <t>N2, кН</t>
  </si>
  <si>
    <t>N3, кН</t>
  </si>
  <si>
    <t>N4, кН</t>
  </si>
  <si>
    <t>x1, м</t>
  </si>
  <si>
    <t>x2, м</t>
  </si>
  <si>
    <t>x3, м</t>
  </si>
  <si>
    <t>x4, м</t>
  </si>
  <si>
    <r>
      <t>м</t>
    </r>
    <r>
      <rPr>
        <vertAlign val="superscript"/>
        <sz val="11"/>
        <color theme="1"/>
        <rFont val="Aptos Narrow"/>
        <family val="2"/>
        <scheme val="minor"/>
      </rPr>
      <t>2</t>
    </r>
  </si>
  <si>
    <t>минимальный размер стороны квадрата</t>
  </si>
  <si>
    <t>a</t>
  </si>
  <si>
    <t>мм</t>
  </si>
  <si>
    <t>Выбираем пруток из стандартного ряда</t>
  </si>
  <si>
    <r>
      <t>a</t>
    </r>
    <r>
      <rPr>
        <vertAlign val="subscript"/>
        <sz val="11"/>
        <color theme="1"/>
        <rFont val="Aptos Narrow"/>
        <family val="2"/>
        <scheme val="minor"/>
      </rPr>
      <t>тр</t>
    </r>
  </si>
  <si>
    <t>Площадь выбранного прутка</t>
  </si>
  <si>
    <t>Напряжение в материале</t>
  </si>
  <si>
    <t>σ</t>
  </si>
  <si>
    <t>Па</t>
  </si>
  <si>
    <t>МПа</t>
  </si>
  <si>
    <t>Деформация на участках</t>
  </si>
  <si>
    <t>№ участка</t>
  </si>
  <si>
    <t>Δl в начале</t>
  </si>
  <si>
    <t>Δl в конце</t>
  </si>
  <si>
    <t>Начальные условия(отчет идет от опоры)</t>
  </si>
  <si>
    <t>максимальная деформация</t>
  </si>
  <si>
    <r>
      <t>|Δl</t>
    </r>
    <r>
      <rPr>
        <vertAlign val="subscript"/>
        <sz val="11"/>
        <color theme="1"/>
        <rFont val="Aptos Narrow"/>
        <family val="2"/>
      </rPr>
      <t>max|</t>
    </r>
  </si>
  <si>
    <r>
      <t>|</t>
    </r>
    <r>
      <rPr>
        <sz val="11"/>
        <color theme="1"/>
        <rFont val="Aptos Narrow"/>
        <family val="2"/>
      </rPr>
      <t>Δl</t>
    </r>
    <r>
      <rPr>
        <sz val="11"/>
        <color theme="1"/>
        <rFont val="Aptos Narrow"/>
        <family val="2"/>
        <charset val="204"/>
      </rPr>
      <t>|</t>
    </r>
  </si>
  <si>
    <t>Услвовие жесткости:</t>
  </si>
  <si>
    <t>Если условие жесткости не выполняется:</t>
  </si>
  <si>
    <r>
      <t>A</t>
    </r>
    <r>
      <rPr>
        <vertAlign val="subscript"/>
        <sz val="11"/>
        <color theme="1"/>
        <rFont val="Aptos Narrow"/>
        <family val="2"/>
        <scheme val="minor"/>
      </rPr>
      <t>тр</t>
    </r>
  </si>
  <si>
    <t>Начальные условия(отчет идет от опоры или со стороны, где T = 0)</t>
  </si>
  <si>
    <t>T max</t>
  </si>
  <si>
    <t>Полярный момент сопротивления поперечного сечения</t>
  </si>
  <si>
    <t>Wp</t>
  </si>
  <si>
    <r>
      <t>м</t>
    </r>
    <r>
      <rPr>
        <vertAlign val="superscript"/>
        <sz val="11"/>
        <color theme="1"/>
        <rFont val="Aptos Narrow"/>
        <family val="2"/>
        <scheme val="minor"/>
      </rPr>
      <t>3</t>
    </r>
  </si>
  <si>
    <t>Расчётный диаметр</t>
  </si>
  <si>
    <r>
      <t>d</t>
    </r>
    <r>
      <rPr>
        <vertAlign val="subscript"/>
        <sz val="11"/>
        <color theme="1"/>
        <rFont val="Aptos Narrow"/>
        <family val="2"/>
        <scheme val="minor"/>
      </rPr>
      <t>р</t>
    </r>
  </si>
  <si>
    <t>Выбираем стандартный диаметр стержня</t>
  </si>
  <si>
    <t>d</t>
  </si>
  <si>
    <t>Полярный момент сопротивления поперечного сечения выбранного стержня</t>
  </si>
  <si>
    <t>Цельный стержень</t>
  </si>
  <si>
    <t>сечение в виде кольца</t>
  </si>
  <si>
    <t>Полярный момент инерции поперечного сечения</t>
  </si>
  <si>
    <t>Ip</t>
  </si>
  <si>
    <r>
      <t>d</t>
    </r>
    <r>
      <rPr>
        <vertAlign val="subscript"/>
        <sz val="11"/>
        <color theme="1"/>
        <rFont val="Aptos Narrow"/>
        <family val="2"/>
        <scheme val="minor"/>
      </rPr>
      <t>р.н</t>
    </r>
  </si>
  <si>
    <r>
      <t>d</t>
    </r>
    <r>
      <rPr>
        <vertAlign val="subscript"/>
        <sz val="11"/>
        <color theme="1"/>
        <rFont val="Aptos Narrow"/>
        <family val="2"/>
        <scheme val="minor"/>
      </rPr>
      <t>н</t>
    </r>
  </si>
  <si>
    <r>
      <t>d</t>
    </r>
    <r>
      <rPr>
        <vertAlign val="subscript"/>
        <sz val="11"/>
        <color theme="1"/>
        <rFont val="Aptos Narrow"/>
        <family val="2"/>
        <scheme val="minor"/>
      </rPr>
      <t>в</t>
    </r>
  </si>
  <si>
    <t>Максимальное напряжение</t>
  </si>
  <si>
    <t>τ</t>
  </si>
  <si>
    <r>
      <t>τ</t>
    </r>
    <r>
      <rPr>
        <vertAlign val="subscript"/>
        <sz val="11"/>
        <color theme="1"/>
        <rFont val="Aptos Narrow"/>
        <family val="2"/>
      </rPr>
      <t>max</t>
    </r>
  </si>
  <si>
    <t>Коэффициент экономичности Э:</t>
  </si>
  <si>
    <t>Углы закручивания на участках</t>
  </si>
  <si>
    <t>E</t>
  </si>
  <si>
    <r>
      <t>[</t>
    </r>
    <r>
      <rPr>
        <sz val="11"/>
        <color theme="1"/>
        <rFont val="Aptos Narrow"/>
        <family val="2"/>
      </rPr>
      <t>σ</t>
    </r>
    <r>
      <rPr>
        <sz val="11"/>
        <color theme="1"/>
        <rFont val="Aptos Narrow"/>
        <family val="2"/>
        <charset val="204"/>
      </rPr>
      <t>]</t>
    </r>
  </si>
  <si>
    <t>α</t>
  </si>
  <si>
    <t>G</t>
  </si>
  <si>
    <t>φ</t>
  </si>
  <si>
    <t>рад/м</t>
  </si>
  <si>
    <r>
      <t>м</t>
    </r>
    <r>
      <rPr>
        <vertAlign val="superscript"/>
        <sz val="11"/>
        <color theme="1"/>
        <rFont val="Aptos Narrow"/>
        <family val="2"/>
        <scheme val="minor"/>
      </rPr>
      <t>4</t>
    </r>
  </si>
  <si>
    <t>Δφ в начале</t>
  </si>
  <si>
    <t>Δφ в конце</t>
  </si>
  <si>
    <t>Расчётный относительный угол закручивания</t>
  </si>
  <si>
    <t>Ф</t>
  </si>
  <si>
    <t>Условие жёсткости:</t>
  </si>
  <si>
    <t>Если условие не соблюдается</t>
  </si>
  <si>
    <t>Требуемый момент инерции:</t>
  </si>
  <si>
    <t>Требуемый диаметр:</t>
  </si>
  <si>
    <t>Стандартное значение</t>
  </si>
  <si>
    <t>T1, кН*м</t>
  </si>
  <si>
    <t>T2, кН*м</t>
  </si>
  <si>
    <t>T3, кН*м</t>
  </si>
  <si>
    <t>T4, кН*м</t>
  </si>
  <si>
    <t>[τ]</t>
  </si>
  <si>
    <t>[y]</t>
  </si>
  <si>
    <r>
      <t>W</t>
    </r>
    <r>
      <rPr>
        <vertAlign val="subscript"/>
        <sz val="11"/>
        <color theme="1"/>
        <rFont val="Aptos Narrow"/>
        <family val="2"/>
        <scheme val="minor"/>
      </rPr>
      <t>zтр</t>
    </r>
    <r>
      <rPr>
        <sz val="11"/>
        <color theme="1"/>
        <rFont val="Aptos Narrow"/>
        <family val="2"/>
      </rPr>
      <t>≥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</si>
  <si>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тр</t>
    </r>
  </si>
  <si>
    <r>
      <t>см</t>
    </r>
    <r>
      <rPr>
        <vertAlign val="superscript"/>
        <sz val="11"/>
        <color theme="1"/>
        <rFont val="Aptos Narrow"/>
        <family val="2"/>
        <scheme val="minor"/>
      </rPr>
      <t>3</t>
    </r>
  </si>
  <si>
    <t>окр b</t>
  </si>
  <si>
    <t>h</t>
  </si>
  <si>
    <r>
      <t>A</t>
    </r>
    <r>
      <rPr>
        <vertAlign val="subscript"/>
        <sz val="11"/>
        <color theme="1"/>
        <rFont val="Aptos Narrow"/>
        <family val="2"/>
        <scheme val="minor"/>
      </rPr>
      <t>п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</si>
  <si>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z</t>
    </r>
  </si>
  <si>
    <r>
      <t>По сортаменту выбираем двутавр с ближайшим большим значением W</t>
    </r>
    <r>
      <rPr>
        <vertAlign val="subscript"/>
        <sz val="11"/>
        <color theme="1"/>
        <rFont val="Aptos Narrow"/>
        <family val="2"/>
        <scheme val="minor"/>
      </rPr>
      <t>z</t>
    </r>
  </si>
  <si>
    <t>Номер балки</t>
  </si>
  <si>
    <t>размеры, мм</t>
  </si>
  <si>
    <t>b</t>
  </si>
  <si>
    <t>s</t>
  </si>
  <si>
    <t>t</t>
  </si>
  <si>
    <r>
      <t>Площадь сечения, см</t>
    </r>
    <r>
      <rPr>
        <vertAlign val="superscript"/>
        <sz val="11"/>
        <color theme="1"/>
        <rFont val="Aptos Narrow"/>
        <family val="2"/>
        <scheme val="minor"/>
      </rPr>
      <t>3</t>
    </r>
  </si>
  <si>
    <t>справочные велечины для оси z</t>
  </si>
  <si>
    <r>
      <t>I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charset val="204"/>
        <scheme val="minor"/>
      </rPr>
      <t>, см</t>
    </r>
    <r>
      <rPr>
        <vertAlign val="superscript"/>
        <sz val="11"/>
        <color theme="1"/>
        <rFont val="Aptos Narrow"/>
        <family val="2"/>
        <scheme val="minor"/>
      </rPr>
      <t>4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</si>
  <si>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charset val="204"/>
        <scheme val="minor"/>
      </rPr>
      <t>, см</t>
    </r>
    <r>
      <rPr>
        <vertAlign val="superscript"/>
        <sz val="11"/>
        <color theme="1"/>
        <rFont val="Aptos Narrow"/>
        <family val="2"/>
        <scheme val="minor"/>
      </rPr>
      <t>3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</si>
  <si>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charset val="204"/>
        <scheme val="minor"/>
      </rPr>
      <t>, см</t>
    </r>
    <r>
      <rPr>
        <vertAlign val="superscript"/>
        <sz val="11"/>
        <color theme="1"/>
        <rFont val="Aptos Narrow"/>
        <family val="2"/>
        <scheme val="minor"/>
      </rPr>
      <t>3</t>
    </r>
  </si>
  <si>
    <t>30a</t>
  </si>
  <si>
    <r>
      <t>см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</si>
  <si>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z</t>
    </r>
  </si>
  <si>
    <r>
      <t>cм</t>
    </r>
    <r>
      <rPr>
        <vertAlign val="superscript"/>
        <sz val="11"/>
        <color theme="1"/>
        <rFont val="Aptos Narrow"/>
        <family val="2"/>
        <scheme val="minor"/>
      </rPr>
      <t>4</t>
    </r>
  </si>
  <si>
    <r>
      <t>σ</t>
    </r>
    <r>
      <rPr>
        <vertAlign val="subscript"/>
        <sz val="11"/>
        <color theme="1"/>
        <rFont val="Aptos Narrow"/>
        <family val="2"/>
      </rPr>
      <t>max</t>
    </r>
  </si>
  <si>
    <t>Прямоугольник</t>
  </si>
  <si>
    <t>Двутавр</t>
  </si>
  <si>
    <t>y</t>
  </si>
  <si>
    <t>τ, МПа</t>
  </si>
  <si>
    <t>-h/2</t>
  </si>
  <si>
    <t>-h/4</t>
  </si>
  <si>
    <t>h/4</t>
  </si>
  <si>
    <t>h/2</t>
  </si>
  <si>
    <t>прямоугольник</t>
  </si>
  <si>
    <t>двутавр</t>
  </si>
  <si>
    <r>
      <t>s, м</t>
    </r>
    <r>
      <rPr>
        <vertAlign val="superscript"/>
        <sz val="11"/>
        <color theme="1"/>
        <rFont val="Aptos Narrow"/>
        <family val="2"/>
        <scheme val="minor"/>
      </rPr>
      <t>3</t>
    </r>
  </si>
  <si>
    <t>Проверка условия прочности</t>
  </si>
  <si>
    <t>Прямоугольник:</t>
  </si>
  <si>
    <t>двутавр:</t>
  </si>
  <si>
    <t>Дальше график в маткаде</t>
  </si>
  <si>
    <t>Максимальный изгибающий момент M, кН*м :</t>
  </si>
  <si>
    <t>Максимальная поперечная сила Q, кН:</t>
  </si>
  <si>
    <r>
      <rPr>
        <sz val="11"/>
        <color theme="1"/>
        <rFont val="Aptos Narrow"/>
        <family val="2"/>
      </rPr>
      <t>∑</t>
    </r>
    <r>
      <rPr>
        <sz val="11"/>
        <color theme="1"/>
        <rFont val="Aptos Narrow"/>
        <family val="2"/>
        <charset val="204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</si>
</sst>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  <font>
      <vertAlign val="subscript"/>
      <sz val="11"/>
      <color theme="1"/>
      <name val="Aptos Narrow"/>
      <family val="2"/>
    </font>
    <font>
      <b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charset val="204"/>
      <scheme val="minor"/>
    </font>
    <font>
      <sz val="10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rgb="FF800000"/>
      </left>
      <right style="thick">
        <color rgb="FF800000"/>
      </right>
      <top style="thick">
        <color rgb="FF800000"/>
      </top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 style="thick">
        <color rgb="FF800000"/>
      </top>
      <bottom/>
      <diagonal/>
    </border>
    <border>
      <left/>
      <right style="thick">
        <color rgb="FF800000"/>
      </right>
      <top style="thick">
        <color indexed="64"/>
      </top>
      <bottom style="thick">
        <color indexed="64"/>
      </bottom>
      <diagonal/>
    </border>
    <border>
      <left style="thick">
        <color rgb="FF800000"/>
      </left>
      <right/>
      <top style="thick">
        <color rgb="FF800000"/>
      </top>
      <bottom style="thick">
        <color rgb="FF800000"/>
      </bottom>
      <diagonal/>
    </border>
    <border>
      <left/>
      <right style="thick">
        <color rgb="FF800000"/>
      </right>
      <top style="thick">
        <color rgb="FF800000"/>
      </top>
      <bottom style="thick">
        <color rgb="FF800000"/>
      </bottom>
      <diagonal/>
    </border>
    <border>
      <left/>
      <right/>
      <top style="thick">
        <color rgb="FF800000"/>
      </top>
      <bottom style="thick">
        <color rgb="FF800000"/>
      </bottom>
      <diagonal/>
    </border>
    <border>
      <left style="thick">
        <color indexed="64"/>
      </left>
      <right style="thick">
        <color rgb="FF800000"/>
      </right>
      <top style="thick">
        <color rgb="FF800000"/>
      </top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/>
      <bottom style="thick">
        <color rgb="FF80000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rgb="FF800000"/>
      </left>
      <right/>
      <top style="thick">
        <color indexed="64"/>
      </top>
      <bottom style="thick">
        <color indexed="64"/>
      </bottom>
      <diagonal/>
    </border>
    <border>
      <left style="thick">
        <color rgb="FF800000"/>
      </left>
      <right/>
      <top style="thick">
        <color rgb="FF800000"/>
      </top>
      <bottom/>
      <diagonal/>
    </border>
    <border>
      <left/>
      <right style="thick">
        <color rgb="FF800000"/>
      </right>
      <top style="thick">
        <color rgb="FF800000"/>
      </top>
      <bottom/>
      <diagonal/>
    </border>
    <border>
      <left style="thick">
        <color rgb="FF800000"/>
      </left>
      <right/>
      <top/>
      <bottom style="thick">
        <color rgb="FF800000"/>
      </bottom>
      <diagonal/>
    </border>
    <border>
      <left/>
      <right style="thick">
        <color rgb="FF800000"/>
      </right>
      <top/>
      <bottom style="thick">
        <color rgb="FF800000"/>
      </bottom>
      <diagonal/>
    </border>
    <border>
      <left style="thick">
        <color indexed="64"/>
      </left>
      <right style="thick">
        <color rgb="FF8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rgb="FF800000"/>
      </top>
      <bottom style="thick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0" fillId="0" borderId="14" xfId="0" applyBorder="1"/>
    <xf numFmtId="11" fontId="0" fillId="0" borderId="0" xfId="0" applyNumberFormat="1"/>
    <xf numFmtId="0" fontId="4" fillId="0" borderId="0" xfId="0" applyFont="1"/>
    <xf numFmtId="0" fontId="4" fillId="0" borderId="4" xfId="0" applyFont="1" applyBorder="1"/>
    <xf numFmtId="0" fontId="4" fillId="0" borderId="13" xfId="0" applyFont="1" applyBorder="1"/>
    <xf numFmtId="11" fontId="0" fillId="0" borderId="4" xfId="0" applyNumberFormat="1" applyBorder="1"/>
    <xf numFmtId="11" fontId="0" fillId="0" borderId="1" xfId="0" applyNumberFormat="1" applyBorder="1"/>
    <xf numFmtId="164" fontId="0" fillId="0" borderId="0" xfId="0" applyNumberFormat="1"/>
    <xf numFmtId="164" fontId="7" fillId="0" borderId="0" xfId="0" applyNumberFormat="1" applyFont="1"/>
    <xf numFmtId="11" fontId="0" fillId="0" borderId="8" xfId="0" applyNumberFormat="1" applyBorder="1"/>
    <xf numFmtId="164" fontId="0" fillId="0" borderId="8" xfId="0" applyNumberFormat="1" applyBorder="1"/>
    <xf numFmtId="0" fontId="4" fillId="0" borderId="1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1" fontId="0" fillId="0" borderId="14" xfId="0" applyNumberFormat="1" applyBorder="1"/>
    <xf numFmtId="11" fontId="0" fillId="0" borderId="13" xfId="0" applyNumberFormat="1" applyBorder="1"/>
    <xf numFmtId="0" fontId="4" fillId="0" borderId="14" xfId="0" applyFont="1" applyBorder="1"/>
    <xf numFmtId="165" fontId="0" fillId="0" borderId="0" xfId="0" applyNumberFormat="1"/>
    <xf numFmtId="0" fontId="0" fillId="0" borderId="6" xfId="0" applyBorder="1" applyAlignment="1">
      <alignment vertical="center" wrapText="1"/>
    </xf>
    <xf numFmtId="2" fontId="0" fillId="0" borderId="8" xfId="0" applyNumberFormat="1" applyBorder="1"/>
    <xf numFmtId="11" fontId="0" fillId="0" borderId="10" xfId="0" applyNumberFormat="1" applyBorder="1"/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7" fillId="0" borderId="0" xfId="0" applyNumberFormat="1" applyFont="1"/>
    <xf numFmtId="166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8" xfId="0" applyBorder="1"/>
    <xf numFmtId="2" fontId="0" fillId="0" borderId="0" xfId="0" applyNumberFormat="1"/>
    <xf numFmtId="11" fontId="0" fillId="0" borderId="11" xfId="0" applyNumberFormat="1" applyBorder="1"/>
    <xf numFmtId="2" fontId="0" fillId="0" borderId="1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" fontId="0" fillId="0" borderId="8" xfId="0" applyNumberFormat="1" applyBorder="1"/>
    <xf numFmtId="1" fontId="0" fillId="0" borderId="10" xfId="0" applyNumberFormat="1" applyBorder="1"/>
    <xf numFmtId="4" fontId="0" fillId="0" borderId="7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9" fillId="0" borderId="6" xfId="0" applyFont="1" applyBorder="1"/>
    <xf numFmtId="0" fontId="0" fillId="0" borderId="13" xfId="0" quotePrefix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1" xfId="0" applyNumberFormat="1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7" fontId="0" fillId="0" borderId="3" xfId="0" applyNumberFormat="1" applyBorder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4" fillId="0" borderId="24" xfId="0" applyFont="1" applyBorder="1"/>
    <xf numFmtId="0" fontId="0" fillId="0" borderId="19" xfId="0" applyBorder="1"/>
    <xf numFmtId="0" fontId="0" fillId="0" borderId="20" xfId="0" applyBorder="1"/>
    <xf numFmtId="0" fontId="0" fillId="0" borderId="25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10" xfId="0" applyNumberFormat="1" applyBorder="1" applyAlignment="1">
      <alignment horizontal="center"/>
    </xf>
    <xf numFmtId="11" fontId="0" fillId="0" borderId="1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31" xfId="0" applyBorder="1"/>
    <xf numFmtId="0" fontId="0" fillId="0" borderId="30" xfId="0" applyBorder="1"/>
    <xf numFmtId="0" fontId="11" fillId="0" borderId="17" xfId="0" applyFont="1" applyBorder="1"/>
    <xf numFmtId="0" fontId="0" fillId="0" borderId="16" xfId="0" applyNumberFormat="1" applyBorder="1" applyAlignment="1">
      <alignment horizontal="center" vertical="center"/>
    </xf>
    <xf numFmtId="2" fontId="0" fillId="0" borderId="9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E2A2-FA31-4F81-B230-0D1B0FC7292A}">
  <dimension ref="A1:I39"/>
  <sheetViews>
    <sheetView workbookViewId="0">
      <selection activeCell="B32" sqref="B32"/>
    </sheetView>
  </sheetViews>
  <sheetFormatPr defaultRowHeight="15" x14ac:dyDescent="0.25"/>
  <cols>
    <col min="1" max="1" width="10.7109375" bestFit="1" customWidth="1"/>
    <col min="2" max="2" width="11.140625" bestFit="1" customWidth="1"/>
    <col min="3" max="4" width="10" bestFit="1" customWidth="1"/>
    <col min="8" max="8" width="9.140625" customWidth="1"/>
  </cols>
  <sheetData>
    <row r="1" spans="1:9" x14ac:dyDescent="0.25">
      <c r="A1" t="s">
        <v>27</v>
      </c>
    </row>
    <row r="2" spans="1:9" ht="15.75" thickBot="1" x14ac:dyDescent="0.3"/>
    <row r="3" spans="1:9" ht="16.5" thickTop="1" thickBot="1" x14ac:dyDescent="0.3">
      <c r="B3" s="1" t="s">
        <v>8</v>
      </c>
      <c r="C3" s="68">
        <v>2</v>
      </c>
      <c r="D3" s="2" t="s">
        <v>4</v>
      </c>
      <c r="E3" s="68">
        <v>80</v>
      </c>
      <c r="G3" s="11" t="s">
        <v>57</v>
      </c>
      <c r="H3" s="28">
        <v>170</v>
      </c>
      <c r="I3" s="3" t="s">
        <v>22</v>
      </c>
    </row>
    <row r="4" spans="1:9" ht="16.5" thickTop="1" thickBot="1" x14ac:dyDescent="0.3">
      <c r="B4" s="1" t="s">
        <v>9</v>
      </c>
      <c r="C4" s="68">
        <v>0.5</v>
      </c>
      <c r="D4" s="2" t="s">
        <v>5</v>
      </c>
      <c r="E4" s="68">
        <v>50</v>
      </c>
      <c r="G4" s="12" t="s">
        <v>56</v>
      </c>
      <c r="H4" s="12">
        <f>2*10^11</f>
        <v>200000000000</v>
      </c>
      <c r="I4" s="10" t="s">
        <v>21</v>
      </c>
    </row>
    <row r="5" spans="1:9" ht="16.5" thickTop="1" thickBot="1" x14ac:dyDescent="0.3">
      <c r="B5" s="8" t="s">
        <v>10</v>
      </c>
      <c r="C5" s="121">
        <v>2.5</v>
      </c>
      <c r="D5" s="9" t="s">
        <v>6</v>
      </c>
      <c r="E5" s="67">
        <v>70</v>
      </c>
      <c r="G5" s="13" t="s">
        <v>30</v>
      </c>
      <c r="H5" s="27">
        <f>SUM(C3:C6)*10^-4</f>
        <v>6.9999999999999999E-4</v>
      </c>
      <c r="I5" s="7" t="s">
        <v>3</v>
      </c>
    </row>
    <row r="6" spans="1:9" ht="16.5" thickTop="1" thickBot="1" x14ac:dyDescent="0.3">
      <c r="B6" s="6" t="s">
        <v>11</v>
      </c>
      <c r="C6" s="67">
        <v>2</v>
      </c>
      <c r="D6" s="40" t="s">
        <v>7</v>
      </c>
      <c r="E6" s="75">
        <v>30</v>
      </c>
    </row>
    <row r="7" spans="1:9" ht="16.5" thickTop="1" thickBot="1" x14ac:dyDescent="0.3">
      <c r="B7" s="6"/>
      <c r="C7" s="119"/>
      <c r="D7" s="120" t="s">
        <v>0</v>
      </c>
      <c r="E7" s="75">
        <v>80</v>
      </c>
    </row>
    <row r="8" spans="1:9" ht="15.75" thickTop="1" x14ac:dyDescent="0.25">
      <c r="C8" s="2"/>
    </row>
    <row r="9" spans="1:9" ht="15.75" thickBot="1" x14ac:dyDescent="0.3"/>
    <row r="10" spans="1:9" ht="16.5" thickTop="1" thickBot="1" x14ac:dyDescent="0.3">
      <c r="A10" s="81" t="s">
        <v>1</v>
      </c>
      <c r="B10" s="82"/>
      <c r="C10" s="82"/>
      <c r="D10" s="82"/>
      <c r="E10" s="83"/>
    </row>
    <row r="11" spans="1:9" ht="18" thickTop="1" thickBot="1" x14ac:dyDescent="0.3">
      <c r="A11" s="12" t="s">
        <v>2</v>
      </c>
      <c r="B11" s="86">
        <f>E7*10^3/(H3*10^6)</f>
        <v>4.7058823529411766E-4</v>
      </c>
      <c r="C11" s="87"/>
      <c r="D11" s="82" t="s">
        <v>12</v>
      </c>
      <c r="E11" s="83"/>
    </row>
    <row r="12" spans="1:9" ht="16.5" thickTop="1" thickBot="1" x14ac:dyDescent="0.3">
      <c r="A12" s="81" t="s">
        <v>13</v>
      </c>
      <c r="B12" s="82"/>
      <c r="C12" s="82"/>
      <c r="D12" s="82"/>
      <c r="E12" s="83"/>
    </row>
    <row r="13" spans="1:9" ht="19.5" thickTop="1" thickBot="1" x14ac:dyDescent="0.4">
      <c r="A13" s="12" t="s">
        <v>17</v>
      </c>
      <c r="B13" s="14">
        <f>SQRT(B11)</f>
        <v>2.1693045781865618E-2</v>
      </c>
      <c r="C13" s="10" t="s">
        <v>3</v>
      </c>
      <c r="D13" s="20">
        <f>B13*1000</f>
        <v>21.693045781865617</v>
      </c>
      <c r="E13" s="10" t="s">
        <v>15</v>
      </c>
    </row>
    <row r="14" spans="1:9" ht="16.5" thickTop="1" thickBot="1" x14ac:dyDescent="0.3">
      <c r="A14" s="81" t="s">
        <v>16</v>
      </c>
      <c r="B14" s="84"/>
      <c r="C14" s="84"/>
      <c r="D14" s="82"/>
      <c r="E14" s="83"/>
    </row>
    <row r="15" spans="1:9" ht="16.5" thickTop="1" thickBot="1" x14ac:dyDescent="0.3">
      <c r="A15" s="8" t="s">
        <v>14</v>
      </c>
      <c r="B15" s="77">
        <v>22</v>
      </c>
      <c r="C15" s="78" t="s">
        <v>15</v>
      </c>
      <c r="D15" s="14">
        <f>B15/1000</f>
        <v>2.1999999999999999E-2</v>
      </c>
      <c r="E15" s="10" t="s">
        <v>3</v>
      </c>
    </row>
    <row r="16" spans="1:9" ht="16.5" thickTop="1" thickBot="1" x14ac:dyDescent="0.3">
      <c r="A16" s="81" t="s">
        <v>18</v>
      </c>
      <c r="B16" s="85"/>
      <c r="C16" s="85"/>
      <c r="D16" s="82"/>
      <c r="E16" s="83"/>
    </row>
    <row r="17" spans="1:6" ht="18" thickTop="1" thickBot="1" x14ac:dyDescent="0.3">
      <c r="A17" s="12" t="s">
        <v>2</v>
      </c>
      <c r="B17" s="86">
        <f>D15^2</f>
        <v>4.8399999999999995E-4</v>
      </c>
      <c r="C17" s="87"/>
      <c r="D17" s="82" t="s">
        <v>12</v>
      </c>
      <c r="E17" s="83"/>
    </row>
    <row r="18" spans="1:6" ht="16.5" thickTop="1" thickBot="1" x14ac:dyDescent="0.3">
      <c r="A18" s="81" t="s">
        <v>19</v>
      </c>
      <c r="B18" s="82"/>
      <c r="C18" s="82"/>
      <c r="D18" s="82"/>
      <c r="E18" s="82"/>
      <c r="F18" s="4"/>
    </row>
    <row r="19" spans="1:6" ht="16.5" thickTop="1" thickBot="1" x14ac:dyDescent="0.3">
      <c r="A19" s="24" t="s">
        <v>20</v>
      </c>
      <c r="B19" s="22">
        <f>E7*10^3/B17</f>
        <v>165289256.19834712</v>
      </c>
      <c r="C19" s="10" t="s">
        <v>21</v>
      </c>
      <c r="D19" s="23">
        <f>B19/1000000</f>
        <v>165.28925619834712</v>
      </c>
      <c r="E19" s="10" t="s">
        <v>22</v>
      </c>
    </row>
    <row r="20" spans="1:6" ht="15.75" thickTop="1" x14ac:dyDescent="0.25"/>
    <row r="22" spans="1:6" x14ac:dyDescent="0.25">
      <c r="A22" s="80" t="s">
        <v>23</v>
      </c>
      <c r="B22" s="80"/>
      <c r="C22" s="80"/>
      <c r="D22" s="80"/>
    </row>
    <row r="23" spans="1:6" ht="15.75" thickBot="1" x14ac:dyDescent="0.3"/>
    <row r="24" spans="1:6" ht="16.5" thickTop="1" thickBot="1" x14ac:dyDescent="0.3">
      <c r="B24" s="1" t="s">
        <v>24</v>
      </c>
      <c r="C24" s="17" t="s">
        <v>25</v>
      </c>
      <c r="D24" s="16" t="s">
        <v>26</v>
      </c>
    </row>
    <row r="25" spans="1:6" ht="16.5" thickTop="1" thickBot="1" x14ac:dyDescent="0.3">
      <c r="B25" s="1">
        <v>1</v>
      </c>
      <c r="C25" s="11">
        <v>0</v>
      </c>
      <c r="D25" s="18">
        <f>C25+E3*10^3*C3/($H$4*$B$17)</f>
        <v>1.6528925619834713E-3</v>
      </c>
    </row>
    <row r="26" spans="1:6" ht="16.5" thickTop="1" thickBot="1" x14ac:dyDescent="0.3">
      <c r="B26" s="8">
        <v>2</v>
      </c>
      <c r="C26" s="19">
        <f>D25</f>
        <v>1.6528925619834713E-3</v>
      </c>
      <c r="D26" s="18">
        <f>C26+E4*10^3*C4/($H$4*$B$17)</f>
        <v>1.9111570247933886E-3</v>
      </c>
    </row>
    <row r="27" spans="1:6" ht="16.5" thickTop="1" thickBot="1" x14ac:dyDescent="0.3">
      <c r="B27" s="6">
        <v>3</v>
      </c>
      <c r="C27" s="19">
        <f t="shared" ref="C27:C28" si="0">D26</f>
        <v>1.9111570247933886E-3</v>
      </c>
      <c r="D27" s="18">
        <f>C27+E5*10^3*C5/($H$4*$B$17)</f>
        <v>3.7190082644628104E-3</v>
      </c>
    </row>
    <row r="28" spans="1:6" ht="16.5" thickTop="1" thickBot="1" x14ac:dyDescent="0.3">
      <c r="B28" s="6">
        <v>4</v>
      </c>
      <c r="C28" s="19">
        <f t="shared" si="0"/>
        <v>3.7190082644628104E-3</v>
      </c>
      <c r="D28" s="18">
        <f>C28+E6*10^3*C6/($H$4*$B$17)</f>
        <v>4.3388429752066124E-3</v>
      </c>
    </row>
    <row r="29" spans="1:6" ht="15.75" thickTop="1" x14ac:dyDescent="0.25">
      <c r="D29" s="2"/>
    </row>
    <row r="31" spans="1:6" x14ac:dyDescent="0.25">
      <c r="A31" s="80" t="s">
        <v>28</v>
      </c>
      <c r="B31" s="80"/>
      <c r="C31" s="80"/>
      <c r="D31" s="80"/>
    </row>
    <row r="32" spans="1:6" ht="18" x14ac:dyDescent="0.35">
      <c r="A32" s="15" t="s">
        <v>29</v>
      </c>
      <c r="B32" s="14">
        <f>ABS(MAX(C25:D28))</f>
        <v>4.3388429752066124E-3</v>
      </c>
    </row>
    <row r="35" spans="1:5" x14ac:dyDescent="0.25">
      <c r="A35" s="80" t="s">
        <v>31</v>
      </c>
      <c r="B35" s="80"/>
      <c r="C35" t="b">
        <f>H5&gt;B32</f>
        <v>0</v>
      </c>
    </row>
    <row r="37" spans="1:5" x14ac:dyDescent="0.25">
      <c r="A37" s="80" t="s">
        <v>32</v>
      </c>
      <c r="B37" s="80"/>
      <c r="C37" s="80"/>
      <c r="D37" s="80"/>
    </row>
    <row r="38" spans="1:5" ht="18" x14ac:dyDescent="0.35">
      <c r="A38" t="s">
        <v>33</v>
      </c>
      <c r="B38" s="14">
        <f>B17*B32/H5</f>
        <v>3.0000000000000005E-3</v>
      </c>
      <c r="C38" t="s">
        <v>12</v>
      </c>
    </row>
    <row r="39" spans="1:5" ht="18" x14ac:dyDescent="0.35">
      <c r="A39" t="s">
        <v>17</v>
      </c>
      <c r="B39" s="14">
        <f>SQRT(B38)</f>
        <v>5.4772255750516613E-2</v>
      </c>
      <c r="C39" t="s">
        <v>3</v>
      </c>
      <c r="D39" s="21">
        <f>B39*1000</f>
        <v>54.772255750516614</v>
      </c>
      <c r="E39" t="s">
        <v>15</v>
      </c>
    </row>
  </sheetData>
  <mergeCells count="13">
    <mergeCell ref="A37:D37"/>
    <mergeCell ref="A31:D31"/>
    <mergeCell ref="A10:E10"/>
    <mergeCell ref="A22:D22"/>
    <mergeCell ref="A12:E12"/>
    <mergeCell ref="A14:E14"/>
    <mergeCell ref="A16:E16"/>
    <mergeCell ref="A18:E18"/>
    <mergeCell ref="D11:E11"/>
    <mergeCell ref="B11:C11"/>
    <mergeCell ref="D17:E17"/>
    <mergeCell ref="B17:C17"/>
    <mergeCell ref="A35:B3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5F04-3B3D-423B-B1FB-731938090F3A}">
  <dimension ref="A1:I44"/>
  <sheetViews>
    <sheetView topLeftCell="A14" workbookViewId="0">
      <selection activeCell="A36" sqref="A36:E36"/>
    </sheetView>
  </sheetViews>
  <sheetFormatPr defaultRowHeight="15" x14ac:dyDescent="0.25"/>
  <cols>
    <col min="2" max="2" width="10.7109375" bestFit="1" customWidth="1"/>
    <col min="3" max="3" width="11.85546875" bestFit="1" customWidth="1"/>
    <col min="4" max="4" width="10.7109375" bestFit="1" customWidth="1"/>
    <col min="5" max="5" width="9.28515625" bestFit="1" customWidth="1"/>
  </cols>
  <sheetData>
    <row r="1" spans="1:9" x14ac:dyDescent="0.25">
      <c r="A1" t="s">
        <v>34</v>
      </c>
    </row>
    <row r="2" spans="1:9" ht="15.75" thickBot="1" x14ac:dyDescent="0.3"/>
    <row r="3" spans="1:9" ht="16.5" thickTop="1" thickBot="1" x14ac:dyDescent="0.3">
      <c r="B3" s="1" t="s">
        <v>8</v>
      </c>
      <c r="C3" s="68">
        <v>0.5</v>
      </c>
      <c r="D3" s="2" t="s">
        <v>72</v>
      </c>
      <c r="E3" s="68">
        <v>-50</v>
      </c>
      <c r="G3" s="24" t="s">
        <v>52</v>
      </c>
      <c r="H3" s="12">
        <v>85</v>
      </c>
      <c r="I3" s="10" t="s">
        <v>22</v>
      </c>
    </row>
    <row r="4" spans="1:9" ht="16.5" thickTop="1" thickBot="1" x14ac:dyDescent="0.3">
      <c r="B4" s="1" t="s">
        <v>9</v>
      </c>
      <c r="C4" s="68">
        <v>2.5</v>
      </c>
      <c r="D4" s="2" t="s">
        <v>73</v>
      </c>
      <c r="E4" s="68">
        <v>30</v>
      </c>
      <c r="G4" s="17" t="s">
        <v>58</v>
      </c>
      <c r="H4" s="11">
        <v>0.8</v>
      </c>
      <c r="I4" s="3"/>
    </row>
    <row r="5" spans="1:9" ht="16.5" thickTop="1" thickBot="1" x14ac:dyDescent="0.3">
      <c r="B5" s="8" t="s">
        <v>10</v>
      </c>
      <c r="C5" s="67">
        <v>2</v>
      </c>
      <c r="D5" s="9" t="s">
        <v>74</v>
      </c>
      <c r="E5" s="67">
        <v>-10</v>
      </c>
      <c r="G5" s="12" t="s">
        <v>59</v>
      </c>
      <c r="H5" s="19">
        <v>80000000000</v>
      </c>
      <c r="I5" s="10" t="s">
        <v>21</v>
      </c>
    </row>
    <row r="6" spans="1:9" ht="16.5" thickTop="1" thickBot="1" x14ac:dyDescent="0.3">
      <c r="B6" s="6" t="s">
        <v>11</v>
      </c>
      <c r="C6" s="75"/>
      <c r="D6" s="40" t="s">
        <v>75</v>
      </c>
      <c r="E6" s="75"/>
      <c r="G6" s="29" t="s">
        <v>60</v>
      </c>
      <c r="H6" s="27">
        <v>1.2E-2</v>
      </c>
      <c r="I6" s="7" t="s">
        <v>61</v>
      </c>
    </row>
    <row r="7" spans="1:9" ht="16.5" thickTop="1" thickBot="1" x14ac:dyDescent="0.3">
      <c r="B7" s="6"/>
      <c r="C7" s="77"/>
      <c r="D7" s="79" t="s">
        <v>35</v>
      </c>
      <c r="E7" s="75">
        <v>-50</v>
      </c>
    </row>
    <row r="8" spans="1:9" ht="16.5" thickTop="1" thickBot="1" x14ac:dyDescent="0.3"/>
    <row r="9" spans="1:9" ht="16.5" thickTop="1" thickBot="1" x14ac:dyDescent="0.3">
      <c r="A9" s="81" t="s">
        <v>44</v>
      </c>
      <c r="B9" s="82"/>
      <c r="C9" s="83"/>
      <c r="D9" s="84" t="s">
        <v>45</v>
      </c>
      <c r="E9" s="84"/>
      <c r="F9" s="88"/>
    </row>
    <row r="10" spans="1:9" ht="16.5" thickTop="1" thickBot="1" x14ac:dyDescent="0.3">
      <c r="A10" s="81" t="s">
        <v>36</v>
      </c>
      <c r="B10" s="82"/>
      <c r="C10" s="82"/>
      <c r="D10" s="82"/>
      <c r="E10" s="82"/>
      <c r="F10" s="83"/>
    </row>
    <row r="11" spans="1:9" ht="18" thickTop="1" thickBot="1" x14ac:dyDescent="0.3">
      <c r="A11" s="81" t="s">
        <v>37</v>
      </c>
      <c r="B11" s="82"/>
      <c r="C11" s="87">
        <f>ABS(E7)*10^3/(H3*10^6)</f>
        <v>5.8823529411764701E-4</v>
      </c>
      <c r="D11" s="87"/>
      <c r="E11" s="82" t="s">
        <v>38</v>
      </c>
      <c r="F11" s="83"/>
    </row>
    <row r="12" spans="1:9" ht="16.5" thickTop="1" thickBot="1" x14ac:dyDescent="0.3">
      <c r="A12" s="81" t="s">
        <v>39</v>
      </c>
      <c r="B12" s="82"/>
      <c r="C12" s="82"/>
      <c r="D12" s="82"/>
      <c r="E12" s="82"/>
      <c r="F12" s="83"/>
    </row>
    <row r="13" spans="1:9" ht="19.5" thickTop="1" thickBot="1" x14ac:dyDescent="0.4">
      <c r="A13" s="12" t="s">
        <v>40</v>
      </c>
      <c r="B13" s="30">
        <f>(C11*16/PI())^(1/3)</f>
        <v>0.14415854695680955</v>
      </c>
      <c r="C13" s="5" t="s">
        <v>3</v>
      </c>
      <c r="D13" s="12" t="s">
        <v>48</v>
      </c>
      <c r="E13" s="30">
        <f>(C11*16/(PI()*(1-H4^4)))^(1/3)</f>
        <v>0.1718402700769508</v>
      </c>
      <c r="F13" s="5" t="s">
        <v>3</v>
      </c>
    </row>
    <row r="14" spans="1:9" ht="15" customHeight="1" thickTop="1" thickBot="1" x14ac:dyDescent="0.3">
      <c r="A14" s="97" t="s">
        <v>41</v>
      </c>
      <c r="B14" s="98"/>
      <c r="C14" s="98"/>
      <c r="D14" s="99"/>
      <c r="E14" s="98"/>
      <c r="F14" s="100"/>
      <c r="G14" s="26"/>
      <c r="H14" s="26"/>
    </row>
    <row r="15" spans="1:9" ht="19.5" thickTop="1" thickBot="1" x14ac:dyDescent="0.4">
      <c r="A15" s="89" t="s">
        <v>42</v>
      </c>
      <c r="B15" s="91">
        <v>0.15</v>
      </c>
      <c r="C15" s="93" t="s">
        <v>3</v>
      </c>
      <c r="D15" s="9" t="s">
        <v>49</v>
      </c>
      <c r="E15" s="77">
        <v>0.18</v>
      </c>
      <c r="F15" s="78" t="s">
        <v>3</v>
      </c>
    </row>
    <row r="16" spans="1:9" ht="15" customHeight="1" thickTop="1" thickBot="1" x14ac:dyDescent="0.4">
      <c r="A16" s="90"/>
      <c r="B16" s="92"/>
      <c r="C16" s="94"/>
      <c r="D16" s="7" t="s">
        <v>50</v>
      </c>
      <c r="E16" s="25">
        <f>E15*H4</f>
        <v>0.14399999999999999</v>
      </c>
      <c r="F16" s="31" t="s">
        <v>3</v>
      </c>
    </row>
    <row r="17" spans="1:8" ht="15" customHeight="1" thickTop="1" thickBot="1" x14ac:dyDescent="0.3">
      <c r="A17" s="101" t="s">
        <v>43</v>
      </c>
      <c r="B17" s="102"/>
      <c r="C17" s="102"/>
      <c r="D17" s="103"/>
      <c r="E17" s="103"/>
      <c r="F17" s="104"/>
      <c r="G17" s="25"/>
      <c r="H17" s="25"/>
    </row>
    <row r="18" spans="1:8" ht="18" thickTop="1" thickBot="1" x14ac:dyDescent="0.3">
      <c r="A18" s="12" t="s">
        <v>37</v>
      </c>
      <c r="B18" s="14">
        <f>PI()*B15^3/16</f>
        <v>6.6267970036659697E-4</v>
      </c>
      <c r="C18" s="5" t="s">
        <v>38</v>
      </c>
      <c r="D18" t="s">
        <v>37</v>
      </c>
      <c r="E18" s="33">
        <f>PI()*E15^3*(1-H4^4)/16</f>
        <v>6.7607325232664614E-4</v>
      </c>
      <c r="F18" s="5" t="s">
        <v>38</v>
      </c>
    </row>
    <row r="19" spans="1:8" ht="16.5" thickTop="1" thickBot="1" x14ac:dyDescent="0.3">
      <c r="A19" s="101" t="s">
        <v>46</v>
      </c>
      <c r="B19" s="103"/>
      <c r="C19" s="103"/>
      <c r="D19" s="103"/>
      <c r="E19" s="103"/>
      <c r="F19" s="104"/>
    </row>
    <row r="20" spans="1:8" ht="18" thickTop="1" thickBot="1" x14ac:dyDescent="0.3">
      <c r="A20" s="4" t="s">
        <v>47</v>
      </c>
      <c r="B20" s="33">
        <f>PI()*B15^4/32</f>
        <v>4.970097752749477E-5</v>
      </c>
      <c r="C20" s="5" t="s">
        <v>62</v>
      </c>
      <c r="D20" t="s">
        <v>47</v>
      </c>
      <c r="E20" s="33">
        <f>PI()*E15^4*(1-H4^4)/32</f>
        <v>6.0846592709398143E-5</v>
      </c>
      <c r="F20" s="5" t="s">
        <v>62</v>
      </c>
    </row>
    <row r="21" spans="1:8" ht="16.5" thickTop="1" thickBot="1" x14ac:dyDescent="0.3">
      <c r="A21" s="81" t="s">
        <v>51</v>
      </c>
      <c r="B21" s="82"/>
      <c r="C21" s="82"/>
      <c r="D21" s="82"/>
      <c r="E21" s="82"/>
      <c r="F21" s="83"/>
    </row>
    <row r="22" spans="1:8" ht="19.5" customHeight="1" thickTop="1" thickBot="1" x14ac:dyDescent="0.3">
      <c r="A22" s="95" t="s">
        <v>53</v>
      </c>
      <c r="B22" s="33">
        <f>E7*10^3/B18</f>
        <v>-75451232.280602232</v>
      </c>
      <c r="C22" s="10" t="s">
        <v>21</v>
      </c>
      <c r="D22" s="95" t="s">
        <v>53</v>
      </c>
      <c r="E22" s="33">
        <f>E7*10^3/E18</f>
        <v>-73956483.01116696</v>
      </c>
      <c r="F22" s="10" t="s">
        <v>21</v>
      </c>
    </row>
    <row r="23" spans="1:8" ht="16.5" thickTop="1" thickBot="1" x14ac:dyDescent="0.3">
      <c r="A23" s="96"/>
      <c r="B23" s="32">
        <f>B22*10^-6</f>
        <v>-75.451232280602227</v>
      </c>
      <c r="C23" s="7" t="s">
        <v>22</v>
      </c>
      <c r="D23" s="96"/>
      <c r="E23" s="32">
        <f>E22*10^-6</f>
        <v>-73.956483011166952</v>
      </c>
      <c r="F23" s="7" t="s">
        <v>22</v>
      </c>
    </row>
    <row r="24" spans="1:8" ht="15.75" thickTop="1" x14ac:dyDescent="0.25"/>
    <row r="26" spans="1:8" x14ac:dyDescent="0.25">
      <c r="A26" s="80" t="s">
        <v>54</v>
      </c>
      <c r="B26" s="80"/>
      <c r="C26" s="80"/>
      <c r="D26" s="80"/>
      <c r="E26" s="36">
        <f>B15^2/(E15^2-E16^2)</f>
        <v>1.9290123456790123</v>
      </c>
    </row>
    <row r="28" spans="1:8" x14ac:dyDescent="0.25">
      <c r="A28" s="80" t="s">
        <v>55</v>
      </c>
      <c r="B28" s="80"/>
      <c r="C28" s="80"/>
      <c r="D28" s="80"/>
    </row>
    <row r="29" spans="1:8" ht="15.75" thickBot="1" x14ac:dyDescent="0.3"/>
    <row r="30" spans="1:8" ht="16.5" thickTop="1" thickBot="1" x14ac:dyDescent="0.3">
      <c r="B30" s="1" t="s">
        <v>24</v>
      </c>
      <c r="C30" s="17" t="s">
        <v>63</v>
      </c>
      <c r="D30" s="16" t="s">
        <v>64</v>
      </c>
    </row>
    <row r="31" spans="1:8" ht="16.5" thickTop="1" thickBot="1" x14ac:dyDescent="0.3">
      <c r="B31" s="1">
        <v>1</v>
      </c>
      <c r="C31" s="11">
        <v>0</v>
      </c>
      <c r="D31" s="18">
        <f>C31+E3*10^3*C3/($H$5*$B$20)</f>
        <v>-6.2876026900501869E-3</v>
      </c>
    </row>
    <row r="32" spans="1:8" ht="16.5" thickTop="1" thickBot="1" x14ac:dyDescent="0.3">
      <c r="B32" s="8">
        <v>2</v>
      </c>
      <c r="C32" s="19">
        <f>D31</f>
        <v>-6.2876026900501869E-3</v>
      </c>
      <c r="D32" s="18">
        <f t="shared" ref="D32:D34" si="0">C32+E4*10^3*C4/($H$5*$B$20)</f>
        <v>1.2575205380100374E-2</v>
      </c>
    </row>
    <row r="33" spans="1:5" ht="16.5" thickTop="1" thickBot="1" x14ac:dyDescent="0.3">
      <c r="B33" s="6">
        <v>3</v>
      </c>
      <c r="C33" s="19">
        <f t="shared" ref="C33:C34" si="1">D32</f>
        <v>1.2575205380100374E-2</v>
      </c>
      <c r="D33" s="18">
        <f t="shared" si="0"/>
        <v>7.5451232280602243E-3</v>
      </c>
    </row>
    <row r="34" spans="1:5" ht="16.5" thickTop="1" thickBot="1" x14ac:dyDescent="0.3">
      <c r="B34" s="6">
        <v>4</v>
      </c>
      <c r="C34" s="19">
        <f t="shared" si="1"/>
        <v>7.5451232280602243E-3</v>
      </c>
      <c r="D34" s="18">
        <f t="shared" si="0"/>
        <v>7.5451232280602243E-3</v>
      </c>
    </row>
    <row r="35" spans="1:5" ht="15.75" thickTop="1" x14ac:dyDescent="0.25">
      <c r="D35" s="2"/>
    </row>
    <row r="36" spans="1:5" x14ac:dyDescent="0.25">
      <c r="A36" s="80" t="s">
        <v>65</v>
      </c>
      <c r="B36" s="80"/>
      <c r="C36" s="80"/>
      <c r="D36" s="80"/>
      <c r="E36" s="80"/>
    </row>
    <row r="37" spans="1:5" x14ac:dyDescent="0.25">
      <c r="A37" t="s">
        <v>66</v>
      </c>
      <c r="B37" s="14">
        <f>ABS(E7)*10^3/(H5*B20)</f>
        <v>1.2575205380100374E-2</v>
      </c>
    </row>
    <row r="39" spans="1:5" x14ac:dyDescent="0.25">
      <c r="A39" s="80" t="s">
        <v>67</v>
      </c>
      <c r="B39" s="80"/>
      <c r="C39" s="80"/>
      <c r="D39" s="39" t="b">
        <f>B37&lt;H6</f>
        <v>0</v>
      </c>
    </row>
    <row r="41" spans="1:5" x14ac:dyDescent="0.25">
      <c r="A41" s="80" t="s">
        <v>68</v>
      </c>
      <c r="B41" s="80"/>
      <c r="C41" s="80"/>
    </row>
    <row r="42" spans="1:5" ht="16.5" x14ac:dyDescent="0.25">
      <c r="A42" t="s">
        <v>69</v>
      </c>
      <c r="D42" s="14">
        <f>B20*B37/H6</f>
        <v>5.2083333333333337E-5</v>
      </c>
      <c r="E42" t="s">
        <v>62</v>
      </c>
    </row>
    <row r="43" spans="1:5" x14ac:dyDescent="0.25">
      <c r="A43" s="80" t="s">
        <v>70</v>
      </c>
      <c r="B43" s="80"/>
      <c r="C43" s="80"/>
      <c r="D43" s="37">
        <f>(D42*32/PI())^(1/4)</f>
        <v>0.1517660808550087</v>
      </c>
      <c r="E43" t="s">
        <v>3</v>
      </c>
    </row>
    <row r="44" spans="1:5" x14ac:dyDescent="0.25">
      <c r="A44" s="80" t="s">
        <v>71</v>
      </c>
      <c r="B44" s="80"/>
      <c r="C44" s="80"/>
      <c r="D44" s="38"/>
      <c r="E44" t="s">
        <v>3</v>
      </c>
    </row>
  </sheetData>
  <mergeCells count="23">
    <mergeCell ref="A41:C41"/>
    <mergeCell ref="A43:C43"/>
    <mergeCell ref="A19:F19"/>
    <mergeCell ref="A21:F21"/>
    <mergeCell ref="A22:A23"/>
    <mergeCell ref="A36:E36"/>
    <mergeCell ref="A39:C39"/>
    <mergeCell ref="A9:C9"/>
    <mergeCell ref="D9:F9"/>
    <mergeCell ref="A10:F10"/>
    <mergeCell ref="A12:F12"/>
    <mergeCell ref="A44:C44"/>
    <mergeCell ref="A26:D26"/>
    <mergeCell ref="A11:B11"/>
    <mergeCell ref="C11:D11"/>
    <mergeCell ref="E11:F11"/>
    <mergeCell ref="A28:D28"/>
    <mergeCell ref="A15:A16"/>
    <mergeCell ref="B15:B16"/>
    <mergeCell ref="C15:C16"/>
    <mergeCell ref="D22:D23"/>
    <mergeCell ref="A14:F14"/>
    <mergeCell ref="A17:F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2854-1165-4FE7-B539-1082DDBB1A84}">
  <dimension ref="A1:J45"/>
  <sheetViews>
    <sheetView topLeftCell="A14" workbookViewId="0">
      <selection activeCell="F31" sqref="F31:F37"/>
    </sheetView>
  </sheetViews>
  <sheetFormatPr defaultRowHeight="15" x14ac:dyDescent="0.25"/>
  <cols>
    <col min="1" max="1" width="2" bestFit="1" customWidth="1"/>
    <col min="2" max="2" width="8" customWidth="1"/>
    <col min="3" max="3" width="9" bestFit="1" customWidth="1"/>
    <col min="4" max="4" width="8.85546875" bestFit="1" customWidth="1"/>
    <col min="5" max="5" width="8.28515625" bestFit="1" customWidth="1"/>
    <col min="7" max="7" width="13" customWidth="1"/>
  </cols>
  <sheetData>
    <row r="1" spans="2:7" ht="15.75" thickBot="1" x14ac:dyDescent="0.3"/>
    <row r="2" spans="2:7" ht="16.5" thickTop="1" thickBot="1" x14ac:dyDescent="0.3">
      <c r="B2" s="11" t="s">
        <v>57</v>
      </c>
      <c r="C2" s="55">
        <v>160</v>
      </c>
      <c r="D2" s="3" t="s">
        <v>22</v>
      </c>
      <c r="F2" s="76" t="s">
        <v>118</v>
      </c>
    </row>
    <row r="3" spans="2:7" ht="16.5" thickTop="1" thickBot="1" x14ac:dyDescent="0.3">
      <c r="B3" s="24" t="s">
        <v>76</v>
      </c>
      <c r="C3" s="12">
        <v>100</v>
      </c>
      <c r="D3" s="10" t="s">
        <v>22</v>
      </c>
      <c r="F3" s="67"/>
    </row>
    <row r="4" spans="2:7" ht="16.5" thickTop="1" thickBot="1" x14ac:dyDescent="0.3">
      <c r="B4" s="12" t="s">
        <v>56</v>
      </c>
      <c r="C4" s="12">
        <f>2*10^11</f>
        <v>200000000000</v>
      </c>
      <c r="D4" s="10" t="s">
        <v>21</v>
      </c>
    </row>
    <row r="5" spans="2:7" ht="16.5" thickTop="1" thickBot="1" x14ac:dyDescent="0.3">
      <c r="B5" s="13" t="s">
        <v>77</v>
      </c>
      <c r="C5" s="27">
        <f>F3/300</f>
        <v>0</v>
      </c>
      <c r="D5" s="7" t="s">
        <v>3</v>
      </c>
    </row>
    <row r="6" spans="2:7" ht="16.5" thickTop="1" thickBot="1" x14ac:dyDescent="0.3"/>
    <row r="7" spans="2:7" ht="16.5" thickTop="1" thickBot="1" x14ac:dyDescent="0.3">
      <c r="B7" s="81" t="s">
        <v>117</v>
      </c>
      <c r="C7" s="82"/>
      <c r="D7" s="82"/>
      <c r="E7" s="82"/>
      <c r="F7" s="107"/>
      <c r="G7" s="67"/>
    </row>
    <row r="8" spans="2:7" ht="16.5" thickTop="1" thickBot="1" x14ac:dyDescent="0.3">
      <c r="B8" s="108" t="s">
        <v>116</v>
      </c>
      <c r="C8" s="85"/>
      <c r="D8" s="85"/>
      <c r="E8" s="85"/>
      <c r="F8" s="85"/>
      <c r="G8" s="67"/>
    </row>
    <row r="9" spans="2:7" ht="16.5" thickTop="1" thickBot="1" x14ac:dyDescent="0.3">
      <c r="E9" s="9"/>
    </row>
    <row r="10" spans="2:7" ht="19.5" thickTop="1" thickBot="1" x14ac:dyDescent="0.4">
      <c r="B10" s="12" t="s">
        <v>78</v>
      </c>
      <c r="C10" s="42">
        <f>ABS(G8*10^3)/(C2*10^6)</f>
        <v>0</v>
      </c>
      <c r="D10" s="10" t="s">
        <v>38</v>
      </c>
      <c r="E10" s="45">
        <f>C10*100^3</f>
        <v>0</v>
      </c>
      <c r="F10" s="10" t="s">
        <v>80</v>
      </c>
    </row>
    <row r="11" spans="2:7" ht="19.5" thickTop="1" thickBot="1" x14ac:dyDescent="0.4">
      <c r="B11" s="12" t="s">
        <v>79</v>
      </c>
      <c r="C11" s="62">
        <f>(3*C10/2)^(1/3)</f>
        <v>0</v>
      </c>
      <c r="D11" s="10" t="s">
        <v>3</v>
      </c>
      <c r="E11" s="44">
        <f>C11*1000</f>
        <v>0</v>
      </c>
      <c r="F11" s="10" t="s">
        <v>15</v>
      </c>
    </row>
    <row r="12" spans="2:7" ht="16.5" thickTop="1" thickBot="1" x14ac:dyDescent="0.3">
      <c r="B12" s="8" t="s">
        <v>81</v>
      </c>
      <c r="C12" s="67"/>
      <c r="D12" s="10" t="s">
        <v>3</v>
      </c>
      <c r="E12" s="8">
        <f>C12*1000</f>
        <v>0</v>
      </c>
      <c r="F12" s="10" t="s">
        <v>15</v>
      </c>
    </row>
    <row r="13" spans="2:7" ht="16.5" thickTop="1" thickBot="1" x14ac:dyDescent="0.3">
      <c r="B13" s="12" t="s">
        <v>82</v>
      </c>
      <c r="C13" s="40">
        <f>2*C12</f>
        <v>0</v>
      </c>
      <c r="D13" s="10" t="s">
        <v>3</v>
      </c>
      <c r="E13" s="8">
        <f>C13*1000</f>
        <v>0</v>
      </c>
      <c r="F13" s="10" t="s">
        <v>15</v>
      </c>
    </row>
    <row r="14" spans="2:7" ht="19.5" thickTop="1" thickBot="1" x14ac:dyDescent="0.4">
      <c r="B14" s="13" t="s">
        <v>83</v>
      </c>
      <c r="C14" s="40">
        <f>C13*C12</f>
        <v>0</v>
      </c>
      <c r="D14" s="7" t="s">
        <v>12</v>
      </c>
      <c r="E14" s="6">
        <f>C14*100^2</f>
        <v>0</v>
      </c>
      <c r="F14" s="10" t="s">
        <v>97</v>
      </c>
    </row>
    <row r="15" spans="2:7" ht="19.5" thickTop="1" thickBot="1" x14ac:dyDescent="0.4">
      <c r="B15" s="12" t="s">
        <v>84</v>
      </c>
      <c r="C15" s="33">
        <f>C12*C13^2/6</f>
        <v>0</v>
      </c>
      <c r="D15" s="10" t="s">
        <v>38</v>
      </c>
      <c r="E15" s="9">
        <f>C15*100^3</f>
        <v>0</v>
      </c>
      <c r="F15" s="10" t="s">
        <v>80</v>
      </c>
    </row>
    <row r="16" spans="2:7" ht="15.75" thickTop="1" x14ac:dyDescent="0.25"/>
    <row r="17" spans="1:10" ht="18" x14ac:dyDescent="0.35">
      <c r="B17" s="80" t="s">
        <v>85</v>
      </c>
      <c r="C17" s="80"/>
      <c r="D17" s="80"/>
      <c r="E17" s="80"/>
      <c r="F17" s="80"/>
      <c r="G17" s="80"/>
      <c r="H17" s="80"/>
      <c r="I17" s="80"/>
    </row>
    <row r="18" spans="1:10" ht="15.75" thickBot="1" x14ac:dyDescent="0.3"/>
    <row r="19" spans="1:10" ht="16.5" thickTop="1" thickBot="1" x14ac:dyDescent="0.3">
      <c r="B19" s="109" t="s">
        <v>86</v>
      </c>
      <c r="C19" s="111" t="s">
        <v>87</v>
      </c>
      <c r="D19" s="112"/>
      <c r="E19" s="112"/>
      <c r="F19" s="113"/>
      <c r="G19" s="109" t="s">
        <v>91</v>
      </c>
      <c r="H19" s="114" t="s">
        <v>92</v>
      </c>
      <c r="I19" s="115"/>
      <c r="J19" s="116"/>
    </row>
    <row r="20" spans="1:10" ht="19.5" thickTop="1" thickBot="1" x14ac:dyDescent="0.3">
      <c r="B20" s="110"/>
      <c r="C20" s="63" t="s">
        <v>82</v>
      </c>
      <c r="D20" s="34" t="s">
        <v>88</v>
      </c>
      <c r="E20" s="34" t="s">
        <v>89</v>
      </c>
      <c r="F20" s="64" t="s">
        <v>90</v>
      </c>
      <c r="G20" s="110"/>
      <c r="H20" s="63" t="s">
        <v>93</v>
      </c>
      <c r="I20" s="65" t="s">
        <v>94</v>
      </c>
      <c r="J20" s="66" t="s">
        <v>95</v>
      </c>
    </row>
    <row r="21" spans="1:10" ht="16.5" thickTop="1" thickBot="1" x14ac:dyDescent="0.3">
      <c r="B21" s="69"/>
      <c r="C21" s="69"/>
      <c r="D21" s="69"/>
      <c r="E21" s="69"/>
      <c r="F21" s="71"/>
      <c r="G21" s="70"/>
      <c r="H21" s="70"/>
      <c r="I21" s="70"/>
      <c r="J21" s="70"/>
    </row>
    <row r="22" spans="1:10" ht="15.75" thickTop="1" x14ac:dyDescent="0.25"/>
    <row r="23" spans="1:10" x14ac:dyDescent="0.25">
      <c r="B23" s="80" t="s">
        <v>54</v>
      </c>
      <c r="C23" s="80"/>
      <c r="D23" s="80"/>
      <c r="E23" s="80"/>
      <c r="F23" s="41" t="e">
        <f>E14/G21</f>
        <v>#DIV/0!</v>
      </c>
    </row>
    <row r="24" spans="1:10" ht="15.75" thickBot="1" x14ac:dyDescent="0.3"/>
    <row r="25" spans="1:10" ht="19.5" thickTop="1" thickBot="1" x14ac:dyDescent="0.3">
      <c r="B25" s="47" t="s">
        <v>98</v>
      </c>
      <c r="C25" s="33">
        <f>C12*C13^3/12</f>
        <v>0</v>
      </c>
      <c r="D25" s="3" t="s">
        <v>62</v>
      </c>
      <c r="E25" s="53">
        <f>C25*100^4</f>
        <v>0</v>
      </c>
      <c r="F25" s="10" t="s">
        <v>99</v>
      </c>
    </row>
    <row r="26" spans="1:10" ht="15.75" thickTop="1" x14ac:dyDescent="0.25">
      <c r="B26" s="95" t="s">
        <v>100</v>
      </c>
      <c r="C26" s="105" t="s">
        <v>101</v>
      </c>
      <c r="D26" s="88"/>
      <c r="E26" s="80" t="s">
        <v>102</v>
      </c>
      <c r="F26" s="106"/>
    </row>
    <row r="27" spans="1:10" ht="15.75" thickBot="1" x14ac:dyDescent="0.3">
      <c r="B27" s="96"/>
      <c r="C27" s="52" t="e">
        <f>ABS(G8)*10^3/C15/10^6</f>
        <v>#DIV/0!</v>
      </c>
      <c r="D27" s="40" t="s">
        <v>22</v>
      </c>
      <c r="E27" s="54" t="e">
        <f>ABS(G8)*10^3/I21</f>
        <v>#DIV/0!</v>
      </c>
      <c r="F27" s="40" t="s">
        <v>22</v>
      </c>
      <c r="G27" s="4"/>
    </row>
    <row r="28" spans="1:10" ht="15.75" thickTop="1" x14ac:dyDescent="0.25"/>
    <row r="29" spans="1:10" ht="15.75" thickBot="1" x14ac:dyDescent="0.3">
      <c r="B29" s="85" t="s">
        <v>109</v>
      </c>
      <c r="C29" s="85"/>
      <c r="E29" t="s">
        <v>110</v>
      </c>
    </row>
    <row r="30" spans="1:10" ht="18" thickTop="1" thickBot="1" x14ac:dyDescent="0.3">
      <c r="A30" s="5"/>
      <c r="B30" s="46" t="s">
        <v>103</v>
      </c>
      <c r="C30" s="24" t="s">
        <v>104</v>
      </c>
      <c r="E30" s="1" t="s">
        <v>111</v>
      </c>
      <c r="F30" s="24" t="s">
        <v>104</v>
      </c>
    </row>
    <row r="31" spans="1:10" ht="16.5" thickTop="1" thickBot="1" x14ac:dyDescent="0.3">
      <c r="A31" s="57">
        <f>-C13/2</f>
        <v>0</v>
      </c>
      <c r="B31" s="58" t="s">
        <v>105</v>
      </c>
      <c r="C31" s="55" t="e">
        <f>6*$G$7*10^3/($C$12*$C$13^3)*($C$13^2/4-A31^2)/10^6</f>
        <v>#DIV/0!</v>
      </c>
      <c r="E31" s="12">
        <v>0</v>
      </c>
      <c r="F31" s="7" t="e">
        <f>$G$7*E31/($D$21*10^-3*$H$21)</f>
        <v>#DIV/0!</v>
      </c>
    </row>
    <row r="32" spans="1:10" ht="16.5" thickTop="1" thickBot="1" x14ac:dyDescent="0.3">
      <c r="A32" s="57">
        <f>-C13/4</f>
        <v>0</v>
      </c>
      <c r="B32" s="58" t="s">
        <v>106</v>
      </c>
      <c r="C32" s="55" t="e">
        <f>6*$G$7*10^3/($C$12*$C$13^3)*($C$13^2/4-A32^2)/10^6</f>
        <v>#DIV/0!</v>
      </c>
      <c r="E32" s="27">
        <f>D21*F21*(C21-F21)/2*10^-9</f>
        <v>0</v>
      </c>
      <c r="F32" s="123" t="e">
        <f>$G$7*10^3*E32/($D$21*10^-3*$H$21*10^-8)*10^-6</f>
        <v>#DIV/0!</v>
      </c>
    </row>
    <row r="33" spans="1:6" ht="16.5" thickTop="1" thickBot="1" x14ac:dyDescent="0.3">
      <c r="A33" s="57">
        <v>0</v>
      </c>
      <c r="B33" s="59">
        <v>0</v>
      </c>
      <c r="C33" s="43" t="e">
        <f>6*$G$7*10^3/($C$12*$C$13^3)*($C$13^2/4-A33^2)/10^6</f>
        <v>#DIV/0!</v>
      </c>
      <c r="E33" s="27">
        <f>E32</f>
        <v>0</v>
      </c>
      <c r="F33" s="123" t="e">
        <f>$G$7*10^3*E33/($E$21*10^-3*$H$21*10^-8)*10^-6</f>
        <v>#DIV/0!</v>
      </c>
    </row>
    <row r="34" spans="1:6" ht="16.5" thickTop="1" thickBot="1" x14ac:dyDescent="0.3">
      <c r="A34" s="57">
        <f>C13/4</f>
        <v>0</v>
      </c>
      <c r="B34" s="58" t="s">
        <v>107</v>
      </c>
      <c r="C34" s="43" t="e">
        <f>6*$G$7*10^3/($C$12*$C$13^3)*($C$13^2/4-A34^2)/10^6</f>
        <v>#DIV/0!</v>
      </c>
      <c r="E34" s="27">
        <f>J21*100^-3</f>
        <v>0</v>
      </c>
      <c r="F34" s="123" t="e">
        <f t="shared" ref="F34:F35" si="0">$G$7*10^3*E34/($E$21*10^-3*$H$21*10^-8)*10^-6</f>
        <v>#DIV/0!</v>
      </c>
    </row>
    <row r="35" spans="1:6" ht="16.5" thickTop="1" thickBot="1" x14ac:dyDescent="0.3">
      <c r="A35" s="57">
        <f>C13/2</f>
        <v>0</v>
      </c>
      <c r="B35" s="60" t="s">
        <v>108</v>
      </c>
      <c r="C35" s="56" t="e">
        <f>6*$G$7*10^3/($C$12*$C$13^3)*($C$13^2/4-A35^2)/10^6</f>
        <v>#DIV/0!</v>
      </c>
      <c r="E35" s="27">
        <f>E33</f>
        <v>0</v>
      </c>
      <c r="F35" s="123" t="e">
        <f t="shared" si="0"/>
        <v>#DIV/0!</v>
      </c>
    </row>
    <row r="36" spans="1:6" ht="16.5" thickTop="1" thickBot="1" x14ac:dyDescent="0.3">
      <c r="E36" s="27">
        <f>E32</f>
        <v>0</v>
      </c>
      <c r="F36" s="123" t="e">
        <f t="shared" ref="F36" si="1">$G$7*10^3*E36/($D$21*10^-3*$H$21*10^-8)*10^-6</f>
        <v>#DIV/0!</v>
      </c>
    </row>
    <row r="37" spans="1:6" ht="16.5" thickTop="1" thickBot="1" x14ac:dyDescent="0.3">
      <c r="E37" s="13">
        <f>0</f>
        <v>0</v>
      </c>
      <c r="F37" s="7" t="e">
        <f>$G$7*E37/($D$21*10^-3*$H$21)</f>
        <v>#DIV/0!</v>
      </c>
    </row>
    <row r="38" spans="1:6" ht="15.75" thickTop="1" x14ac:dyDescent="0.25"/>
    <row r="39" spans="1:6" x14ac:dyDescent="0.25">
      <c r="B39" t="s">
        <v>112</v>
      </c>
    </row>
    <row r="41" spans="1:6" x14ac:dyDescent="0.25">
      <c r="B41" s="80" t="s">
        <v>113</v>
      </c>
      <c r="C41" s="80"/>
      <c r="D41" s="39" t="e">
        <f>ABS(MAX(C31:C35))&lt;C3</f>
        <v>#DIV/0!</v>
      </c>
    </row>
    <row r="42" spans="1:6" x14ac:dyDescent="0.25">
      <c r="B42" s="80" t="s">
        <v>114</v>
      </c>
      <c r="C42" s="80"/>
      <c r="D42" s="39" t="e">
        <f>ABS(MAX(F31:F37))&lt;C4</f>
        <v>#DIV/0!</v>
      </c>
    </row>
    <row r="45" spans="1:6" x14ac:dyDescent="0.25">
      <c r="B45" t="s">
        <v>115</v>
      </c>
    </row>
  </sheetData>
  <mergeCells count="14">
    <mergeCell ref="B7:F7"/>
    <mergeCell ref="B8:F8"/>
    <mergeCell ref="B17:I17"/>
    <mergeCell ref="B19:B20"/>
    <mergeCell ref="C19:F19"/>
    <mergeCell ref="G19:G20"/>
    <mergeCell ref="H19:J19"/>
    <mergeCell ref="B42:C42"/>
    <mergeCell ref="B23:E23"/>
    <mergeCell ref="B26:B27"/>
    <mergeCell ref="C26:D26"/>
    <mergeCell ref="E26:F26"/>
    <mergeCell ref="B29:C29"/>
    <mergeCell ref="B41:C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A9D4-03B3-473A-B7D3-D4E64B1D17BD}">
  <dimension ref="A1:J45"/>
  <sheetViews>
    <sheetView topLeftCell="A11" workbookViewId="0">
      <selection activeCell="G33" sqref="G33"/>
    </sheetView>
  </sheetViews>
  <sheetFormatPr defaultRowHeight="15" x14ac:dyDescent="0.25"/>
  <cols>
    <col min="1" max="1" width="2" bestFit="1" customWidth="1"/>
    <col min="2" max="2" width="8" customWidth="1"/>
    <col min="3" max="3" width="8.5703125" bestFit="1" customWidth="1"/>
    <col min="4" max="4" width="8.85546875" bestFit="1" customWidth="1"/>
    <col min="5" max="6" width="8.5703125" bestFit="1" customWidth="1"/>
    <col min="7" max="7" width="13" customWidth="1"/>
  </cols>
  <sheetData>
    <row r="1" spans="2:7" ht="15.75" thickBot="1" x14ac:dyDescent="0.3"/>
    <row r="2" spans="2:7" ht="16.5" thickTop="1" thickBot="1" x14ac:dyDescent="0.3">
      <c r="B2" s="11" t="s">
        <v>57</v>
      </c>
      <c r="C2" s="55">
        <v>160</v>
      </c>
      <c r="D2" s="3" t="s">
        <v>22</v>
      </c>
      <c r="F2" s="76" t="s">
        <v>118</v>
      </c>
    </row>
    <row r="3" spans="2:7" ht="16.5" thickTop="1" thickBot="1" x14ac:dyDescent="0.3">
      <c r="B3" s="24" t="s">
        <v>76</v>
      </c>
      <c r="C3" s="12">
        <v>100</v>
      </c>
      <c r="D3" s="10" t="s">
        <v>22</v>
      </c>
      <c r="F3" s="67">
        <v>5</v>
      </c>
    </row>
    <row r="4" spans="2:7" ht="16.5" thickTop="1" thickBot="1" x14ac:dyDescent="0.3">
      <c r="B4" s="12" t="s">
        <v>56</v>
      </c>
      <c r="C4" s="12">
        <f>2*10^11</f>
        <v>200000000000</v>
      </c>
      <c r="D4" s="10" t="s">
        <v>21</v>
      </c>
    </row>
    <row r="5" spans="2:7" ht="16.5" thickTop="1" thickBot="1" x14ac:dyDescent="0.3">
      <c r="B5" s="13" t="s">
        <v>77</v>
      </c>
      <c r="C5" s="27">
        <f>F3/300</f>
        <v>1.6666666666666666E-2</v>
      </c>
      <c r="D5" s="7" t="s">
        <v>3</v>
      </c>
    </row>
    <row r="6" spans="2:7" ht="16.5" thickTop="1" thickBot="1" x14ac:dyDescent="0.3"/>
    <row r="7" spans="2:7" ht="16.5" thickTop="1" thickBot="1" x14ac:dyDescent="0.3">
      <c r="B7" s="81" t="s">
        <v>117</v>
      </c>
      <c r="C7" s="82"/>
      <c r="D7" s="82"/>
      <c r="E7" s="82"/>
      <c r="F7" s="82"/>
      <c r="G7" s="68">
        <v>106.25</v>
      </c>
    </row>
    <row r="8" spans="2:7" ht="16.5" thickTop="1" thickBot="1" x14ac:dyDescent="0.3">
      <c r="B8" s="108" t="s">
        <v>116</v>
      </c>
      <c r="C8" s="85"/>
      <c r="D8" s="85"/>
      <c r="E8" s="85"/>
      <c r="F8" s="85"/>
      <c r="G8" s="67">
        <v>-80</v>
      </c>
    </row>
    <row r="9" spans="2:7" ht="16.5" thickTop="1" thickBot="1" x14ac:dyDescent="0.3">
      <c r="E9" s="9"/>
    </row>
    <row r="10" spans="2:7" ht="19.5" thickTop="1" thickBot="1" x14ac:dyDescent="0.4">
      <c r="B10" s="12" t="s">
        <v>78</v>
      </c>
      <c r="C10" s="42">
        <f>ABS(G8*10^3)/(C2*10^6)</f>
        <v>5.0000000000000001E-4</v>
      </c>
      <c r="D10" s="10" t="s">
        <v>38</v>
      </c>
      <c r="E10" s="45">
        <f>C10*100^3</f>
        <v>500</v>
      </c>
      <c r="F10" s="10" t="s">
        <v>80</v>
      </c>
    </row>
    <row r="11" spans="2:7" ht="19.5" thickTop="1" thickBot="1" x14ac:dyDescent="0.4">
      <c r="B11" s="12" t="s">
        <v>79</v>
      </c>
      <c r="C11" s="72">
        <f>(3*C10/2)^(1/3)</f>
        <v>9.0856029641607022E-2</v>
      </c>
      <c r="D11" s="10" t="s">
        <v>3</v>
      </c>
      <c r="E11" s="44">
        <f>C11*1000</f>
        <v>90.856029641607023</v>
      </c>
      <c r="F11" s="10" t="s">
        <v>15</v>
      </c>
    </row>
    <row r="12" spans="2:7" ht="16.5" thickTop="1" thickBot="1" x14ac:dyDescent="0.3">
      <c r="B12" s="8" t="s">
        <v>81</v>
      </c>
      <c r="C12" s="67">
        <v>9.5000000000000001E-2</v>
      </c>
      <c r="D12" s="10" t="s">
        <v>3</v>
      </c>
      <c r="E12" s="8">
        <f>C12*1000</f>
        <v>95</v>
      </c>
      <c r="F12" s="10" t="s">
        <v>15</v>
      </c>
    </row>
    <row r="13" spans="2:7" ht="16.5" thickTop="1" thickBot="1" x14ac:dyDescent="0.3">
      <c r="B13" s="12" t="s">
        <v>82</v>
      </c>
      <c r="C13" s="40">
        <f>2*C12</f>
        <v>0.19</v>
      </c>
      <c r="D13" s="10" t="s">
        <v>3</v>
      </c>
      <c r="E13" s="8">
        <f>C13*1000</f>
        <v>190</v>
      </c>
      <c r="F13" s="10" t="s">
        <v>15</v>
      </c>
    </row>
    <row r="14" spans="2:7" ht="19.5" thickTop="1" thickBot="1" x14ac:dyDescent="0.4">
      <c r="B14" s="13" t="s">
        <v>83</v>
      </c>
      <c r="C14" s="40">
        <f>C13*C12</f>
        <v>1.805E-2</v>
      </c>
      <c r="D14" s="7" t="s">
        <v>12</v>
      </c>
      <c r="E14" s="6">
        <f>C14*100^2</f>
        <v>180.5</v>
      </c>
      <c r="F14" s="10" t="s">
        <v>97</v>
      </c>
    </row>
    <row r="15" spans="2:7" ht="19.5" thickTop="1" thickBot="1" x14ac:dyDescent="0.4">
      <c r="B15" s="12" t="s">
        <v>84</v>
      </c>
      <c r="C15" s="8">
        <f>C12*C13^2/6</f>
        <v>5.7158333333333334E-4</v>
      </c>
      <c r="D15" s="10" t="s">
        <v>38</v>
      </c>
      <c r="E15" s="9">
        <f>C15*100^3</f>
        <v>571.58333333333337</v>
      </c>
      <c r="F15" s="10" t="s">
        <v>80</v>
      </c>
    </row>
    <row r="16" spans="2:7" ht="15.75" thickTop="1" x14ac:dyDescent="0.25"/>
    <row r="17" spans="1:10" ht="18" x14ac:dyDescent="0.35">
      <c r="B17" s="80" t="s">
        <v>85</v>
      </c>
      <c r="C17" s="80"/>
      <c r="D17" s="80"/>
      <c r="E17" s="80"/>
      <c r="F17" s="80"/>
      <c r="G17" s="80"/>
      <c r="H17" s="80"/>
      <c r="I17" s="80"/>
    </row>
    <row r="18" spans="1:10" ht="15.75" thickBot="1" x14ac:dyDescent="0.3"/>
    <row r="19" spans="1:10" ht="16.5" thickTop="1" thickBot="1" x14ac:dyDescent="0.3">
      <c r="B19" s="109" t="s">
        <v>86</v>
      </c>
      <c r="C19" s="111" t="s">
        <v>87</v>
      </c>
      <c r="D19" s="112"/>
      <c r="E19" s="112"/>
      <c r="F19" s="113"/>
      <c r="G19" s="109" t="s">
        <v>91</v>
      </c>
      <c r="H19" s="114" t="s">
        <v>92</v>
      </c>
      <c r="I19" s="115"/>
      <c r="J19" s="116"/>
    </row>
    <row r="20" spans="1:10" ht="19.5" thickTop="1" thickBot="1" x14ac:dyDescent="0.3">
      <c r="B20" s="110"/>
      <c r="C20" s="63" t="s">
        <v>82</v>
      </c>
      <c r="D20" s="34" t="s">
        <v>88</v>
      </c>
      <c r="E20" s="34" t="s">
        <v>89</v>
      </c>
      <c r="F20" s="64" t="s">
        <v>90</v>
      </c>
      <c r="G20" s="110"/>
      <c r="H20" s="63" t="s">
        <v>93</v>
      </c>
      <c r="I20" s="65" t="s">
        <v>94</v>
      </c>
      <c r="J20" s="66" t="s">
        <v>95</v>
      </c>
    </row>
    <row r="21" spans="1:10" ht="16.5" thickTop="1" thickBot="1" x14ac:dyDescent="0.3">
      <c r="B21" s="69" t="s">
        <v>96</v>
      </c>
      <c r="C21" s="74">
        <v>300</v>
      </c>
      <c r="D21" s="73">
        <v>145</v>
      </c>
      <c r="E21" s="122">
        <v>6.5</v>
      </c>
      <c r="F21" s="73">
        <v>10.7</v>
      </c>
      <c r="G21" s="71">
        <v>49.8</v>
      </c>
      <c r="H21" s="73">
        <v>7780</v>
      </c>
      <c r="I21" s="71">
        <v>518</v>
      </c>
      <c r="J21" s="71">
        <v>292</v>
      </c>
    </row>
    <row r="22" spans="1:10" ht="15.75" thickTop="1" x14ac:dyDescent="0.25"/>
    <row r="23" spans="1:10" x14ac:dyDescent="0.25">
      <c r="B23" s="80" t="s">
        <v>54</v>
      </c>
      <c r="C23" s="80"/>
      <c r="D23" s="80"/>
      <c r="E23" s="80"/>
      <c r="F23" s="41">
        <f>E14/G21</f>
        <v>3.6244979919678717</v>
      </c>
    </row>
    <row r="24" spans="1:10" ht="15.75" thickBot="1" x14ac:dyDescent="0.3"/>
    <row r="25" spans="1:10" ht="19.5" thickTop="1" thickBot="1" x14ac:dyDescent="0.3">
      <c r="B25" s="47" t="s">
        <v>98</v>
      </c>
      <c r="C25" s="33">
        <f>C12*C13^3/12</f>
        <v>5.4300416666666676E-5</v>
      </c>
      <c r="D25" s="3" t="s">
        <v>62</v>
      </c>
      <c r="E25" s="53">
        <f>C25*100^4</f>
        <v>5430.0416666666679</v>
      </c>
      <c r="F25" s="10" t="s">
        <v>99</v>
      </c>
    </row>
    <row r="26" spans="1:10" ht="15.75" thickTop="1" x14ac:dyDescent="0.25">
      <c r="B26" s="95" t="s">
        <v>100</v>
      </c>
      <c r="C26" s="105" t="s">
        <v>101</v>
      </c>
      <c r="D26" s="88"/>
      <c r="E26" s="80" t="s">
        <v>102</v>
      </c>
      <c r="F26" s="106"/>
    </row>
    <row r="27" spans="1:10" ht="15.75" thickBot="1" x14ac:dyDescent="0.3">
      <c r="B27" s="96"/>
      <c r="C27" s="52">
        <f>ABS(G8)*10^3/C15/10^6</f>
        <v>139.96209359965007</v>
      </c>
      <c r="D27" s="40" t="s">
        <v>22</v>
      </c>
      <c r="E27" s="54">
        <f>ABS(G8)*10^3/I21</f>
        <v>154.44015444015443</v>
      </c>
      <c r="F27" s="40" t="s">
        <v>22</v>
      </c>
      <c r="G27" s="4"/>
    </row>
    <row r="28" spans="1:10" ht="15.75" thickTop="1" x14ac:dyDescent="0.25"/>
    <row r="29" spans="1:10" ht="15.75" thickBot="1" x14ac:dyDescent="0.3">
      <c r="B29" s="85" t="s">
        <v>109</v>
      </c>
      <c r="C29" s="85"/>
      <c r="E29" t="s">
        <v>110</v>
      </c>
    </row>
    <row r="30" spans="1:10" ht="18" thickTop="1" thickBot="1" x14ac:dyDescent="0.3">
      <c r="A30" s="5"/>
      <c r="B30" s="46" t="s">
        <v>103</v>
      </c>
      <c r="C30" s="24" t="s">
        <v>104</v>
      </c>
      <c r="E30" s="1" t="s">
        <v>111</v>
      </c>
      <c r="F30" s="24" t="s">
        <v>104</v>
      </c>
    </row>
    <row r="31" spans="1:10" ht="16.5" thickTop="1" thickBot="1" x14ac:dyDescent="0.3">
      <c r="A31" s="57">
        <f>-C13/2</f>
        <v>-9.5000000000000001E-2</v>
      </c>
      <c r="B31" s="58" t="s">
        <v>105</v>
      </c>
      <c r="C31" s="55">
        <f>6*$G$7*10^3/($C$12*$C$13^3)*($C$13^2/4-A31^2)/10^6</f>
        <v>0</v>
      </c>
      <c r="E31" s="12">
        <v>0</v>
      </c>
      <c r="F31" s="7">
        <f>$G$7*E31/($D$21*10^-3*$H$21)</f>
        <v>0</v>
      </c>
    </row>
    <row r="32" spans="1:10" ht="16.5" thickTop="1" thickBot="1" x14ac:dyDescent="0.3">
      <c r="A32" s="57">
        <f>-C13/4</f>
        <v>-4.7500000000000001E-2</v>
      </c>
      <c r="B32" s="58" t="s">
        <v>106</v>
      </c>
      <c r="C32" s="55">
        <f>6*$G$7*10^3/($C$12*$C$13^3)*($C$13^2/4-A32^2)/10^6</f>
        <v>6.6222299168975063</v>
      </c>
      <c r="E32" s="27">
        <f>D21*F21*(C21-F21)/2*10^-9</f>
        <v>2.2442447500000003E-4</v>
      </c>
      <c r="F32" s="123">
        <f>$G$7*10^3*E32/($D$21*10^-3*$H$21*10^-8)*10^-6</f>
        <v>2.1137399582262217</v>
      </c>
    </row>
    <row r="33" spans="1:6" ht="16.5" thickTop="1" thickBot="1" x14ac:dyDescent="0.3">
      <c r="A33" s="57">
        <v>0</v>
      </c>
      <c r="B33" s="59">
        <v>0</v>
      </c>
      <c r="C33" s="43">
        <f>6*$G$7*10^3/($C$12*$C$13^3)*($C$13^2/4-A33^2)/10^6</f>
        <v>8.8296398891966756</v>
      </c>
      <c r="E33" s="27">
        <f>E32</f>
        <v>2.2442447500000003E-4</v>
      </c>
      <c r="F33" s="123">
        <f>$G$7*10^3*E33/($E$21*10^-3*$H$21*10^-8)*10^-6</f>
        <v>47.152660606584924</v>
      </c>
    </row>
    <row r="34" spans="1:6" ht="16.5" thickTop="1" thickBot="1" x14ac:dyDescent="0.3">
      <c r="A34" s="57">
        <f>C13/4</f>
        <v>4.7500000000000001E-2</v>
      </c>
      <c r="B34" s="58" t="s">
        <v>107</v>
      </c>
      <c r="C34" s="43">
        <f>6*$G$7*10^3/($C$12*$C$13^3)*($C$13^2/4-A34^2)/10^6</f>
        <v>6.6222299168975063</v>
      </c>
      <c r="E34" s="27">
        <f>J21*100^-3</f>
        <v>2.92E-4</v>
      </c>
      <c r="F34" s="123">
        <f t="shared" ref="F34:F35" si="0">$G$7*10^3*E34/($E$21*10^-3*$H$21*10^-8)*10^-6</f>
        <v>61.350603124382033</v>
      </c>
    </row>
    <row r="35" spans="1:6" ht="16.5" thickTop="1" thickBot="1" x14ac:dyDescent="0.3">
      <c r="A35" s="57">
        <f>C13/2</f>
        <v>9.5000000000000001E-2</v>
      </c>
      <c r="B35" s="60" t="s">
        <v>108</v>
      </c>
      <c r="C35" s="56">
        <f>6*$G$7*10^3/($C$12*$C$13^3)*($C$13^2/4-A35^2)/10^6</f>
        <v>0</v>
      </c>
      <c r="E35" s="27">
        <f>E33</f>
        <v>2.2442447500000003E-4</v>
      </c>
      <c r="F35" s="123">
        <f t="shared" si="0"/>
        <v>47.152660606584924</v>
      </c>
    </row>
    <row r="36" spans="1:6" ht="16.5" thickTop="1" thickBot="1" x14ac:dyDescent="0.3">
      <c r="E36" s="27">
        <f>E32</f>
        <v>2.2442447500000003E-4</v>
      </c>
      <c r="F36" s="123">
        <f t="shared" ref="F33:F36" si="1">$G$7*10^3*E36/($D$21*10^-3*$H$21*10^-8)*10^-6</f>
        <v>2.1137399582262217</v>
      </c>
    </row>
    <row r="37" spans="1:6" ht="16.5" thickTop="1" thickBot="1" x14ac:dyDescent="0.3">
      <c r="E37" s="13">
        <f>0</f>
        <v>0</v>
      </c>
      <c r="F37" s="7">
        <f>$G$7*E37/($D$21*10^-3*$H$21)</f>
        <v>0</v>
      </c>
    </row>
    <row r="38" spans="1:6" ht="15.75" thickTop="1" x14ac:dyDescent="0.25"/>
    <row r="39" spans="1:6" x14ac:dyDescent="0.25">
      <c r="B39" t="s">
        <v>112</v>
      </c>
    </row>
    <row r="41" spans="1:6" x14ac:dyDescent="0.25">
      <c r="B41" s="80" t="s">
        <v>113</v>
      </c>
      <c r="C41" s="80"/>
      <c r="D41" s="39" t="b">
        <f>ABS(MAX(C31:C35))&lt;C3</f>
        <v>1</v>
      </c>
    </row>
    <row r="42" spans="1:6" x14ac:dyDescent="0.25">
      <c r="B42" s="80" t="s">
        <v>114</v>
      </c>
      <c r="C42" s="80"/>
      <c r="D42" s="39" t="b">
        <f>ABS(MAX(F31:F37))&lt;C4</f>
        <v>1</v>
      </c>
    </row>
    <row r="45" spans="1:6" x14ac:dyDescent="0.25">
      <c r="B45" t="s">
        <v>115</v>
      </c>
    </row>
  </sheetData>
  <mergeCells count="14">
    <mergeCell ref="B41:C41"/>
    <mergeCell ref="B42:C42"/>
    <mergeCell ref="B8:F8"/>
    <mergeCell ref="B7:F7"/>
    <mergeCell ref="B23:E23"/>
    <mergeCell ref="B26:B27"/>
    <mergeCell ref="C26:D26"/>
    <mergeCell ref="E26:F26"/>
    <mergeCell ref="B29:C29"/>
    <mergeCell ref="B17:I17"/>
    <mergeCell ref="B19:B20"/>
    <mergeCell ref="C19:F19"/>
    <mergeCell ref="G19:G20"/>
    <mergeCell ref="H19:J1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D35F-4935-4253-A01C-393BE04EC747}">
  <dimension ref="A1:J45"/>
  <sheetViews>
    <sheetView tabSelected="1" topLeftCell="A14" workbookViewId="0">
      <selection activeCell="G35" sqref="G35"/>
    </sheetView>
  </sheetViews>
  <sheetFormatPr defaultRowHeight="15" x14ac:dyDescent="0.25"/>
  <cols>
    <col min="1" max="1" width="6.7109375" bestFit="1" customWidth="1"/>
    <col min="2" max="2" width="8" customWidth="1"/>
    <col min="3" max="3" width="8.5703125" bestFit="1" customWidth="1"/>
    <col min="4" max="4" width="8.85546875" bestFit="1" customWidth="1"/>
    <col min="5" max="5" width="8.28515625" bestFit="1" customWidth="1"/>
    <col min="6" max="6" width="9" bestFit="1" customWidth="1"/>
    <col min="7" max="7" width="13" customWidth="1"/>
  </cols>
  <sheetData>
    <row r="1" spans="2:7" ht="15.75" thickBot="1" x14ac:dyDescent="0.3"/>
    <row r="2" spans="2:7" ht="16.5" thickTop="1" thickBot="1" x14ac:dyDescent="0.3">
      <c r="B2" s="11" t="s">
        <v>57</v>
      </c>
      <c r="C2" s="55">
        <v>160</v>
      </c>
      <c r="D2" s="3" t="s">
        <v>22</v>
      </c>
      <c r="F2" s="76" t="s">
        <v>118</v>
      </c>
    </row>
    <row r="3" spans="2:7" ht="16.5" thickTop="1" thickBot="1" x14ac:dyDescent="0.3">
      <c r="B3" s="24" t="s">
        <v>76</v>
      </c>
      <c r="C3" s="12">
        <v>100</v>
      </c>
      <c r="D3" s="10" t="s">
        <v>22</v>
      </c>
      <c r="F3" s="67"/>
    </row>
    <row r="4" spans="2:7" ht="16.5" thickTop="1" thickBot="1" x14ac:dyDescent="0.3">
      <c r="B4" s="12" t="s">
        <v>56</v>
      </c>
      <c r="C4" s="12">
        <f>2*10^11</f>
        <v>200000000000</v>
      </c>
      <c r="D4" s="10" t="s">
        <v>21</v>
      </c>
    </row>
    <row r="5" spans="2:7" ht="16.5" thickTop="1" thickBot="1" x14ac:dyDescent="0.3">
      <c r="B5" s="13" t="s">
        <v>77</v>
      </c>
      <c r="C5" s="27">
        <f>F3/300</f>
        <v>0</v>
      </c>
      <c r="D5" s="7" t="s">
        <v>3</v>
      </c>
    </row>
    <row r="6" spans="2:7" ht="16.5" thickTop="1" thickBot="1" x14ac:dyDescent="0.3"/>
    <row r="7" spans="2:7" ht="16.5" thickTop="1" thickBot="1" x14ac:dyDescent="0.3">
      <c r="B7" s="81" t="s">
        <v>117</v>
      </c>
      <c r="C7" s="82"/>
      <c r="D7" s="82"/>
      <c r="E7" s="82"/>
      <c r="F7" s="83"/>
      <c r="G7" s="12">
        <v>-54.17</v>
      </c>
    </row>
    <row r="8" spans="2:7" ht="16.5" thickTop="1" thickBot="1" x14ac:dyDescent="0.3">
      <c r="B8" s="108" t="s">
        <v>116</v>
      </c>
      <c r="C8" s="85"/>
      <c r="D8" s="85"/>
      <c r="E8" s="85"/>
      <c r="F8" s="117"/>
      <c r="G8" s="12">
        <v>76.67</v>
      </c>
    </row>
    <row r="9" spans="2:7" ht="16.5" thickTop="1" thickBot="1" x14ac:dyDescent="0.3">
      <c r="E9" s="9"/>
    </row>
    <row r="10" spans="2:7" ht="19.5" thickTop="1" thickBot="1" x14ac:dyDescent="0.4">
      <c r="B10" s="12" t="s">
        <v>78</v>
      </c>
      <c r="C10" s="42">
        <f>ABS(G8*10^3)/(C2*10^6)</f>
        <v>4.7918750000000001E-4</v>
      </c>
      <c r="D10" s="10" t="s">
        <v>38</v>
      </c>
      <c r="E10" s="45">
        <f>C10*100^3</f>
        <v>479.1875</v>
      </c>
      <c r="F10" s="10" t="s">
        <v>80</v>
      </c>
    </row>
    <row r="11" spans="2:7" ht="19.5" thickTop="1" thickBot="1" x14ac:dyDescent="0.4">
      <c r="B11" s="12" t="s">
        <v>79</v>
      </c>
      <c r="C11" s="61">
        <f>(3*C10/2)^(1/3)</f>
        <v>8.9577494962334928E-2</v>
      </c>
      <c r="D11" s="10" t="s">
        <v>3</v>
      </c>
      <c r="E11" s="44">
        <f>C11*1000</f>
        <v>89.577494962334924</v>
      </c>
      <c r="F11" s="10" t="s">
        <v>15</v>
      </c>
    </row>
    <row r="12" spans="2:7" ht="16.5" thickTop="1" thickBot="1" x14ac:dyDescent="0.3">
      <c r="B12" s="12" t="s">
        <v>81</v>
      </c>
      <c r="C12" s="9">
        <v>0.09</v>
      </c>
      <c r="D12" s="10" t="s">
        <v>3</v>
      </c>
      <c r="E12" s="8">
        <v>90</v>
      </c>
      <c r="F12" s="10" t="s">
        <v>15</v>
      </c>
    </row>
    <row r="13" spans="2:7" ht="16.5" thickTop="1" thickBot="1" x14ac:dyDescent="0.3">
      <c r="B13" s="12" t="s">
        <v>82</v>
      </c>
      <c r="C13" s="9">
        <f>2*C12</f>
        <v>0.18</v>
      </c>
      <c r="D13" s="10" t="s">
        <v>3</v>
      </c>
      <c r="E13" s="8">
        <f>C13*1000</f>
        <v>180</v>
      </c>
      <c r="F13" s="10" t="s">
        <v>15</v>
      </c>
    </row>
    <row r="14" spans="2:7" ht="19.5" thickTop="1" thickBot="1" x14ac:dyDescent="0.4">
      <c r="B14" s="13" t="s">
        <v>83</v>
      </c>
      <c r="C14" s="40">
        <f>C13*C12</f>
        <v>1.6199999999999999E-2</v>
      </c>
      <c r="D14" s="7" t="s">
        <v>12</v>
      </c>
      <c r="E14" s="6">
        <f>C14*100^2</f>
        <v>162</v>
      </c>
      <c r="F14" s="10" t="s">
        <v>97</v>
      </c>
    </row>
    <row r="15" spans="2:7" ht="19.5" thickTop="1" thickBot="1" x14ac:dyDescent="0.4">
      <c r="B15" s="12" t="s">
        <v>84</v>
      </c>
      <c r="C15" s="33">
        <f>C12*C13^2/6</f>
        <v>4.8599999999999994E-4</v>
      </c>
      <c r="D15" s="10" t="s">
        <v>38</v>
      </c>
      <c r="E15" s="9">
        <f>C15*100^3</f>
        <v>485.99999999999994</v>
      </c>
      <c r="F15" s="10" t="s">
        <v>80</v>
      </c>
    </row>
    <row r="16" spans="2:7" ht="15.75" thickTop="1" x14ac:dyDescent="0.25"/>
    <row r="17" spans="1:10" ht="18" x14ac:dyDescent="0.35">
      <c r="B17" s="80" t="s">
        <v>85</v>
      </c>
      <c r="C17" s="80"/>
      <c r="D17" s="80"/>
      <c r="E17" s="80"/>
      <c r="F17" s="80"/>
      <c r="G17" s="80"/>
      <c r="H17" s="80"/>
      <c r="I17" s="80"/>
    </row>
    <row r="18" spans="1:10" ht="15.75" thickBot="1" x14ac:dyDescent="0.3"/>
    <row r="19" spans="1:10" ht="16.5" thickTop="1" thickBot="1" x14ac:dyDescent="0.3">
      <c r="B19" s="109" t="s">
        <v>86</v>
      </c>
      <c r="C19" s="111" t="s">
        <v>87</v>
      </c>
      <c r="D19" s="112"/>
      <c r="E19" s="112"/>
      <c r="F19" s="113"/>
      <c r="G19" s="109" t="s">
        <v>91</v>
      </c>
      <c r="H19" s="114" t="s">
        <v>92</v>
      </c>
      <c r="I19" s="115"/>
      <c r="J19" s="116"/>
    </row>
    <row r="20" spans="1:10" ht="19.5" thickTop="1" thickBot="1" x14ac:dyDescent="0.3">
      <c r="B20" s="118"/>
      <c r="C20" s="49" t="s">
        <v>82</v>
      </c>
      <c r="D20" s="47" t="s">
        <v>88</v>
      </c>
      <c r="E20" s="47" t="s">
        <v>89</v>
      </c>
      <c r="F20" s="50" t="s">
        <v>90</v>
      </c>
      <c r="G20" s="118"/>
      <c r="H20" s="49" t="s">
        <v>93</v>
      </c>
      <c r="I20" s="51" t="s">
        <v>94</v>
      </c>
      <c r="J20" s="35" t="s">
        <v>95</v>
      </c>
    </row>
    <row r="21" spans="1:10" ht="16.5" thickTop="1" thickBot="1" x14ac:dyDescent="0.3">
      <c r="B21" s="47" t="s">
        <v>96</v>
      </c>
      <c r="C21" s="50">
        <v>300</v>
      </c>
      <c r="D21" s="50">
        <v>145</v>
      </c>
      <c r="E21" s="50">
        <v>6.5</v>
      </c>
      <c r="F21" s="50">
        <v>10.7</v>
      </c>
      <c r="G21" s="50">
        <v>49.8</v>
      </c>
      <c r="H21" s="48">
        <v>7780</v>
      </c>
      <c r="I21" s="48">
        <v>518</v>
      </c>
      <c r="J21" s="48">
        <v>292</v>
      </c>
    </row>
    <row r="22" spans="1:10" ht="15.75" thickTop="1" x14ac:dyDescent="0.25"/>
    <row r="23" spans="1:10" x14ac:dyDescent="0.25">
      <c r="B23" s="80" t="s">
        <v>54</v>
      </c>
      <c r="C23" s="80"/>
      <c r="D23" s="80"/>
      <c r="E23" s="80"/>
      <c r="F23" s="41">
        <f>E14/G21</f>
        <v>3.2530120481927711</v>
      </c>
    </row>
    <row r="24" spans="1:10" ht="15.75" thickBot="1" x14ac:dyDescent="0.3"/>
    <row r="25" spans="1:10" ht="19.5" thickTop="1" thickBot="1" x14ac:dyDescent="0.3">
      <c r="B25" s="47" t="s">
        <v>98</v>
      </c>
      <c r="C25" s="33">
        <f>C12*C13^3/12</f>
        <v>4.3739999999999991E-5</v>
      </c>
      <c r="D25" s="3" t="s">
        <v>62</v>
      </c>
      <c r="E25" s="53">
        <f>C25*100^4</f>
        <v>4373.9999999999991</v>
      </c>
      <c r="F25" s="10" t="s">
        <v>99</v>
      </c>
    </row>
    <row r="26" spans="1:10" ht="15.75" thickTop="1" x14ac:dyDescent="0.25">
      <c r="B26" s="95" t="s">
        <v>100</v>
      </c>
      <c r="C26" s="105" t="s">
        <v>101</v>
      </c>
      <c r="D26" s="88"/>
      <c r="E26" s="80" t="s">
        <v>102</v>
      </c>
      <c r="F26" s="106"/>
    </row>
    <row r="27" spans="1:10" ht="15.75" thickBot="1" x14ac:dyDescent="0.3">
      <c r="B27" s="96"/>
      <c r="C27" s="52">
        <f>ABS(G8)*10^3/C15/10^6</f>
        <v>157.75720164609058</v>
      </c>
      <c r="D27" s="40" t="s">
        <v>22</v>
      </c>
      <c r="E27" s="54">
        <f>ABS(G8)*10^3/I21</f>
        <v>148.01158301158301</v>
      </c>
      <c r="F27" s="40" t="s">
        <v>22</v>
      </c>
      <c r="G27" s="4"/>
    </row>
    <row r="28" spans="1:10" ht="15.75" thickTop="1" x14ac:dyDescent="0.25"/>
    <row r="29" spans="1:10" ht="15.75" thickBot="1" x14ac:dyDescent="0.3">
      <c r="B29" s="85" t="s">
        <v>109</v>
      </c>
      <c r="C29" s="85"/>
      <c r="E29" t="s">
        <v>110</v>
      </c>
    </row>
    <row r="30" spans="1:10" ht="18" thickTop="1" thickBot="1" x14ac:dyDescent="0.3">
      <c r="A30" s="5"/>
      <c r="B30" s="46" t="s">
        <v>103</v>
      </c>
      <c r="C30" s="24" t="s">
        <v>104</v>
      </c>
      <c r="E30" s="1" t="s">
        <v>111</v>
      </c>
      <c r="F30" s="24" t="s">
        <v>104</v>
      </c>
    </row>
    <row r="31" spans="1:10" ht="16.5" thickTop="1" thickBot="1" x14ac:dyDescent="0.3">
      <c r="A31" s="57">
        <f>-C13/2</f>
        <v>-0.09</v>
      </c>
      <c r="B31" s="58" t="s">
        <v>105</v>
      </c>
      <c r="C31" s="55">
        <f>6*$G$7*10^3/($C$12*$C$13^3)*($C$13^2/4-A31^2)/10^6</f>
        <v>0</v>
      </c>
      <c r="E31" s="12">
        <v>0</v>
      </c>
      <c r="F31" s="7">
        <f>$G$7*E31/($D$21*10^-3*$H$21)</f>
        <v>0</v>
      </c>
    </row>
    <row r="32" spans="1:10" ht="16.5" thickTop="1" thickBot="1" x14ac:dyDescent="0.3">
      <c r="A32" s="57">
        <f>-C13/4</f>
        <v>-4.4999999999999998E-2</v>
      </c>
      <c r="B32" s="58" t="s">
        <v>106</v>
      </c>
      <c r="C32" s="55">
        <f>6*$G$7*10^3/($C$12*$C$13^3)*($C$13^2/4-A32^2)/10^6</f>
        <v>-3.7618055555555561</v>
      </c>
      <c r="E32" s="27">
        <f>D21*F21*(C21-F21)/2*10^-9</f>
        <v>2.2442447500000003E-4</v>
      </c>
      <c r="F32" s="123">
        <f>$G$7*10^3*E32/($D$21*10^-3*$H$21*10^-8)*10^-6</f>
        <v>-1.0776592332904886</v>
      </c>
    </row>
    <row r="33" spans="1:6" ht="16.5" thickTop="1" thickBot="1" x14ac:dyDescent="0.3">
      <c r="A33" s="57">
        <v>0</v>
      </c>
      <c r="B33" s="59">
        <v>0</v>
      </c>
      <c r="C33" s="43">
        <f>6*$G$7*10^3/($C$12*$C$13^3)*($C$13^2/4-A33^2)/10^6</f>
        <v>-5.0157407407407417</v>
      </c>
      <c r="E33" s="27">
        <f>E32</f>
        <v>2.2442447500000003E-4</v>
      </c>
      <c r="F33" s="123">
        <f>$G$7*10^3*E33/($E$21*10^-3*$H$21*10^-8)*10^-6</f>
        <v>-24.040090588787816</v>
      </c>
    </row>
    <row r="34" spans="1:6" ht="16.5" thickTop="1" thickBot="1" x14ac:dyDescent="0.3">
      <c r="A34" s="57">
        <f>C13/4</f>
        <v>4.4999999999999998E-2</v>
      </c>
      <c r="B34" s="58" t="s">
        <v>107</v>
      </c>
      <c r="C34" s="43">
        <f>6*$G$7*10^3/($C$12*$C$13^3)*($C$13^2/4-A34^2)/10^6</f>
        <v>-3.7618055555555561</v>
      </c>
      <c r="E34" s="27">
        <f>J21*100^-3</f>
        <v>2.92E-4</v>
      </c>
      <c r="F34" s="123">
        <f t="shared" ref="F34:F35" si="0">$G$7*10^3*E34/($E$21*10^-3*$H$21*10^-8)*10^-6</f>
        <v>-31.278702788214346</v>
      </c>
    </row>
    <row r="35" spans="1:6" ht="16.5" thickTop="1" thickBot="1" x14ac:dyDescent="0.3">
      <c r="A35" s="57">
        <f>C13/2</f>
        <v>0.09</v>
      </c>
      <c r="B35" s="60" t="s">
        <v>108</v>
      </c>
      <c r="C35" s="56">
        <f>6*$G$7*10^3/($C$12*$C$13^3)*($C$13^2/4-A35^2)/10^6</f>
        <v>0</v>
      </c>
      <c r="E35" s="27">
        <f>E33</f>
        <v>2.2442447500000003E-4</v>
      </c>
      <c r="F35" s="123">
        <f t="shared" si="0"/>
        <v>-24.040090588787816</v>
      </c>
    </row>
    <row r="36" spans="1:6" ht="16.5" thickTop="1" thickBot="1" x14ac:dyDescent="0.3">
      <c r="E36" s="27">
        <f>E32</f>
        <v>2.2442447500000003E-4</v>
      </c>
      <c r="F36" s="123">
        <f t="shared" ref="F36" si="1">$G$7*10^3*E36/($D$21*10^-3*$H$21*10^-8)*10^-6</f>
        <v>-1.0776592332904886</v>
      </c>
    </row>
    <row r="37" spans="1:6" ht="16.5" thickTop="1" thickBot="1" x14ac:dyDescent="0.3">
      <c r="E37" s="13">
        <f>0</f>
        <v>0</v>
      </c>
      <c r="F37" s="7">
        <f>$G$7*E37/($D$21*10^-3*$H$21)</f>
        <v>0</v>
      </c>
    </row>
    <row r="38" spans="1:6" ht="15.75" thickTop="1" x14ac:dyDescent="0.25"/>
    <row r="39" spans="1:6" x14ac:dyDescent="0.25">
      <c r="B39" t="s">
        <v>112</v>
      </c>
    </row>
    <row r="41" spans="1:6" x14ac:dyDescent="0.25">
      <c r="B41" s="80" t="s">
        <v>113</v>
      </c>
      <c r="C41" s="80"/>
      <c r="D41" s="39" t="b">
        <f>ABS(MAX(C31:C35))&lt;C3</f>
        <v>1</v>
      </c>
    </row>
    <row r="42" spans="1:6" x14ac:dyDescent="0.25">
      <c r="B42" s="80" t="s">
        <v>114</v>
      </c>
      <c r="C42" s="80"/>
      <c r="D42" s="39" t="b">
        <f>ABS(MAX(F31:F37))&lt;C4</f>
        <v>1</v>
      </c>
    </row>
    <row r="45" spans="1:6" x14ac:dyDescent="0.25">
      <c r="B45" t="s">
        <v>115</v>
      </c>
    </row>
  </sheetData>
  <mergeCells count="14">
    <mergeCell ref="B42:C42"/>
    <mergeCell ref="B7:F7"/>
    <mergeCell ref="B8:F8"/>
    <mergeCell ref="B17:I17"/>
    <mergeCell ref="B19:B20"/>
    <mergeCell ref="C19:F19"/>
    <mergeCell ref="G19:G20"/>
    <mergeCell ref="H19:J19"/>
    <mergeCell ref="B23:E23"/>
    <mergeCell ref="B26:B27"/>
    <mergeCell ref="C26:D26"/>
    <mergeCell ref="E26:F26"/>
    <mergeCell ref="B29:C29"/>
    <mergeCell ref="B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 Задача</vt:lpstr>
      <vt:lpstr>2 Задача</vt:lpstr>
      <vt:lpstr>3 Задача</vt:lpstr>
      <vt:lpstr>4 Задача</vt:lpstr>
      <vt:lpstr>5 Задача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2025-04-05T18:50:08Z</dcterms:created>
  <dcterms:modified xsi:type="dcterms:W3CDTF">2025-04-08T00:16:00Z</dcterms:modified>
</cp:coreProperties>
</file>