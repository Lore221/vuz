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re2\OneDrive\Рабочий стол\вуз\аналит\"/>
    </mc:Choice>
  </mc:AlternateContent>
  <xr:revisionPtr revIDLastSave="0" documentId="13_ncr:1_{235069D6-AFA0-47A5-9D20-1BE7524917AE}" xr6:coauthVersionLast="47" xr6:coauthVersionMax="47" xr10:uidLastSave="{00000000-0000-0000-0000-000000000000}"/>
  <bookViews>
    <workbookView xWindow="-120" yWindow="480" windowWidth="29040" windowHeight="15840" xr2:uid="{A991476C-11CD-41FC-9B04-CD86D154C74F}"/>
  </bookViews>
  <sheets>
    <sheet name="Я и  Даня" sheetId="1" r:id="rId1"/>
    <sheet name="Миша и Кат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Q7" i="1"/>
  <c r="Q6" i="1"/>
  <c r="Q5" i="1"/>
  <c r="Q4" i="1"/>
  <c r="Q3" i="1"/>
  <c r="J38" i="2"/>
  <c r="Q7" i="2"/>
  <c r="R7" i="2" s="1"/>
  <c r="Q6" i="2"/>
  <c r="Q8" i="2" s="1"/>
  <c r="Q5" i="2"/>
  <c r="R5" i="2" s="1"/>
  <c r="Q4" i="2"/>
  <c r="R4" i="2" s="1"/>
  <c r="Q3" i="2"/>
  <c r="R3" i="2" s="1"/>
  <c r="J34" i="2"/>
  <c r="J12" i="2"/>
  <c r="J13" i="2" s="1"/>
  <c r="J38" i="1"/>
  <c r="J36" i="1"/>
  <c r="J34" i="1"/>
  <c r="J31" i="1"/>
  <c r="P12" i="1"/>
  <c r="J22" i="1"/>
  <c r="J21" i="1"/>
  <c r="R5" i="1"/>
  <c r="R6" i="1"/>
  <c r="R7" i="1"/>
  <c r="R3" i="1"/>
  <c r="J12" i="1"/>
  <c r="K9" i="1"/>
  <c r="J9" i="1"/>
  <c r="J9" i="2"/>
  <c r="K8" i="1"/>
  <c r="L8" i="1"/>
  <c r="M8" i="1"/>
  <c r="N8" i="1"/>
  <c r="O8" i="1"/>
  <c r="P8" i="1"/>
  <c r="J8" i="1"/>
  <c r="K8" i="2"/>
  <c r="K9" i="2" s="1"/>
  <c r="J8" i="2"/>
  <c r="P6" i="1"/>
  <c r="N7" i="1"/>
  <c r="P5" i="1"/>
  <c r="M3" i="1"/>
  <c r="L7" i="1"/>
  <c r="N6" i="1"/>
  <c r="M6" i="1"/>
  <c r="L6" i="1"/>
  <c r="L5" i="1"/>
  <c r="P4" i="1"/>
  <c r="O4" i="1"/>
  <c r="N4" i="1"/>
  <c r="M4" i="1"/>
  <c r="L4" i="1"/>
  <c r="L3" i="1"/>
  <c r="L4" i="2"/>
  <c r="M4" i="2"/>
  <c r="N4" i="2"/>
  <c r="O4" i="2"/>
  <c r="P4" i="2"/>
  <c r="L5" i="2"/>
  <c r="M5" i="2"/>
  <c r="N5" i="2"/>
  <c r="O5" i="2"/>
  <c r="P5" i="2"/>
  <c r="L6" i="2"/>
  <c r="M6" i="2"/>
  <c r="N6" i="2"/>
  <c r="O6" i="2"/>
  <c r="P6" i="2"/>
  <c r="L7" i="2"/>
  <c r="M7" i="2"/>
  <c r="N7" i="2"/>
  <c r="O7" i="2"/>
  <c r="P7" i="2"/>
  <c r="M3" i="2"/>
  <c r="M8" i="2" s="1"/>
  <c r="L3" i="2"/>
  <c r="L8" i="2" s="1"/>
  <c r="E7" i="2"/>
  <c r="E6" i="2"/>
  <c r="E5" i="2"/>
  <c r="E4" i="2"/>
  <c r="G3" i="2"/>
  <c r="E3" i="2"/>
  <c r="G3" i="1"/>
  <c r="E4" i="1"/>
  <c r="E5" i="1"/>
  <c r="E6" i="1"/>
  <c r="E7" i="1"/>
  <c r="E3" i="1"/>
  <c r="R4" i="1" l="1"/>
  <c r="R8" i="1"/>
  <c r="J25" i="1" s="1"/>
  <c r="J28" i="1" s="1"/>
  <c r="J39" i="1" s="1"/>
  <c r="R6" i="2"/>
  <c r="R8" i="2" s="1"/>
  <c r="J25" i="2" s="1"/>
  <c r="J28" i="2" s="1"/>
  <c r="P12" i="2"/>
  <c r="J16" i="2"/>
  <c r="J17" i="2" s="1"/>
  <c r="J36" i="2"/>
  <c r="J13" i="1"/>
  <c r="J16" i="1" s="1"/>
  <c r="J17" i="1" s="1"/>
  <c r="J18" i="1" s="1"/>
  <c r="O6" i="1"/>
  <c r="P7" i="1"/>
  <c r="O3" i="1"/>
  <c r="O5" i="1"/>
  <c r="O7" i="1"/>
  <c r="M5" i="1"/>
  <c r="M7" i="1"/>
  <c r="N3" i="1"/>
  <c r="P3" i="1"/>
  <c r="N5" i="1"/>
  <c r="P3" i="2"/>
  <c r="P8" i="2" s="1"/>
  <c r="N3" i="2"/>
  <c r="N8" i="2" s="1"/>
  <c r="O3" i="2"/>
  <c r="O8" i="2" s="1"/>
  <c r="J21" i="2" l="1"/>
  <c r="J18" i="2"/>
  <c r="J22" i="2" s="1"/>
  <c r="J31" i="2" s="1"/>
  <c r="J39" i="2" s="1"/>
</calcChain>
</file>

<file path=xl/sharedStrings.xml><?xml version="1.0" encoding="utf-8"?>
<sst xmlns="http://schemas.openxmlformats.org/spreadsheetml/2006/main" count="88" uniqueCount="43">
  <si>
    <t>№</t>
  </si>
  <si>
    <t>количество железа</t>
  </si>
  <si>
    <t>Оптическая плотность раствора задачи</t>
  </si>
  <si>
    <t>Оптическая плотность растворов</t>
  </si>
  <si>
    <t>среднее значение</t>
  </si>
  <si>
    <t>xi</t>
  </si>
  <si>
    <t>yi</t>
  </si>
  <si>
    <t>xi^2</t>
  </si>
  <si>
    <t>yi^2</t>
  </si>
  <si>
    <t>xi*yi</t>
  </si>
  <si>
    <t>xi+yi</t>
  </si>
  <si>
    <t>(xi+yi)^2</t>
  </si>
  <si>
    <t>∑</t>
  </si>
  <si>
    <t>a</t>
  </si>
  <si>
    <t>b</t>
  </si>
  <si>
    <t>Sb^2</t>
  </si>
  <si>
    <t>Sa^2</t>
  </si>
  <si>
    <t>Δb</t>
  </si>
  <si>
    <t>Δa</t>
  </si>
  <si>
    <t>f</t>
  </si>
  <si>
    <t>P</t>
  </si>
  <si>
    <t>Дисперсии</t>
  </si>
  <si>
    <t>константы</t>
  </si>
  <si>
    <t>Стандартноек отклонение</t>
  </si>
  <si>
    <t>Sx</t>
  </si>
  <si>
    <t>Syx^2</t>
  </si>
  <si>
    <t>n</t>
  </si>
  <si>
    <t>m</t>
  </si>
  <si>
    <t>xi-x`</t>
  </si>
  <si>
    <t>x`</t>
  </si>
  <si>
    <t>y`</t>
  </si>
  <si>
    <t>(xi-x`)^2</t>
  </si>
  <si>
    <t>Доверительный интервал</t>
  </si>
  <si>
    <t>|Δx|</t>
  </si>
  <si>
    <t>Инстурментальная погрешность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</si>
  <si>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Aptos Narrow"/>
        <family val="2"/>
        <charset val="204"/>
      </rPr>
      <t>x(инст)</t>
    </r>
  </si>
  <si>
    <t>x`ан</t>
  </si>
  <si>
    <t>Ошибка приготовлегния</t>
  </si>
  <si>
    <t>Sприг</t>
  </si>
  <si>
    <t>Стандартная ошибка</t>
  </si>
  <si>
    <t>Sст</t>
  </si>
  <si>
    <t>Суммарная системная ошибка</t>
  </si>
  <si>
    <t>Δx сист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</si>
</sst>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0355425868796102E-2"/>
                  <c:y val="-2.846799555460972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'Я и  Даня'!$B$3:$B$7</c:f>
              <c:numCache>
                <c:formatCode>General</c:formatCode>
                <c:ptCount val="5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</c:v>
                </c:pt>
              </c:numCache>
            </c:numRef>
          </c:xVal>
          <c:yVal>
            <c:numRef>
              <c:f>'Я и  Даня'!$E$3:$E$7</c:f>
              <c:numCache>
                <c:formatCode>General</c:formatCode>
                <c:ptCount val="5"/>
                <c:pt idx="0">
                  <c:v>0.22</c:v>
                </c:pt>
                <c:pt idx="1">
                  <c:v>0.33</c:v>
                </c:pt>
                <c:pt idx="2">
                  <c:v>0.43</c:v>
                </c:pt>
                <c:pt idx="3">
                  <c:v>0.53</c:v>
                </c:pt>
                <c:pt idx="4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F6-4347-9E8C-DAC13C626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86240"/>
        <c:axId val="877339200"/>
      </c:scatterChart>
      <c:valAx>
        <c:axId val="877386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7339200"/>
        <c:crosses val="autoZero"/>
        <c:crossBetween val="midCat"/>
      </c:valAx>
      <c:valAx>
        <c:axId val="8773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7386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1998518714043144"/>
                  <c:y val="2.039679655427686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'Миша и Катя'!$B$3:$B$7</c:f>
              <c:numCache>
                <c:formatCode>General</c:formatCode>
                <c:ptCount val="5"/>
                <c:pt idx="0">
                  <c:v>0.06</c:v>
                </c:pt>
                <c:pt idx="1">
                  <c:v>0.12</c:v>
                </c:pt>
                <c:pt idx="2">
                  <c:v>0.18</c:v>
                </c:pt>
                <c:pt idx="3">
                  <c:v>0.24</c:v>
                </c:pt>
                <c:pt idx="4">
                  <c:v>0.3</c:v>
                </c:pt>
              </c:numCache>
            </c:numRef>
          </c:xVal>
          <c:yVal>
            <c:numRef>
              <c:f>'Миша и Катя'!$E$3:$E$7</c:f>
              <c:numCache>
                <c:formatCode>General</c:formatCode>
                <c:ptCount val="5"/>
                <c:pt idx="0">
                  <c:v>0.23</c:v>
                </c:pt>
                <c:pt idx="1">
                  <c:v>0.32500000000000001</c:v>
                </c:pt>
                <c:pt idx="2">
                  <c:v>0.46499999999999997</c:v>
                </c:pt>
                <c:pt idx="3">
                  <c:v>0.54</c:v>
                </c:pt>
                <c:pt idx="4">
                  <c:v>0.66500000000000004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C-4F0A-9E5C-BA38D208D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336320"/>
        <c:axId val="877332000"/>
      </c:scatterChart>
      <c:valAx>
        <c:axId val="87733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7332000"/>
        <c:crosses val="autoZero"/>
        <c:crossBetween val="midCat"/>
      </c:valAx>
      <c:valAx>
        <c:axId val="87733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733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590549</xdr:colOff>
      <xdr:row>9</xdr:row>
      <xdr:rowOff>9525</xdr:rowOff>
    </xdr:from>
    <xdr:to>
      <xdr:col>6</xdr:col>
      <xdr:colOff>1343024</xdr:colOff>
      <xdr:row>31</xdr:row>
      <xdr:rowOff>47625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FD6B497-FCEC-611C-DAC8-1FA84A13F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538163</xdr:colOff>
      <xdr:row>9</xdr:row>
      <xdr:rowOff>28575</xdr:rowOff>
    </xdr:from>
    <xdr:to>
      <xdr:col>7</xdr:col>
      <xdr:colOff>209551</xdr:colOff>
      <xdr:row>28</xdr:row>
      <xdr:rowOff>123825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4A847EA-B3C0-BF54-81EE-1A1BC3B94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568A-B979-4B08-AE8C-D6E8A39C3C45}">
  <dimension ref="A1:R39"/>
  <sheetViews>
    <sheetView tabSelected="1" workbookViewId="0">
      <selection activeCell="J9" sqref="J9"/>
    </sheetView>
  </sheetViews>
  <sheetFormatPr defaultRowHeight="15" x14ac:dyDescent="0.25"/>
  <cols>
    <col min="2" max="2" width="18.7109375" bestFit="1" customWidth="1"/>
    <col min="3" max="3" width="9.140625" customWidth="1"/>
    <col min="4" max="4" width="11" customWidth="1"/>
    <col min="5" max="5" width="17.85546875" bestFit="1" customWidth="1"/>
    <col min="6" max="6" width="17.85546875" customWidth="1"/>
    <col min="7" max="7" width="17.85546875" bestFit="1" customWidth="1"/>
    <col min="10" max="10" width="12" bestFit="1" customWidth="1"/>
  </cols>
  <sheetData>
    <row r="1" spans="1:18" x14ac:dyDescent="0.25">
      <c r="A1" s="5" t="s">
        <v>0</v>
      </c>
      <c r="B1" s="5" t="s">
        <v>1</v>
      </c>
      <c r="C1" s="4" t="s">
        <v>3</v>
      </c>
      <c r="D1" s="4"/>
      <c r="E1" s="4"/>
      <c r="F1" s="4" t="s">
        <v>2</v>
      </c>
      <c r="G1" s="4"/>
    </row>
    <row r="2" spans="1:18" x14ac:dyDescent="0.25">
      <c r="A2" s="5"/>
      <c r="B2" s="5"/>
      <c r="C2">
        <v>1</v>
      </c>
      <c r="D2">
        <v>2</v>
      </c>
      <c r="E2" t="s">
        <v>4</v>
      </c>
      <c r="G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28</v>
      </c>
      <c r="R2" t="s">
        <v>31</v>
      </c>
    </row>
    <row r="3" spans="1:18" x14ac:dyDescent="0.25">
      <c r="A3">
        <v>1</v>
      </c>
      <c r="B3">
        <v>0.06</v>
      </c>
      <c r="C3">
        <v>0.22</v>
      </c>
      <c r="D3">
        <v>0.22</v>
      </c>
      <c r="E3">
        <f>AVERAGE(C3:D3)</f>
        <v>0.22</v>
      </c>
      <c r="F3">
        <v>0.35</v>
      </c>
      <c r="G3" s="5">
        <f>AVERAGE(F3:F7)</f>
        <v>0.35599999999999998</v>
      </c>
      <c r="I3">
        <v>1</v>
      </c>
      <c r="J3" s="1">
        <v>0.06</v>
      </c>
      <c r="K3" s="1">
        <v>0.22</v>
      </c>
      <c r="L3" s="1">
        <f>J3^2</f>
        <v>3.5999999999999999E-3</v>
      </c>
      <c r="M3" s="1">
        <f>K3^2</f>
        <v>4.8399999999999999E-2</v>
      </c>
      <c r="N3" s="1">
        <f>J3*K3</f>
        <v>1.32E-2</v>
      </c>
      <c r="O3" s="1">
        <f>J3+K3</f>
        <v>0.28000000000000003</v>
      </c>
      <c r="P3" s="1">
        <f>(J3+K3)^2</f>
        <v>7.8400000000000011E-2</v>
      </c>
      <c r="Q3" s="1">
        <f>J3-$J$9</f>
        <v>-0.12</v>
      </c>
      <c r="R3" s="1">
        <f>Q3^2</f>
        <v>1.44E-2</v>
      </c>
    </row>
    <row r="4" spans="1:18" x14ac:dyDescent="0.25">
      <c r="A4">
        <v>2</v>
      </c>
      <c r="B4">
        <v>0.12</v>
      </c>
      <c r="C4">
        <v>0.33</v>
      </c>
      <c r="D4">
        <v>0.33</v>
      </c>
      <c r="E4">
        <f t="shared" ref="E4:E7" si="0">AVERAGE(C4:D4)</f>
        <v>0.33</v>
      </c>
      <c r="F4">
        <v>0.36</v>
      </c>
      <c r="G4" s="5"/>
      <c r="I4">
        <v>2</v>
      </c>
      <c r="J4" s="1">
        <v>0.12</v>
      </c>
      <c r="K4" s="1">
        <v>0.33</v>
      </c>
      <c r="L4" s="1">
        <f t="shared" ref="L4:M7" si="1">J4^2</f>
        <v>1.44E-2</v>
      </c>
      <c r="M4" s="1">
        <f t="shared" si="1"/>
        <v>0.10890000000000001</v>
      </c>
      <c r="N4" s="1">
        <f t="shared" ref="N4:N7" si="2">J4*K4</f>
        <v>3.9600000000000003E-2</v>
      </c>
      <c r="O4" s="1">
        <f t="shared" ref="O4:O7" si="3">J4+K4</f>
        <v>0.45</v>
      </c>
      <c r="P4" s="1">
        <f t="shared" ref="P4:P7" si="4">(J4+K4)^2</f>
        <v>0.20250000000000001</v>
      </c>
      <c r="Q4" s="1">
        <f t="shared" ref="Q4:Q8" si="5">J4-$J$9</f>
        <v>-0.06</v>
      </c>
      <c r="R4" s="1">
        <f t="shared" ref="R4:R7" si="6">Q4^2</f>
        <v>3.5999999999999999E-3</v>
      </c>
    </row>
    <row r="5" spans="1:18" x14ac:dyDescent="0.25">
      <c r="A5">
        <v>3</v>
      </c>
      <c r="B5">
        <v>0.18</v>
      </c>
      <c r="C5">
        <v>0.43</v>
      </c>
      <c r="D5">
        <v>0.43</v>
      </c>
      <c r="E5">
        <f t="shared" si="0"/>
        <v>0.43</v>
      </c>
      <c r="F5">
        <v>0.35</v>
      </c>
      <c r="G5" s="5"/>
      <c r="I5">
        <v>3</v>
      </c>
      <c r="J5" s="1">
        <v>0.18</v>
      </c>
      <c r="K5" s="1">
        <v>0.43</v>
      </c>
      <c r="L5" s="1">
        <f t="shared" si="1"/>
        <v>3.2399999999999998E-2</v>
      </c>
      <c r="M5" s="1">
        <f t="shared" si="1"/>
        <v>0.18489999999999998</v>
      </c>
      <c r="N5" s="1">
        <f t="shared" si="2"/>
        <v>7.7399999999999997E-2</v>
      </c>
      <c r="O5" s="1">
        <f t="shared" si="3"/>
        <v>0.61</v>
      </c>
      <c r="P5" s="1">
        <f t="shared" si="4"/>
        <v>0.37209999999999999</v>
      </c>
      <c r="Q5" s="1">
        <f t="shared" si="5"/>
        <v>0</v>
      </c>
      <c r="R5" s="1">
        <f t="shared" si="6"/>
        <v>0</v>
      </c>
    </row>
    <row r="6" spans="1:18" x14ac:dyDescent="0.25">
      <c r="A6">
        <v>4</v>
      </c>
      <c r="B6">
        <v>0.24</v>
      </c>
      <c r="C6">
        <v>0.54</v>
      </c>
      <c r="D6">
        <v>0.52</v>
      </c>
      <c r="E6">
        <f t="shared" si="0"/>
        <v>0.53</v>
      </c>
      <c r="F6">
        <v>0.36</v>
      </c>
      <c r="G6" s="5"/>
      <c r="I6">
        <v>4</v>
      </c>
      <c r="J6" s="1">
        <v>0.24</v>
      </c>
      <c r="K6" s="1">
        <v>0.53</v>
      </c>
      <c r="L6" s="1">
        <f t="shared" si="1"/>
        <v>5.7599999999999998E-2</v>
      </c>
      <c r="M6" s="1">
        <f t="shared" si="1"/>
        <v>0.28090000000000004</v>
      </c>
      <c r="N6" s="1">
        <f t="shared" si="2"/>
        <v>0.12720000000000001</v>
      </c>
      <c r="O6" s="1">
        <f t="shared" si="3"/>
        <v>0.77</v>
      </c>
      <c r="P6" s="1">
        <f t="shared" si="4"/>
        <v>0.59289999999999998</v>
      </c>
      <c r="Q6" s="1">
        <f t="shared" si="5"/>
        <v>0.06</v>
      </c>
      <c r="R6" s="1">
        <f t="shared" si="6"/>
        <v>3.5999999999999999E-3</v>
      </c>
    </row>
    <row r="7" spans="1:18" x14ac:dyDescent="0.25">
      <c r="A7">
        <v>5</v>
      </c>
      <c r="B7">
        <v>0.3</v>
      </c>
      <c r="C7">
        <v>0.64</v>
      </c>
      <c r="D7">
        <v>0.64</v>
      </c>
      <c r="E7">
        <f t="shared" si="0"/>
        <v>0.64</v>
      </c>
      <c r="F7">
        <v>0.36</v>
      </c>
      <c r="G7" s="5"/>
      <c r="I7">
        <v>5</v>
      </c>
      <c r="J7" s="1">
        <v>0.3</v>
      </c>
      <c r="K7" s="1">
        <v>0.64</v>
      </c>
      <c r="L7" s="1">
        <f t="shared" si="1"/>
        <v>0.09</v>
      </c>
      <c r="M7" s="1">
        <f t="shared" si="1"/>
        <v>0.40960000000000002</v>
      </c>
      <c r="N7" s="1">
        <f t="shared" si="2"/>
        <v>0.192</v>
      </c>
      <c r="O7" s="1">
        <f t="shared" si="3"/>
        <v>0.94</v>
      </c>
      <c r="P7" s="1">
        <f t="shared" si="4"/>
        <v>0.88359999999999994</v>
      </c>
      <c r="Q7" s="1">
        <f t="shared" si="5"/>
        <v>0.12</v>
      </c>
      <c r="R7" s="1">
        <f t="shared" si="6"/>
        <v>1.44E-2</v>
      </c>
    </row>
    <row r="8" spans="1:18" x14ac:dyDescent="0.25">
      <c r="I8" s="3" t="s">
        <v>12</v>
      </c>
      <c r="J8" s="1">
        <f>SUM(J3:J7)</f>
        <v>0.89999999999999991</v>
      </c>
      <c r="K8" s="1">
        <f t="shared" ref="K8:P8" si="7">SUM(K3:K7)</f>
        <v>2.15</v>
      </c>
      <c r="L8" s="1">
        <f t="shared" si="7"/>
        <v>0.19800000000000001</v>
      </c>
      <c r="M8" s="1">
        <f t="shared" si="7"/>
        <v>1.0327</v>
      </c>
      <c r="N8" s="1">
        <f t="shared" si="7"/>
        <v>0.44939999999999997</v>
      </c>
      <c r="O8" s="1">
        <f t="shared" si="7"/>
        <v>3.05</v>
      </c>
      <c r="P8" s="1">
        <f t="shared" si="7"/>
        <v>2.1295000000000002</v>
      </c>
      <c r="Q8" s="1">
        <f t="shared" si="5"/>
        <v>0.72</v>
      </c>
      <c r="R8" s="1">
        <f>SUM(R3:R7)</f>
        <v>3.5999999999999997E-2</v>
      </c>
    </row>
    <row r="9" spans="1:18" x14ac:dyDescent="0.25">
      <c r="J9">
        <f>J8/5</f>
        <v>0.18</v>
      </c>
      <c r="K9">
        <f>K8/5</f>
        <v>0.43</v>
      </c>
      <c r="P9" s="1"/>
      <c r="R9" s="1"/>
    </row>
    <row r="10" spans="1:18" x14ac:dyDescent="0.25">
      <c r="J10" t="s">
        <v>29</v>
      </c>
      <c r="K10" t="s">
        <v>30</v>
      </c>
    </row>
    <row r="11" spans="1:18" x14ac:dyDescent="0.25">
      <c r="I11" s="4" t="s">
        <v>22</v>
      </c>
      <c r="J11" s="4"/>
    </row>
    <row r="12" spans="1:18" x14ac:dyDescent="0.25">
      <c r="I12" t="s">
        <v>14</v>
      </c>
      <c r="J12">
        <f>(N8-M12*J9*K9)/(L8-M12*J9^2)</f>
        <v>1.7333333333333321</v>
      </c>
      <c r="L12" t="s">
        <v>26</v>
      </c>
      <c r="M12">
        <v>5</v>
      </c>
      <c r="O12" t="s">
        <v>36</v>
      </c>
      <c r="P12" s="2">
        <f>(G3-J13)/J12</f>
        <v>0.13730769230769227</v>
      </c>
    </row>
    <row r="13" spans="1:18" x14ac:dyDescent="0.25">
      <c r="I13" t="s">
        <v>13</v>
      </c>
      <c r="J13">
        <f>(K8-J12*J8)/M12</f>
        <v>0.11800000000000024</v>
      </c>
      <c r="L13" t="s">
        <v>27</v>
      </c>
      <c r="M13">
        <v>5</v>
      </c>
    </row>
    <row r="15" spans="1:18" x14ac:dyDescent="0.25">
      <c r="I15" s="4" t="s">
        <v>21</v>
      </c>
      <c r="J15" s="4"/>
    </row>
    <row r="16" spans="1:18" x14ac:dyDescent="0.25">
      <c r="I16" t="s">
        <v>25</v>
      </c>
      <c r="J16">
        <f>(M8-J13*K8-J12*N8)/(M12-2)</f>
        <v>1.3333333333383676E-5</v>
      </c>
    </row>
    <row r="17" spans="9:17" x14ac:dyDescent="0.25">
      <c r="I17" t="s">
        <v>15</v>
      </c>
      <c r="J17">
        <f>M12*J16/(M12*L8-J8^2)</f>
        <v>3.7037037037176843E-4</v>
      </c>
    </row>
    <row r="18" spans="9:17" x14ac:dyDescent="0.25">
      <c r="I18" t="s">
        <v>16</v>
      </c>
      <c r="J18">
        <f>J17*L8/M12</f>
        <v>1.4666666666722032E-5</v>
      </c>
    </row>
    <row r="21" spans="9:17" x14ac:dyDescent="0.25">
      <c r="I21" s="3" t="s">
        <v>17</v>
      </c>
      <c r="J21" s="2">
        <f>SQRT(J17)*O22</f>
        <v>6.1199128534215837E-2</v>
      </c>
      <c r="L21" t="s">
        <v>20</v>
      </c>
      <c r="M21">
        <v>0.75</v>
      </c>
      <c r="N21">
        <v>0.9</v>
      </c>
      <c r="O21">
        <v>0.95</v>
      </c>
      <c r="P21">
        <v>0.98</v>
      </c>
      <c r="Q21">
        <v>0.99</v>
      </c>
    </row>
    <row r="22" spans="9:17" x14ac:dyDescent="0.25">
      <c r="I22" s="3" t="s">
        <v>18</v>
      </c>
      <c r="J22" s="2">
        <f>SQRT(J18)*O22</f>
        <v>1.2178472810683608E-2</v>
      </c>
      <c r="L22" t="s">
        <v>19</v>
      </c>
      <c r="M22">
        <v>1.42</v>
      </c>
      <c r="N22">
        <v>2.35</v>
      </c>
      <c r="O22">
        <v>3.18</v>
      </c>
      <c r="P22">
        <v>4.54</v>
      </c>
      <c r="Q22">
        <v>5.84</v>
      </c>
    </row>
    <row r="24" spans="9:17" x14ac:dyDescent="0.25">
      <c r="I24" s="4" t="s">
        <v>23</v>
      </c>
      <c r="J24" s="4"/>
      <c r="K24" s="4"/>
    </row>
    <row r="25" spans="9:17" x14ac:dyDescent="0.25">
      <c r="I25" t="s">
        <v>24</v>
      </c>
      <c r="J25" s="2">
        <f>1/J12*SQRT(J16*(1/M13+1/M12+(G3-K9)^2/(J12^2*R8)))</f>
        <v>1.4141539877274394E-3</v>
      </c>
    </row>
    <row r="27" spans="9:17" x14ac:dyDescent="0.25">
      <c r="I27" s="4" t="s">
        <v>32</v>
      </c>
      <c r="J27" s="4"/>
      <c r="K27" s="4"/>
    </row>
    <row r="28" spans="9:17" x14ac:dyDescent="0.25">
      <c r="I28" t="s">
        <v>33</v>
      </c>
      <c r="J28" s="2">
        <f>J25*O22</f>
        <v>4.4970096809732575E-3</v>
      </c>
    </row>
    <row r="30" spans="9:17" x14ac:dyDescent="0.25">
      <c r="I30" s="4" t="s">
        <v>34</v>
      </c>
      <c r="J30" s="4"/>
      <c r="K30" s="4"/>
    </row>
    <row r="31" spans="9:17" x14ac:dyDescent="0.25">
      <c r="I31" s="3" t="s">
        <v>35</v>
      </c>
      <c r="J31" s="2">
        <f>1.1*(1/J12*0.005+1/J12*J22+(K9-J13)/J12^2*J21)</f>
        <v>1.7892546658573115E-2</v>
      </c>
    </row>
    <row r="33" spans="9:11" x14ac:dyDescent="0.25">
      <c r="I33" t="s">
        <v>37</v>
      </c>
    </row>
    <row r="34" spans="9:11" x14ac:dyDescent="0.25">
      <c r="I34" t="s">
        <v>38</v>
      </c>
      <c r="J34">
        <f>0.04*0.06</f>
        <v>2.3999999999999998E-3</v>
      </c>
    </row>
    <row r="35" spans="9:11" x14ac:dyDescent="0.25">
      <c r="I35" s="4" t="s">
        <v>39</v>
      </c>
      <c r="J35" s="4"/>
    </row>
    <row r="36" spans="9:11" x14ac:dyDescent="0.25">
      <c r="I36" t="s">
        <v>40</v>
      </c>
      <c r="J36">
        <f>SQRT(J34^2+(5*(10^(-3))*P12)^2)</f>
        <v>2.4962642206248112E-3</v>
      </c>
    </row>
    <row r="37" spans="9:11" x14ac:dyDescent="0.25">
      <c r="I37" s="4" t="s">
        <v>41</v>
      </c>
      <c r="J37" s="4"/>
      <c r="K37" s="4"/>
    </row>
    <row r="38" spans="9:11" x14ac:dyDescent="0.25">
      <c r="I38" t="s">
        <v>42</v>
      </c>
      <c r="J38">
        <f>0.73*SQRT(J36^2+J31^2)</f>
        <v>1.3188062918818355E-2</v>
      </c>
    </row>
    <row r="39" spans="9:11" x14ac:dyDescent="0.25">
      <c r="J39">
        <f>J38/J28</f>
        <v>2.9326294258642003</v>
      </c>
    </row>
  </sheetData>
  <mergeCells count="12">
    <mergeCell ref="I37:K37"/>
    <mergeCell ref="C1:E1"/>
    <mergeCell ref="F1:G1"/>
    <mergeCell ref="A1:A2"/>
    <mergeCell ref="B1:B2"/>
    <mergeCell ref="G3:G7"/>
    <mergeCell ref="I11:J11"/>
    <mergeCell ref="I15:J15"/>
    <mergeCell ref="I24:K24"/>
    <mergeCell ref="I27:K27"/>
    <mergeCell ref="I30:K30"/>
    <mergeCell ref="I35:J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17ED-9E1F-4474-8D6D-37436F36D042}">
  <dimension ref="A1:R39"/>
  <sheetViews>
    <sheetView workbookViewId="0">
      <selection activeCell="A3" sqref="A3"/>
    </sheetView>
  </sheetViews>
  <sheetFormatPr defaultRowHeight="15" x14ac:dyDescent="0.25"/>
  <cols>
    <col min="5" max="5" width="17.85546875" bestFit="1" customWidth="1"/>
    <col min="7" max="7" width="17.85546875" bestFit="1" customWidth="1"/>
  </cols>
  <sheetData>
    <row r="1" spans="1:18" x14ac:dyDescent="0.25">
      <c r="A1" s="5" t="s">
        <v>0</v>
      </c>
      <c r="B1" s="5" t="s">
        <v>1</v>
      </c>
      <c r="C1" s="4" t="s">
        <v>3</v>
      </c>
      <c r="D1" s="4"/>
      <c r="E1" s="4"/>
      <c r="F1" s="4" t="s">
        <v>2</v>
      </c>
      <c r="G1" s="4"/>
    </row>
    <row r="2" spans="1:18" x14ac:dyDescent="0.25">
      <c r="A2" s="5"/>
      <c r="B2" s="5"/>
      <c r="C2">
        <v>1</v>
      </c>
      <c r="D2">
        <v>2</v>
      </c>
      <c r="E2" t="s">
        <v>4</v>
      </c>
      <c r="G2" t="s">
        <v>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28</v>
      </c>
      <c r="R2" t="s">
        <v>31</v>
      </c>
    </row>
    <row r="3" spans="1:18" x14ac:dyDescent="0.25">
      <c r="A3">
        <v>1</v>
      </c>
      <c r="B3">
        <v>0.06</v>
      </c>
      <c r="C3">
        <v>0.23</v>
      </c>
      <c r="D3">
        <v>0.23</v>
      </c>
      <c r="E3">
        <f>AVERAGE(C3:D3)</f>
        <v>0.23</v>
      </c>
      <c r="F3">
        <v>0.38</v>
      </c>
      <c r="G3" s="5">
        <f>AVERAGE(F3:F7)</f>
        <v>0.38</v>
      </c>
      <c r="J3" s="1">
        <v>0.06</v>
      </c>
      <c r="K3" s="1">
        <v>0.23</v>
      </c>
      <c r="L3" s="1">
        <f>J3^2</f>
        <v>3.5999999999999999E-3</v>
      </c>
      <c r="M3" s="1">
        <f>K3^2</f>
        <v>5.2900000000000003E-2</v>
      </c>
      <c r="N3" s="1">
        <f>J3*K3</f>
        <v>1.38E-2</v>
      </c>
      <c r="O3" s="1">
        <f>J3+K3</f>
        <v>0.29000000000000004</v>
      </c>
      <c r="P3" s="1">
        <f>(J3+K3)^2</f>
        <v>8.4100000000000022E-2</v>
      </c>
      <c r="Q3" s="1">
        <f>J3--$J$9</f>
        <v>0.24</v>
      </c>
      <c r="R3" s="1">
        <f>Q3^2</f>
        <v>5.7599999999999998E-2</v>
      </c>
    </row>
    <row r="4" spans="1:18" x14ac:dyDescent="0.25">
      <c r="A4">
        <v>2</v>
      </c>
      <c r="B4">
        <v>0.12</v>
      </c>
      <c r="C4">
        <v>0.33</v>
      </c>
      <c r="D4">
        <v>0.32</v>
      </c>
      <c r="E4">
        <f t="shared" ref="E4:E7" si="0">AVERAGE(C4:D4)</f>
        <v>0.32500000000000001</v>
      </c>
      <c r="F4">
        <v>0.38</v>
      </c>
      <c r="G4" s="5"/>
      <c r="J4" s="1">
        <v>0.12</v>
      </c>
      <c r="K4" s="1">
        <v>0.32500000000000001</v>
      </c>
      <c r="L4" s="1">
        <f t="shared" ref="L4:L7" si="1">J4^2</f>
        <v>1.44E-2</v>
      </c>
      <c r="M4" s="1">
        <f t="shared" ref="M4:M7" si="2">K4^2</f>
        <v>0.10562500000000001</v>
      </c>
      <c r="N4" s="1">
        <f t="shared" ref="N4:N7" si="3">J4*K4</f>
        <v>3.9E-2</v>
      </c>
      <c r="O4" s="1">
        <f t="shared" ref="O4:O7" si="4">J4+K4</f>
        <v>0.44500000000000001</v>
      </c>
      <c r="P4" s="1">
        <f t="shared" ref="P4:P7" si="5">(J4+K4)^2</f>
        <v>0.19802500000000001</v>
      </c>
      <c r="Q4" s="1">
        <f t="shared" ref="Q4:Q7" si="6">J4--$J$9</f>
        <v>0.3</v>
      </c>
      <c r="R4" s="1">
        <f t="shared" ref="R4:R7" si="7">Q4^2</f>
        <v>0.09</v>
      </c>
    </row>
    <row r="5" spans="1:18" x14ac:dyDescent="0.25">
      <c r="A5">
        <v>3</v>
      </c>
      <c r="B5">
        <v>0.18</v>
      </c>
      <c r="C5">
        <v>0.46</v>
      </c>
      <c r="D5">
        <v>0.47</v>
      </c>
      <c r="E5">
        <f t="shared" si="0"/>
        <v>0.46499999999999997</v>
      </c>
      <c r="F5">
        <v>0.38</v>
      </c>
      <c r="G5" s="5"/>
      <c r="J5" s="1">
        <v>0.18</v>
      </c>
      <c r="K5" s="1">
        <v>0.46499999999999997</v>
      </c>
      <c r="L5" s="1">
        <f t="shared" si="1"/>
        <v>3.2399999999999998E-2</v>
      </c>
      <c r="M5" s="1">
        <f t="shared" si="2"/>
        <v>0.21622499999999997</v>
      </c>
      <c r="N5" s="1">
        <f t="shared" si="3"/>
        <v>8.3699999999999997E-2</v>
      </c>
      <c r="O5" s="1">
        <f t="shared" si="4"/>
        <v>0.64500000000000002</v>
      </c>
      <c r="P5" s="1">
        <f t="shared" si="5"/>
        <v>0.41602500000000003</v>
      </c>
      <c r="Q5" s="1">
        <f t="shared" si="6"/>
        <v>0.36</v>
      </c>
      <c r="R5" s="1">
        <f t="shared" si="7"/>
        <v>0.12959999999999999</v>
      </c>
    </row>
    <row r="6" spans="1:18" x14ac:dyDescent="0.25">
      <c r="A6">
        <v>4</v>
      </c>
      <c r="B6">
        <v>0.24</v>
      </c>
      <c r="C6">
        <v>0.54</v>
      </c>
      <c r="D6">
        <v>0.54</v>
      </c>
      <c r="E6">
        <f t="shared" si="0"/>
        <v>0.54</v>
      </c>
      <c r="F6">
        <v>0.38</v>
      </c>
      <c r="G6" s="5"/>
      <c r="J6" s="1">
        <v>0.24</v>
      </c>
      <c r="K6" s="1">
        <v>0.54</v>
      </c>
      <c r="L6" s="1">
        <f t="shared" si="1"/>
        <v>5.7599999999999998E-2</v>
      </c>
      <c r="M6" s="1">
        <f t="shared" si="2"/>
        <v>0.29160000000000003</v>
      </c>
      <c r="N6" s="1">
        <f t="shared" si="3"/>
        <v>0.12959999999999999</v>
      </c>
      <c r="O6" s="1">
        <f t="shared" si="4"/>
        <v>0.78</v>
      </c>
      <c r="P6" s="1">
        <f t="shared" si="5"/>
        <v>0.60840000000000005</v>
      </c>
      <c r="Q6" s="1">
        <f t="shared" si="6"/>
        <v>0.42</v>
      </c>
      <c r="R6" s="1">
        <f t="shared" si="7"/>
        <v>0.17639999999999997</v>
      </c>
    </row>
    <row r="7" spans="1:18" x14ac:dyDescent="0.25">
      <c r="A7">
        <v>5</v>
      </c>
      <c r="B7">
        <v>0.3</v>
      </c>
      <c r="C7">
        <v>0.66</v>
      </c>
      <c r="D7">
        <v>0.67</v>
      </c>
      <c r="E7">
        <f t="shared" si="0"/>
        <v>0.66500000000000004</v>
      </c>
      <c r="F7">
        <v>0.38</v>
      </c>
      <c r="G7" s="5"/>
      <c r="J7" s="1">
        <v>0.3</v>
      </c>
      <c r="K7" s="1">
        <v>0.66500000000000004</v>
      </c>
      <c r="L7" s="1">
        <f t="shared" si="1"/>
        <v>0.09</v>
      </c>
      <c r="M7" s="1">
        <f t="shared" si="2"/>
        <v>0.44222500000000003</v>
      </c>
      <c r="N7" s="1">
        <f t="shared" si="3"/>
        <v>0.19950000000000001</v>
      </c>
      <c r="O7" s="1">
        <f t="shared" si="4"/>
        <v>0.96500000000000008</v>
      </c>
      <c r="P7" s="1">
        <f t="shared" si="5"/>
        <v>0.93122500000000019</v>
      </c>
      <c r="Q7" s="1">
        <f t="shared" si="6"/>
        <v>0.48</v>
      </c>
      <c r="R7" s="1">
        <f t="shared" si="7"/>
        <v>0.23039999999999999</v>
      </c>
    </row>
    <row r="8" spans="1:18" x14ac:dyDescent="0.25">
      <c r="I8" s="3" t="s">
        <v>12</v>
      </c>
      <c r="J8" s="1">
        <f>SUM(J3:J7)</f>
        <v>0.89999999999999991</v>
      </c>
      <c r="K8" s="1">
        <f t="shared" ref="K8:P8" si="8">SUM(K3:K7)</f>
        <v>2.2250000000000001</v>
      </c>
      <c r="L8" s="1">
        <f t="shared" si="8"/>
        <v>0.19800000000000001</v>
      </c>
      <c r="M8" s="1">
        <f t="shared" si="8"/>
        <v>1.1085750000000001</v>
      </c>
      <c r="N8" s="1">
        <f t="shared" si="8"/>
        <v>0.46560000000000001</v>
      </c>
      <c r="O8" s="1">
        <f t="shared" si="8"/>
        <v>3.125</v>
      </c>
      <c r="P8" s="1">
        <f t="shared" si="8"/>
        <v>2.2377750000000001</v>
      </c>
      <c r="Q8" s="1">
        <f>SUM(Q3:Q7)</f>
        <v>1.8</v>
      </c>
      <c r="R8" s="1">
        <f>SUM(R3:R7)</f>
        <v>0.68399999999999994</v>
      </c>
    </row>
    <row r="9" spans="1:18" x14ac:dyDescent="0.25">
      <c r="J9">
        <f>J8/5</f>
        <v>0.18</v>
      </c>
      <c r="K9">
        <f>K8/5</f>
        <v>0.44500000000000001</v>
      </c>
    </row>
    <row r="10" spans="1:18" x14ac:dyDescent="0.25">
      <c r="J10" t="s">
        <v>29</v>
      </c>
      <c r="K10" t="s">
        <v>30</v>
      </c>
    </row>
    <row r="11" spans="1:18" x14ac:dyDescent="0.25">
      <c r="I11" s="4" t="s">
        <v>22</v>
      </c>
      <c r="J11" s="4"/>
    </row>
    <row r="12" spans="1:18" x14ac:dyDescent="0.25">
      <c r="I12" t="s">
        <v>14</v>
      </c>
      <c r="J12">
        <f>(N8-M12*J9*K9)/(L8-M12*J9^2)</f>
        <v>1.8083333333333331</v>
      </c>
      <c r="L12" t="s">
        <v>26</v>
      </c>
      <c r="M12">
        <v>5</v>
      </c>
      <c r="O12" t="s">
        <v>36</v>
      </c>
      <c r="P12" s="2">
        <f>(G3-J13)/J12</f>
        <v>0.14405529953917051</v>
      </c>
    </row>
    <row r="13" spans="1:18" x14ac:dyDescent="0.25">
      <c r="I13" t="s">
        <v>13</v>
      </c>
      <c r="J13">
        <f>(K8-J12*J8)/M12</f>
        <v>0.11950000000000008</v>
      </c>
      <c r="L13" t="s">
        <v>27</v>
      </c>
      <c r="M13">
        <v>5</v>
      </c>
    </row>
    <row r="15" spans="1:18" x14ac:dyDescent="0.25">
      <c r="I15" s="4" t="s">
        <v>21</v>
      </c>
      <c r="J15" s="4"/>
    </row>
    <row r="16" spans="1:18" x14ac:dyDescent="0.25">
      <c r="I16" t="s">
        <v>25</v>
      </c>
      <c r="J16">
        <f>(M8-J13*K8-J12*N8)/(M12-2)</f>
        <v>2.4249999999999736E-4</v>
      </c>
    </row>
    <row r="17" spans="9:17" x14ac:dyDescent="0.25">
      <c r="I17" t="s">
        <v>15</v>
      </c>
      <c r="J17">
        <f>M12*J16/(M12*L8-J8^2)</f>
        <v>6.7361111111110322E-3</v>
      </c>
    </row>
    <row r="18" spans="9:17" x14ac:dyDescent="0.25">
      <c r="I18" t="s">
        <v>16</v>
      </c>
      <c r="J18">
        <f>J17*L8/M12</f>
        <v>2.6674999999999692E-4</v>
      </c>
    </row>
    <row r="21" spans="9:17" x14ac:dyDescent="0.25">
      <c r="I21" s="3" t="s">
        <v>17</v>
      </c>
      <c r="J21" s="2">
        <f>SQRT(J17)*O22</f>
        <v>0.2609947317475953</v>
      </c>
      <c r="L21" t="s">
        <v>20</v>
      </c>
      <c r="M21">
        <v>0.75</v>
      </c>
      <c r="N21">
        <v>0.9</v>
      </c>
      <c r="O21">
        <v>0.95</v>
      </c>
      <c r="P21">
        <v>0.98</v>
      </c>
      <c r="Q21">
        <v>0.99</v>
      </c>
    </row>
    <row r="22" spans="9:17" x14ac:dyDescent="0.25">
      <c r="I22" s="3" t="s">
        <v>18</v>
      </c>
      <c r="J22" s="2">
        <f>SQRT(J18)*O22</f>
        <v>5.1937295847973922E-2</v>
      </c>
      <c r="L22" t="s">
        <v>19</v>
      </c>
      <c r="M22">
        <v>1.42</v>
      </c>
      <c r="N22">
        <v>2.35</v>
      </c>
      <c r="O22">
        <v>3.18</v>
      </c>
      <c r="P22">
        <v>4.54</v>
      </c>
      <c r="Q22">
        <v>5.84</v>
      </c>
    </row>
    <row r="24" spans="9:17" x14ac:dyDescent="0.25">
      <c r="I24" s="4" t="s">
        <v>23</v>
      </c>
      <c r="J24" s="4"/>
      <c r="K24" s="4"/>
    </row>
    <row r="25" spans="9:17" x14ac:dyDescent="0.25">
      <c r="I25" t="s">
        <v>24</v>
      </c>
      <c r="J25" s="2">
        <f>1/J12*SQRT(J16*(1/M13+1/M12+(G3-K9)^2/(J12^2*R8)))</f>
        <v>5.459217537502609E-3</v>
      </c>
    </row>
    <row r="27" spans="9:17" x14ac:dyDescent="0.25">
      <c r="I27" s="4" t="s">
        <v>32</v>
      </c>
      <c r="J27" s="4"/>
      <c r="K27" s="4"/>
    </row>
    <row r="28" spans="9:17" x14ac:dyDescent="0.25">
      <c r="I28" t="s">
        <v>33</v>
      </c>
      <c r="J28" s="2">
        <f>J25*O22</f>
        <v>1.7360311769258296E-2</v>
      </c>
    </row>
    <row r="30" spans="9:17" x14ac:dyDescent="0.25">
      <c r="I30" s="4" t="s">
        <v>34</v>
      </c>
      <c r="J30" s="4"/>
      <c r="K30" s="4"/>
    </row>
    <row r="31" spans="9:17" x14ac:dyDescent="0.25">
      <c r="I31" s="3" t="s">
        <v>35</v>
      </c>
      <c r="J31" s="2">
        <f>1.1*(1/J12*0.005+1/J12*J22+(K9-J13)/J12^2*J21)</f>
        <v>6.3211787457398264E-2</v>
      </c>
    </row>
    <row r="33" spans="9:11" x14ac:dyDescent="0.25">
      <c r="I33" t="s">
        <v>37</v>
      </c>
    </row>
    <row r="34" spans="9:11" x14ac:dyDescent="0.25">
      <c r="I34" t="s">
        <v>38</v>
      </c>
      <c r="J34">
        <f>0.04*0.06</f>
        <v>2.3999999999999998E-3</v>
      </c>
    </row>
    <row r="35" spans="9:11" x14ac:dyDescent="0.25">
      <c r="I35" s="4" t="s">
        <v>39</v>
      </c>
      <c r="J35" s="4"/>
    </row>
    <row r="36" spans="9:11" x14ac:dyDescent="0.25">
      <c r="I36" t="s">
        <v>40</v>
      </c>
      <c r="J36">
        <f>SQRT(J34^2+(5*(10^(-3))*P12)^2)</f>
        <v>2.5057530271622944E-3</v>
      </c>
    </row>
    <row r="37" spans="9:11" x14ac:dyDescent="0.25">
      <c r="I37" s="4" t="s">
        <v>41</v>
      </c>
      <c r="J37" s="4"/>
      <c r="K37" s="4"/>
    </row>
    <row r="38" spans="9:11" x14ac:dyDescent="0.25">
      <c r="I38" t="s">
        <v>42</v>
      </c>
      <c r="J38">
        <f>0.73*SQRT(J36^2+J31^2)</f>
        <v>4.6180845897170225E-2</v>
      </c>
    </row>
    <row r="39" spans="9:11" x14ac:dyDescent="0.25">
      <c r="J39">
        <f>J38/J28</f>
        <v>2.6601392020474792</v>
      </c>
    </row>
  </sheetData>
  <mergeCells count="12">
    <mergeCell ref="A1:A2"/>
    <mergeCell ref="B1:B2"/>
    <mergeCell ref="C1:E1"/>
    <mergeCell ref="F1:G1"/>
    <mergeCell ref="G3:G7"/>
    <mergeCell ref="I35:J35"/>
    <mergeCell ref="I37:K37"/>
    <mergeCell ref="I11:J11"/>
    <mergeCell ref="I15:J15"/>
    <mergeCell ref="I24:K24"/>
    <mergeCell ref="I27:K27"/>
    <mergeCell ref="I30:K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Я и  Даня</vt:lpstr>
      <vt:lpstr>Миша и Катя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Леготин Андрей Александрович</dc:creator>
  <cp:lastModifiedBy>Леготин Андрей Александрович</cp:lastModifiedBy>
  <dcterms:created xsi:type="dcterms:W3CDTF">2025-03-16T22:25:49Z</dcterms:created>
  <dcterms:modified xsi:type="dcterms:W3CDTF">2025-05-17T20:08:31Z</dcterms:modified>
</cp:coreProperties>
</file>