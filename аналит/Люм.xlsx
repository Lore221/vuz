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аналит\"/>
    </mc:Choice>
  </mc:AlternateContent>
  <xr:revisionPtr revIDLastSave="0" documentId="13_ncr:1_{2C84DA14-01DE-4746-A382-48E203F9CAC8}" xr6:coauthVersionLast="47" xr6:coauthVersionMax="47" xr10:uidLastSave="{00000000-0000-0000-0000-000000000000}"/>
  <bookViews>
    <workbookView xWindow="-120" yWindow="480" windowWidth="29040" windowHeight="15840" xr2:uid="{EFB19499-6D84-42CC-83B2-7BE46C8C6C1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S8" i="1"/>
  <c r="S7" i="1"/>
  <c r="S6" i="1"/>
  <c r="S5" i="1"/>
  <c r="C8" i="1"/>
  <c r="M5" i="1"/>
  <c r="M6" i="1"/>
  <c r="O6" i="1" s="1"/>
  <c r="S4" i="1"/>
  <c r="M9" i="1"/>
  <c r="Q9" i="1" s="1"/>
  <c r="R9" i="1" s="1"/>
  <c r="M8" i="1"/>
  <c r="P8" i="1" s="1"/>
  <c r="M7" i="1"/>
  <c r="P7" i="1"/>
  <c r="M4" i="1"/>
  <c r="L10" i="1"/>
  <c r="L11" i="1" s="1"/>
  <c r="P9" i="1"/>
  <c r="O9" i="1"/>
  <c r="N9" i="1"/>
  <c r="O8" i="1"/>
  <c r="N8" i="1"/>
  <c r="Q8" i="1"/>
  <c r="R8" i="1" s="1"/>
  <c r="N7" i="1"/>
  <c r="N6" i="1"/>
  <c r="N5" i="1"/>
  <c r="P4" i="1"/>
  <c r="O4" i="1"/>
  <c r="N4" i="1"/>
  <c r="Q4" i="1"/>
  <c r="I6" i="1"/>
  <c r="D8" i="1"/>
  <c r="E8" i="1"/>
  <c r="F8" i="1"/>
  <c r="G8" i="1"/>
  <c r="B8" i="1"/>
  <c r="O5" i="1" l="1"/>
  <c r="O10" i="1" s="1"/>
  <c r="P5" i="1"/>
  <c r="P10" i="1" s="1"/>
  <c r="Q5" i="1"/>
  <c r="R5" i="1" s="1"/>
  <c r="P6" i="1"/>
  <c r="Q6" i="1"/>
  <c r="R6" i="1" s="1"/>
  <c r="O7" i="1"/>
  <c r="Q7" i="1"/>
  <c r="R7" i="1" s="1"/>
  <c r="T6" i="1"/>
  <c r="T8" i="1"/>
  <c r="N10" i="1"/>
  <c r="T5" i="1"/>
  <c r="T7" i="1"/>
  <c r="T9" i="1"/>
  <c r="R4" i="1"/>
  <c r="M10" i="1"/>
  <c r="Q10" i="1" l="1"/>
  <c r="R10" i="1"/>
  <c r="S10" i="1"/>
  <c r="T4" i="1"/>
  <c r="T10" i="1" s="1"/>
  <c r="M11" i="1"/>
  <c r="L14" i="1" s="1"/>
  <c r="L15" i="1" l="1"/>
  <c r="L18" i="1" s="1"/>
  <c r="R14" i="1" l="1"/>
  <c r="L19" i="1"/>
  <c r="L20" i="1" s="1"/>
  <c r="L27" i="1"/>
  <c r="L30" i="1" s="1"/>
  <c r="L32" i="1" s="1"/>
  <c r="L23" i="1" l="1"/>
  <c r="L24" i="1"/>
</calcChain>
</file>

<file path=xl/sharedStrings.xml><?xml version="1.0" encoding="utf-8"?>
<sst xmlns="http://schemas.openxmlformats.org/spreadsheetml/2006/main" count="34" uniqueCount="34">
  <si>
    <t>№</t>
  </si>
  <si>
    <t>Объём стандартного раствора, содержащего Al, мл</t>
  </si>
  <si>
    <t>Задача</t>
  </si>
  <si>
    <t>xi</t>
  </si>
  <si>
    <t>yi</t>
  </si>
  <si>
    <t>xi^2</t>
  </si>
  <si>
    <t>yi^2</t>
  </si>
  <si>
    <t>xi*yi</t>
  </si>
  <si>
    <t>xi+yi</t>
  </si>
  <si>
    <t>(xi+yi)^2</t>
  </si>
  <si>
    <t>xi-x`</t>
  </si>
  <si>
    <t>(xi-x`)^2</t>
  </si>
  <si>
    <t>∑</t>
  </si>
  <si>
    <t>x`</t>
  </si>
  <si>
    <t>y`</t>
  </si>
  <si>
    <t>константы</t>
  </si>
  <si>
    <t>b</t>
  </si>
  <si>
    <t>n</t>
  </si>
  <si>
    <t>x`ан</t>
  </si>
  <si>
    <t>a</t>
  </si>
  <si>
    <t>m</t>
  </si>
  <si>
    <t>Дисперсии</t>
  </si>
  <si>
    <t>Syx^2</t>
  </si>
  <si>
    <t>Sb^2</t>
  </si>
  <si>
    <t>Sa^2</t>
  </si>
  <si>
    <t>Δb</t>
  </si>
  <si>
    <t>P</t>
  </si>
  <si>
    <t>Δa</t>
  </si>
  <si>
    <t>f</t>
  </si>
  <si>
    <t>Стандартноек отклонение</t>
  </si>
  <si>
    <t>Sx</t>
  </si>
  <si>
    <t>Доверительный интервал</t>
  </si>
  <si>
    <t>|Δx|</t>
  </si>
  <si>
    <t>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</si>
</sst>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Лист1!$B$2:$G$2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xVal>
          <c:yVal>
            <c:numRef>
              <c:f>Лист1!$B$8:$G$8</c:f>
              <c:numCache>
                <c:formatCode>General</c:formatCode>
                <c:ptCount val="6"/>
                <c:pt idx="0">
                  <c:v>89.66</c:v>
                </c:pt>
                <c:pt idx="1">
                  <c:v>59.660000000000004</c:v>
                </c:pt>
                <c:pt idx="2">
                  <c:v>60.64</c:v>
                </c:pt>
                <c:pt idx="3">
                  <c:v>43.1</c:v>
                </c:pt>
                <c:pt idx="4">
                  <c:v>30.7</c:v>
                </c:pt>
                <c:pt idx="5">
                  <c:v>11.38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A9-4B1B-892D-38A3B17B1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640480"/>
        <c:axId val="1683439216"/>
      </c:scatterChart>
      <c:valAx>
        <c:axId val="184364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3439216"/>
        <c:crosses val="autoZero"/>
        <c:crossBetween val="midCat"/>
      </c:valAx>
      <c:valAx>
        <c:axId val="168343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3640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11</xdr:row>
      <xdr:rowOff>19050</xdr:rowOff>
    </xdr:from>
    <xdr:to>
      <xdr:col>8</xdr:col>
      <xdr:colOff>123824</xdr:colOff>
      <xdr:row>25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AC0FF24-60BE-8544-F736-4F4308850D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18258-D8CB-406B-93A4-601133DC282C}">
  <dimension ref="A1:T32"/>
  <sheetViews>
    <sheetView tabSelected="1" workbookViewId="0">
      <selection activeCell="S15" sqref="S15"/>
    </sheetView>
  </sheetViews>
  <sheetFormatPr defaultRowHeight="15" x14ac:dyDescent="0.25"/>
  <cols>
    <col min="8" max="8" width="7.85546875" bestFit="1" customWidth="1"/>
    <col min="15" max="15" width="9.5703125" bestFit="1" customWidth="1"/>
    <col min="18" max="18" width="9.5703125" bestFit="1" customWidth="1"/>
  </cols>
  <sheetData>
    <row r="1" spans="1:20" x14ac:dyDescent="0.25">
      <c r="A1" s="5" t="s">
        <v>0</v>
      </c>
      <c r="B1" s="5" t="s">
        <v>1</v>
      </c>
      <c r="C1" s="5"/>
      <c r="D1" s="5"/>
      <c r="E1" s="5"/>
      <c r="F1" s="5"/>
      <c r="G1" s="5"/>
      <c r="I1" s="5" t="s">
        <v>2</v>
      </c>
    </row>
    <row r="2" spans="1:20" x14ac:dyDescent="0.25">
      <c r="A2" s="5"/>
      <c r="B2">
        <v>5</v>
      </c>
      <c r="C2">
        <v>4</v>
      </c>
      <c r="D2">
        <v>3</v>
      </c>
      <c r="E2">
        <v>2</v>
      </c>
      <c r="F2">
        <v>1</v>
      </c>
      <c r="G2">
        <v>0</v>
      </c>
      <c r="I2" s="5"/>
    </row>
    <row r="3" spans="1:20" x14ac:dyDescent="0.25">
      <c r="A3">
        <v>1</v>
      </c>
      <c r="B3">
        <v>89.1</v>
      </c>
      <c r="C3">
        <v>59.5</v>
      </c>
      <c r="D3">
        <v>61.1</v>
      </c>
      <c r="E3">
        <v>43.5</v>
      </c>
      <c r="F3">
        <v>28.3</v>
      </c>
      <c r="G3">
        <v>10.9</v>
      </c>
      <c r="I3">
        <v>53.09</v>
      </c>
      <c r="L3" t="s">
        <v>3</v>
      </c>
      <c r="M3" t="s">
        <v>4</v>
      </c>
      <c r="N3" t="s">
        <v>5</v>
      </c>
      <c r="O3" t="s">
        <v>6</v>
      </c>
      <c r="P3" t="s">
        <v>7</v>
      </c>
      <c r="Q3" t="s">
        <v>8</v>
      </c>
      <c r="R3" t="s">
        <v>9</v>
      </c>
      <c r="S3" t="s">
        <v>10</v>
      </c>
      <c r="T3" t="s">
        <v>11</v>
      </c>
    </row>
    <row r="4" spans="1:20" x14ac:dyDescent="0.25">
      <c r="A4">
        <v>2</v>
      </c>
      <c r="B4">
        <v>89.4</v>
      </c>
      <c r="C4">
        <v>59.9</v>
      </c>
      <c r="D4">
        <v>60.9</v>
      </c>
      <c r="E4">
        <v>42.8</v>
      </c>
      <c r="F4">
        <v>31.8</v>
      </c>
      <c r="G4">
        <v>11.5</v>
      </c>
      <c r="I4">
        <v>54.05</v>
      </c>
      <c r="K4">
        <v>1</v>
      </c>
      <c r="L4" s="3">
        <v>5</v>
      </c>
      <c r="M4" s="3">
        <f>B8</f>
        <v>89.66</v>
      </c>
      <c r="N4" s="3">
        <f>L4^2</f>
        <v>25</v>
      </c>
      <c r="O4" s="3">
        <f>M4^2</f>
        <v>8038.9155999999994</v>
      </c>
      <c r="P4" s="3">
        <f>L4*M4</f>
        <v>448.29999999999995</v>
      </c>
      <c r="Q4" s="3">
        <f>L4+M4</f>
        <v>94.66</v>
      </c>
      <c r="R4" s="3">
        <f>Q4^2</f>
        <v>8960.5155999999988</v>
      </c>
      <c r="S4" s="3">
        <f>L4-$L$11</f>
        <v>2.5</v>
      </c>
      <c r="T4" s="3">
        <f>S4^2</f>
        <v>6.25</v>
      </c>
    </row>
    <row r="5" spans="1:20" x14ac:dyDescent="0.25">
      <c r="A5">
        <v>3</v>
      </c>
      <c r="B5">
        <v>89.5</v>
      </c>
      <c r="C5">
        <v>60.3</v>
      </c>
      <c r="D5">
        <v>60.2</v>
      </c>
      <c r="E5">
        <v>43</v>
      </c>
      <c r="F5">
        <v>31.8</v>
      </c>
      <c r="G5">
        <v>11.3</v>
      </c>
      <c r="I5">
        <v>53.2</v>
      </c>
      <c r="K5">
        <v>2</v>
      </c>
      <c r="L5" s="3">
        <v>4</v>
      </c>
      <c r="M5" s="3">
        <f>C8</f>
        <v>59.660000000000004</v>
      </c>
      <c r="N5" s="3">
        <f t="shared" ref="N5:O9" si="0">L5^2</f>
        <v>16</v>
      </c>
      <c r="O5" s="3">
        <f t="shared" si="0"/>
        <v>3559.3156000000004</v>
      </c>
      <c r="P5" s="3">
        <f t="shared" ref="P5:P9" si="1">L5*M5</f>
        <v>238.64000000000001</v>
      </c>
      <c r="Q5" s="3">
        <f t="shared" ref="Q5:Q9" si="2">L5+M5</f>
        <v>63.660000000000004</v>
      </c>
      <c r="R5" s="3">
        <f t="shared" ref="R5:R9" si="3">Q5^2</f>
        <v>4052.5956000000006</v>
      </c>
      <c r="S5" s="3">
        <f t="shared" ref="S5:S9" si="4">L5-$L$11</f>
        <v>1.5</v>
      </c>
      <c r="T5" s="3">
        <f t="shared" ref="T5:T9" si="5">S5^2</f>
        <v>2.25</v>
      </c>
    </row>
    <row r="6" spans="1:20" x14ac:dyDescent="0.25">
      <c r="A6">
        <v>4</v>
      </c>
      <c r="B6">
        <v>90</v>
      </c>
      <c r="C6">
        <v>59.5</v>
      </c>
      <c r="D6">
        <v>60.3</v>
      </c>
      <c r="E6">
        <v>43.2</v>
      </c>
      <c r="F6">
        <v>30.1</v>
      </c>
      <c r="G6">
        <v>11.4</v>
      </c>
      <c r="I6" s="3">
        <f>AVERAGE(I3:I5)</f>
        <v>53.446666666666665</v>
      </c>
      <c r="K6">
        <v>3</v>
      </c>
      <c r="L6" s="3">
        <v>3</v>
      </c>
      <c r="M6" s="3">
        <f>D8</f>
        <v>60.64</v>
      </c>
      <c r="N6" s="3">
        <f t="shared" si="0"/>
        <v>9</v>
      </c>
      <c r="O6" s="3">
        <f t="shared" si="0"/>
        <v>3677.2096000000001</v>
      </c>
      <c r="P6" s="3">
        <f t="shared" si="1"/>
        <v>181.92000000000002</v>
      </c>
      <c r="Q6" s="3">
        <f t="shared" si="2"/>
        <v>63.64</v>
      </c>
      <c r="R6" s="3">
        <f t="shared" si="3"/>
        <v>4050.0496000000003</v>
      </c>
      <c r="S6" s="3">
        <f t="shared" si="4"/>
        <v>0.5</v>
      </c>
      <c r="T6" s="3">
        <f t="shared" si="5"/>
        <v>0.25</v>
      </c>
    </row>
    <row r="7" spans="1:20" x14ac:dyDescent="0.25">
      <c r="A7">
        <v>5</v>
      </c>
      <c r="B7">
        <v>90.3</v>
      </c>
      <c r="C7">
        <v>59.1</v>
      </c>
      <c r="D7">
        <v>60.7</v>
      </c>
      <c r="E7">
        <v>43</v>
      </c>
      <c r="F7">
        <v>31.5</v>
      </c>
      <c r="G7">
        <v>11.8</v>
      </c>
      <c r="K7">
        <v>4</v>
      </c>
      <c r="L7" s="3">
        <v>2</v>
      </c>
      <c r="M7" s="3">
        <f>E8</f>
        <v>43.1</v>
      </c>
      <c r="N7" s="3">
        <f t="shared" si="0"/>
        <v>4</v>
      </c>
      <c r="O7" s="3">
        <f t="shared" si="0"/>
        <v>1857.6100000000001</v>
      </c>
      <c r="P7" s="3">
        <f t="shared" si="1"/>
        <v>86.2</v>
      </c>
      <c r="Q7" s="3">
        <f t="shared" si="2"/>
        <v>45.1</v>
      </c>
      <c r="R7" s="3">
        <f t="shared" si="3"/>
        <v>2034.0100000000002</v>
      </c>
      <c r="S7" s="3">
        <f t="shared" si="4"/>
        <v>-0.5</v>
      </c>
      <c r="T7" s="3">
        <f t="shared" si="5"/>
        <v>0.25</v>
      </c>
    </row>
    <row r="8" spans="1:20" x14ac:dyDescent="0.25">
      <c r="B8">
        <f>AVERAGE(B3:B7)</f>
        <v>89.66</v>
      </c>
      <c r="C8">
        <f t="shared" ref="C8:G8" si="6">AVERAGE(C3:C7)</f>
        <v>59.660000000000004</v>
      </c>
      <c r="D8">
        <f t="shared" si="6"/>
        <v>60.64</v>
      </c>
      <c r="E8">
        <f t="shared" si="6"/>
        <v>43.1</v>
      </c>
      <c r="F8">
        <f t="shared" si="6"/>
        <v>30.7</v>
      </c>
      <c r="G8">
        <f t="shared" si="6"/>
        <v>11.38</v>
      </c>
      <c r="K8">
        <v>5</v>
      </c>
      <c r="L8" s="3">
        <v>1</v>
      </c>
      <c r="M8" s="3">
        <f>F8</f>
        <v>30.7</v>
      </c>
      <c r="N8" s="3">
        <f t="shared" si="0"/>
        <v>1</v>
      </c>
      <c r="O8" s="3">
        <f t="shared" si="0"/>
        <v>942.49</v>
      </c>
      <c r="P8" s="3">
        <f t="shared" si="1"/>
        <v>30.7</v>
      </c>
      <c r="Q8" s="3">
        <f t="shared" si="2"/>
        <v>31.7</v>
      </c>
      <c r="R8" s="3">
        <f t="shared" si="3"/>
        <v>1004.89</v>
      </c>
      <c r="S8" s="3">
        <f t="shared" si="4"/>
        <v>-1.5</v>
      </c>
      <c r="T8" s="3">
        <f t="shared" si="5"/>
        <v>2.25</v>
      </c>
    </row>
    <row r="9" spans="1:20" x14ac:dyDescent="0.25">
      <c r="K9">
        <v>6</v>
      </c>
      <c r="L9" s="3">
        <v>0</v>
      </c>
      <c r="M9" s="3">
        <f>G8</f>
        <v>11.38</v>
      </c>
      <c r="N9" s="3">
        <f t="shared" si="0"/>
        <v>0</v>
      </c>
      <c r="O9" s="3">
        <f t="shared" si="0"/>
        <v>129.5044</v>
      </c>
      <c r="P9" s="3">
        <f t="shared" si="1"/>
        <v>0</v>
      </c>
      <c r="Q9" s="3">
        <f t="shared" si="2"/>
        <v>11.38</v>
      </c>
      <c r="R9" s="3">
        <f t="shared" si="3"/>
        <v>129.5044</v>
      </c>
      <c r="S9" s="3">
        <f t="shared" si="4"/>
        <v>-2.5</v>
      </c>
      <c r="T9" s="3">
        <f t="shared" si="5"/>
        <v>6.25</v>
      </c>
    </row>
    <row r="10" spans="1:20" x14ac:dyDescent="0.25">
      <c r="K10" s="4" t="s">
        <v>12</v>
      </c>
      <c r="L10" s="3">
        <f>SUM(L4:L9)</f>
        <v>15</v>
      </c>
      <c r="M10" s="3">
        <f t="shared" ref="M10:T10" si="7">SUM(M4:M9)</f>
        <v>295.14</v>
      </c>
      <c r="N10" s="3">
        <f t="shared" si="7"/>
        <v>55</v>
      </c>
      <c r="O10" s="3">
        <f t="shared" si="7"/>
        <v>18205.045200000004</v>
      </c>
      <c r="P10" s="3">
        <f t="shared" si="7"/>
        <v>985.76</v>
      </c>
      <c r="Q10" s="3">
        <f t="shared" si="7"/>
        <v>310.14</v>
      </c>
      <c r="R10" s="3">
        <f t="shared" si="7"/>
        <v>20231.565200000001</v>
      </c>
      <c r="S10" s="3">
        <f t="shared" si="7"/>
        <v>0</v>
      </c>
      <c r="T10" s="3">
        <f t="shared" si="7"/>
        <v>17.5</v>
      </c>
    </row>
    <row r="11" spans="1:20" x14ac:dyDescent="0.25">
      <c r="L11">
        <f>L10/O14</f>
        <v>2.5</v>
      </c>
      <c r="M11">
        <f>M10/O14</f>
        <v>49.19</v>
      </c>
      <c r="R11" s="3"/>
      <c r="T11" s="3"/>
    </row>
    <row r="12" spans="1:20" x14ac:dyDescent="0.25">
      <c r="L12" t="s">
        <v>13</v>
      </c>
      <c r="M12" t="s">
        <v>14</v>
      </c>
    </row>
    <row r="13" spans="1:20" x14ac:dyDescent="0.25">
      <c r="K13" s="1" t="s">
        <v>15</v>
      </c>
      <c r="L13" s="1"/>
    </row>
    <row r="14" spans="1:20" x14ac:dyDescent="0.25">
      <c r="K14" t="s">
        <v>16</v>
      </c>
      <c r="L14">
        <f>(P10-O14*L11*M11)/(N10-O14*L11^2)</f>
        <v>14.166285714285719</v>
      </c>
      <c r="N14" t="s">
        <v>17</v>
      </c>
      <c r="O14">
        <v>6</v>
      </c>
      <c r="Q14" t="s">
        <v>18</v>
      </c>
      <c r="R14" s="2">
        <f>(I6-L15)/L14</f>
        <v>2.800478668333938</v>
      </c>
    </row>
    <row r="15" spans="1:20" x14ac:dyDescent="0.25">
      <c r="K15" t="s">
        <v>19</v>
      </c>
      <c r="L15">
        <f>(M10-L14*L10)/O14</f>
        <v>13.774285714285702</v>
      </c>
      <c r="N15" t="s">
        <v>20</v>
      </c>
      <c r="O15">
        <v>4</v>
      </c>
    </row>
    <row r="17" spans="11:19" x14ac:dyDescent="0.25">
      <c r="K17" s="1" t="s">
        <v>21</v>
      </c>
      <c r="L17" s="1"/>
    </row>
    <row r="18" spans="11:19" x14ac:dyDescent="0.25">
      <c r="K18" t="s">
        <v>22</v>
      </c>
      <c r="L18">
        <f>(O10-L15*M10-L14*P10)/(O14-2)</f>
        <v>43.786177142857923</v>
      </c>
    </row>
    <row r="19" spans="11:19" x14ac:dyDescent="0.25">
      <c r="K19" t="s">
        <v>23</v>
      </c>
      <c r="L19">
        <f>O14*L18/(O14*N10-L10^2)</f>
        <v>2.5020672653061671</v>
      </c>
    </row>
    <row r="20" spans="11:19" x14ac:dyDescent="0.25">
      <c r="K20" t="s">
        <v>24</v>
      </c>
      <c r="L20">
        <f>L19*N10/O14</f>
        <v>22.935616598639864</v>
      </c>
    </row>
    <row r="23" spans="11:19" x14ac:dyDescent="0.25">
      <c r="K23" s="4" t="s">
        <v>25</v>
      </c>
      <c r="L23" s="2">
        <f>SQRT(L19)*Q24</f>
        <v>4.3973829322896343</v>
      </c>
      <c r="N23" t="s">
        <v>26</v>
      </c>
      <c r="O23">
        <v>0.75</v>
      </c>
      <c r="P23">
        <v>0.9</v>
      </c>
      <c r="Q23">
        <v>0.95</v>
      </c>
      <c r="R23">
        <v>0.98</v>
      </c>
      <c r="S23">
        <v>0.99</v>
      </c>
    </row>
    <row r="24" spans="11:19" x14ac:dyDescent="0.25">
      <c r="K24" s="4" t="s">
        <v>27</v>
      </c>
      <c r="L24" s="2">
        <f>SQRT(L20)*Q24</f>
        <v>13.313737992048976</v>
      </c>
      <c r="N24" t="s">
        <v>28</v>
      </c>
      <c r="O24">
        <v>1.34</v>
      </c>
      <c r="P24">
        <v>2.13</v>
      </c>
      <c r="Q24">
        <v>2.78</v>
      </c>
      <c r="R24">
        <v>3.75</v>
      </c>
      <c r="S24">
        <v>4.5999999999999996</v>
      </c>
    </row>
    <row r="26" spans="11:19" x14ac:dyDescent="0.25">
      <c r="K26" s="5" t="s">
        <v>29</v>
      </c>
      <c r="L26" s="5"/>
      <c r="M26" s="5"/>
    </row>
    <row r="27" spans="11:19" x14ac:dyDescent="0.25">
      <c r="K27" t="s">
        <v>30</v>
      </c>
      <c r="L27" s="2">
        <f>1/L14*SQRT(L18*(1/O15+1/O14+(I4-M11)^2/(L14^2*T10)))</f>
        <v>0.30393723694249308</v>
      </c>
    </row>
    <row r="29" spans="11:19" x14ac:dyDescent="0.25">
      <c r="K29" s="5" t="s">
        <v>31</v>
      </c>
      <c r="L29" s="5"/>
      <c r="M29" s="5"/>
    </row>
    <row r="30" spans="11:19" x14ac:dyDescent="0.25">
      <c r="K30" t="s">
        <v>32</v>
      </c>
      <c r="L30" s="2">
        <f>L27*Q24</f>
        <v>0.84494551870013068</v>
      </c>
    </row>
    <row r="32" spans="11:19" x14ac:dyDescent="0.25">
      <c r="K32" s="4" t="s">
        <v>33</v>
      </c>
      <c r="L32">
        <f>L30/R14*100</f>
        <v>30.171467765644721</v>
      </c>
    </row>
  </sheetData>
  <mergeCells count="5">
    <mergeCell ref="A1:A2"/>
    <mergeCell ref="B1:G1"/>
    <mergeCell ref="I1:I2"/>
    <mergeCell ref="K26:M26"/>
    <mergeCell ref="K29:M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Леготин Андрей Александрович</dc:creator>
  <cp:lastModifiedBy>Леготин Андрей Александрович</cp:lastModifiedBy>
  <dcterms:created xsi:type="dcterms:W3CDTF">2025-05-17T17:49:07Z</dcterms:created>
  <dcterms:modified xsi:type="dcterms:W3CDTF">2025-05-18T21:43:23Z</dcterms:modified>
</cp:coreProperties>
</file>