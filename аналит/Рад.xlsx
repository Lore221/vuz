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аналит\"/>
    </mc:Choice>
  </mc:AlternateContent>
  <xr:revisionPtr revIDLastSave="0" documentId="13_ncr:1_{FDD79E6D-D190-4B8B-9DE6-6F25BB507F11}" xr6:coauthVersionLast="47" xr6:coauthVersionMax="47" xr10:uidLastSave="{00000000-0000-0000-0000-000000000000}"/>
  <bookViews>
    <workbookView xWindow="-120" yWindow="480" windowWidth="29040" windowHeight="15840" xr2:uid="{A33CC24E-9BC6-4362-B7FC-B311111842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29" i="1"/>
  <c r="L22" i="1"/>
  <c r="M10" i="1"/>
  <c r="L10" i="1"/>
  <c r="L13" i="1"/>
  <c r="R4" i="1"/>
  <c r="R5" i="1"/>
  <c r="R6" i="1"/>
  <c r="R7" i="1"/>
  <c r="R8" i="1"/>
  <c r="R3" i="1"/>
  <c r="M3" i="1"/>
  <c r="M9" i="1"/>
  <c r="N9" i="1"/>
  <c r="O9" i="1"/>
  <c r="P9" i="1"/>
  <c r="Q9" i="1"/>
  <c r="R9" i="1"/>
  <c r="S9" i="1"/>
  <c r="S4" i="1"/>
  <c r="S5" i="1"/>
  <c r="S6" i="1"/>
  <c r="S7" i="1"/>
  <c r="T7" i="1" s="1"/>
  <c r="S8" i="1"/>
  <c r="S3" i="1"/>
  <c r="T3" i="1" s="1"/>
  <c r="T9" i="1" s="1"/>
  <c r="Q4" i="1"/>
  <c r="Q5" i="1"/>
  <c r="Q6" i="1"/>
  <c r="Q7" i="1"/>
  <c r="Q8" i="1"/>
  <c r="P4" i="1"/>
  <c r="P5" i="1"/>
  <c r="P6" i="1"/>
  <c r="P7" i="1"/>
  <c r="P8" i="1"/>
  <c r="O4" i="1"/>
  <c r="O5" i="1"/>
  <c r="O6" i="1"/>
  <c r="O7" i="1"/>
  <c r="O8" i="1"/>
  <c r="L9" i="1"/>
  <c r="M4" i="1"/>
  <c r="M5" i="1"/>
  <c r="M6" i="1"/>
  <c r="M7" i="1"/>
  <c r="M8" i="1"/>
  <c r="O3" i="1"/>
  <c r="N8" i="1"/>
  <c r="T8" i="1"/>
  <c r="N7" i="1"/>
  <c r="T6" i="1"/>
  <c r="N6" i="1"/>
  <c r="T5" i="1"/>
  <c r="N5" i="1"/>
  <c r="T4" i="1"/>
  <c r="N4" i="1"/>
  <c r="Q3" i="1"/>
  <c r="P3" i="1"/>
  <c r="N3" i="1"/>
  <c r="F8" i="1"/>
  <c r="G8" i="1" s="1"/>
  <c r="F3" i="1"/>
  <c r="G3" i="1" s="1"/>
  <c r="F4" i="1"/>
  <c r="G4" i="1" s="1"/>
  <c r="F5" i="1"/>
  <c r="G5" i="1" s="1"/>
  <c r="F6" i="1"/>
  <c r="G6" i="1" s="1"/>
  <c r="F7" i="1"/>
  <c r="G7" i="1" s="1"/>
  <c r="F2" i="1"/>
  <c r="G2" i="1" s="1"/>
  <c r="H6" i="1" l="1"/>
  <c r="H7" i="1"/>
  <c r="H4" i="1"/>
  <c r="H5" i="1"/>
  <c r="H3" i="1"/>
  <c r="H8" i="1"/>
  <c r="L14" i="1" l="1"/>
  <c r="R13" i="1" s="1"/>
  <c r="L17" i="1" l="1"/>
  <c r="L18" i="1" l="1"/>
  <c r="L26" i="1"/>
  <c r="L19" i="1" l="1"/>
  <c r="L23" i="1" s="1"/>
</calcChain>
</file>

<file path=xl/sharedStrings.xml><?xml version="1.0" encoding="utf-8"?>
<sst xmlns="http://schemas.openxmlformats.org/spreadsheetml/2006/main" count="38" uniqueCount="38">
  <si>
    <t>C</t>
  </si>
  <si>
    <t>t</t>
  </si>
  <si>
    <t>N+</t>
  </si>
  <si>
    <t>N+ ср</t>
  </si>
  <si>
    <t>I+</t>
  </si>
  <si>
    <t>I</t>
  </si>
  <si>
    <t>Задача</t>
  </si>
  <si>
    <t>xi</t>
  </si>
  <si>
    <t>yi</t>
  </si>
  <si>
    <t>xi^2</t>
  </si>
  <si>
    <t>yi^2</t>
  </si>
  <si>
    <t>xi*yi</t>
  </si>
  <si>
    <t>xi+yi</t>
  </si>
  <si>
    <t>(xi+yi)^2</t>
  </si>
  <si>
    <t>xi-x`</t>
  </si>
  <si>
    <t>(xi-x`)^2</t>
  </si>
  <si>
    <t>∑</t>
  </si>
  <si>
    <t>x`</t>
  </si>
  <si>
    <t>y`</t>
  </si>
  <si>
    <t>b</t>
  </si>
  <si>
    <t>a</t>
  </si>
  <si>
    <t>n</t>
  </si>
  <si>
    <t>m</t>
  </si>
  <si>
    <t>x`ан</t>
  </si>
  <si>
    <t>Дисперсии</t>
  </si>
  <si>
    <t>Syx^2</t>
  </si>
  <si>
    <t>Sb^2</t>
  </si>
  <si>
    <t>Sa^2</t>
  </si>
  <si>
    <t>константы</t>
  </si>
  <si>
    <t>Δb</t>
  </si>
  <si>
    <t>P</t>
  </si>
  <si>
    <t>Δa</t>
  </si>
  <si>
    <t>f</t>
  </si>
  <si>
    <t>Стандартноек отклонение</t>
  </si>
  <si>
    <t>Sx</t>
  </si>
  <si>
    <t>Доверительный интервал</t>
  </si>
  <si>
    <t>|Δx|</t>
  </si>
  <si>
    <t>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</si>
</sst>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5905511811023627E-2"/>
                  <c:y val="-1.65252260134149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Лист1!$A$2:$A$7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</c:numCache>
            </c:numRef>
          </c:xVal>
          <c:yVal>
            <c:numRef>
              <c:f>Лист1!$G$2:$G$7</c:f>
              <c:numCache>
                <c:formatCode>0.0000</c:formatCode>
                <c:ptCount val="6"/>
                <c:pt idx="0">
                  <c:v>0.55666666666666664</c:v>
                </c:pt>
                <c:pt idx="1">
                  <c:v>1.93</c:v>
                </c:pt>
                <c:pt idx="2">
                  <c:v>3.91</c:v>
                </c:pt>
                <c:pt idx="3">
                  <c:v>6.2566666666666659</c:v>
                </c:pt>
                <c:pt idx="4">
                  <c:v>8.0500000000000007</c:v>
                </c:pt>
                <c:pt idx="5">
                  <c:v>10.353333333333332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A-4EA8-9B8F-70FDCD42C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481408"/>
        <c:axId val="2020478048"/>
      </c:scatterChart>
      <c:valAx>
        <c:axId val="202048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0478048"/>
        <c:crosses val="autoZero"/>
        <c:crossBetween val="midCat"/>
      </c:valAx>
      <c:valAx>
        <c:axId val="20204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04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11</xdr:row>
      <xdr:rowOff>9525</xdr:rowOff>
    </xdr:from>
    <xdr:to>
      <xdr:col>7</xdr:col>
      <xdr:colOff>590550</xdr:colOff>
      <xdr:row>25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432FB1-350E-2DB1-C5B0-2B0F08C89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B439-9C29-4696-97DB-CCE05CEE9DEB}">
  <dimension ref="A1:T38"/>
  <sheetViews>
    <sheetView tabSelected="1" workbookViewId="0">
      <selection activeCell="K1" sqref="K1:T31"/>
    </sheetView>
  </sheetViews>
  <sheetFormatPr defaultRowHeight="15" x14ac:dyDescent="0.25"/>
  <cols>
    <col min="7" max="7" width="7.5703125" bestFit="1" customWidth="1"/>
    <col min="13" max="13" width="6.5703125" bestFit="1" customWidth="1"/>
    <col min="14" max="14" width="5.5703125" bestFit="1" customWidth="1"/>
    <col min="15" max="15" width="7.5703125" bestFit="1" customWidth="1"/>
    <col min="16" max="17" width="6.5703125" bestFit="1" customWidth="1"/>
    <col min="18" max="18" width="9.5703125" bestFit="1" customWidth="1"/>
    <col min="19" max="19" width="7.5703125" bestFit="1" customWidth="1"/>
    <col min="20" max="20" width="8.5703125" bestFit="1" customWidth="1"/>
  </cols>
  <sheetData>
    <row r="1" spans="1:20" x14ac:dyDescent="0.25">
      <c r="A1" t="s">
        <v>0</v>
      </c>
      <c r="B1" t="s">
        <v>1</v>
      </c>
      <c r="C1" s="2" t="s">
        <v>2</v>
      </c>
      <c r="D1" s="2"/>
      <c r="E1" s="2"/>
      <c r="F1" t="s">
        <v>3</v>
      </c>
      <c r="G1" t="s">
        <v>4</v>
      </c>
      <c r="H1" t="s">
        <v>5</v>
      </c>
    </row>
    <row r="2" spans="1:20" x14ac:dyDescent="0.25">
      <c r="A2">
        <v>0</v>
      </c>
      <c r="B2">
        <v>100</v>
      </c>
      <c r="C2">
        <v>58</v>
      </c>
      <c r="D2">
        <v>62</v>
      </c>
      <c r="E2">
        <v>47</v>
      </c>
      <c r="F2" s="5">
        <f>AVERAGE(C2:E2)</f>
        <v>55.666666666666664</v>
      </c>
      <c r="G2" s="3">
        <f>F2/100</f>
        <v>0.55666666666666664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>
        <v>0.1</v>
      </c>
      <c r="B3">
        <v>100</v>
      </c>
      <c r="C3">
        <v>182</v>
      </c>
      <c r="D3">
        <v>193</v>
      </c>
      <c r="E3">
        <v>204</v>
      </c>
      <c r="F3" s="5">
        <f t="shared" ref="F3:F8" si="0">AVERAGE(C3:E3)</f>
        <v>193</v>
      </c>
      <c r="G3" s="3">
        <f t="shared" ref="G3:G8" si="1">F3/100</f>
        <v>1.93</v>
      </c>
      <c r="H3" s="3">
        <f>G3-$G$2</f>
        <v>1.3733333333333333</v>
      </c>
      <c r="K3">
        <v>1</v>
      </c>
      <c r="L3" s="4">
        <v>0</v>
      </c>
      <c r="M3" s="4">
        <f>G2</f>
        <v>0.55666666666666664</v>
      </c>
      <c r="N3" s="4">
        <f>L3^2</f>
        <v>0</v>
      </c>
      <c r="O3" s="4">
        <f>M3^2</f>
        <v>0.30987777777777775</v>
      </c>
      <c r="P3" s="4">
        <f>L3*M3</f>
        <v>0</v>
      </c>
      <c r="Q3" s="4">
        <f>L3+M3</f>
        <v>0.55666666666666664</v>
      </c>
      <c r="R3" s="4">
        <f>Q3^2</f>
        <v>0.30987777777777775</v>
      </c>
      <c r="S3" s="4">
        <f>L3-$L$10</f>
        <v>-0.41666666666666669</v>
      </c>
      <c r="T3" s="4">
        <f>S3^2</f>
        <v>0.17361111111111113</v>
      </c>
    </row>
    <row r="4" spans="1:20" x14ac:dyDescent="0.25">
      <c r="A4">
        <v>0.3</v>
      </c>
      <c r="B4">
        <v>100</v>
      </c>
      <c r="C4">
        <v>387</v>
      </c>
      <c r="D4">
        <v>414</v>
      </c>
      <c r="E4">
        <v>372</v>
      </c>
      <c r="F4" s="5">
        <f t="shared" si="0"/>
        <v>391</v>
      </c>
      <c r="G4" s="3">
        <f t="shared" si="1"/>
        <v>3.91</v>
      </c>
      <c r="H4" s="3">
        <f t="shared" ref="H4:H8" si="2">G4-$G$2</f>
        <v>3.3533333333333335</v>
      </c>
      <c r="K4">
        <v>2</v>
      </c>
      <c r="L4" s="4">
        <v>0.1</v>
      </c>
      <c r="M4" s="4">
        <f t="shared" ref="M4:M8" si="3">G3</f>
        <v>1.93</v>
      </c>
      <c r="N4" s="4">
        <f t="shared" ref="N4:O8" si="4">L4^2</f>
        <v>1.0000000000000002E-2</v>
      </c>
      <c r="O4" s="4">
        <f t="shared" ref="O4:O8" si="5">M4^2</f>
        <v>3.7248999999999999</v>
      </c>
      <c r="P4" s="4">
        <f t="shared" ref="P4:P8" si="6">L4*M4</f>
        <v>0.193</v>
      </c>
      <c r="Q4" s="4">
        <f t="shared" ref="Q4:Q8" si="7">L4+M4</f>
        <v>2.0299999999999998</v>
      </c>
      <c r="R4" s="4">
        <f t="shared" ref="R4:R8" si="8">Q4^2</f>
        <v>4.1208999999999989</v>
      </c>
      <c r="S4" s="4">
        <f t="shared" ref="S4:S8" si="9">L4-$L$10</f>
        <v>-0.31666666666666665</v>
      </c>
      <c r="T4" s="4">
        <f t="shared" ref="T4:T8" si="10">S4^2</f>
        <v>0.10027777777777777</v>
      </c>
    </row>
    <row r="5" spans="1:20" x14ac:dyDescent="0.25">
      <c r="A5">
        <v>0.5</v>
      </c>
      <c r="B5">
        <v>100</v>
      </c>
      <c r="C5">
        <v>646</v>
      </c>
      <c r="D5">
        <v>611</v>
      </c>
      <c r="E5">
        <v>620</v>
      </c>
      <c r="F5" s="5">
        <f t="shared" si="0"/>
        <v>625.66666666666663</v>
      </c>
      <c r="G5" s="3">
        <f t="shared" si="1"/>
        <v>6.2566666666666659</v>
      </c>
      <c r="H5" s="3">
        <f t="shared" si="2"/>
        <v>5.6999999999999993</v>
      </c>
      <c r="K5">
        <v>3</v>
      </c>
      <c r="L5" s="4">
        <v>0.3</v>
      </c>
      <c r="M5" s="4">
        <f t="shared" si="3"/>
        <v>3.91</v>
      </c>
      <c r="N5" s="4">
        <f t="shared" si="4"/>
        <v>0.09</v>
      </c>
      <c r="O5" s="4">
        <f t="shared" si="5"/>
        <v>15.288100000000002</v>
      </c>
      <c r="P5" s="4">
        <f t="shared" si="6"/>
        <v>1.173</v>
      </c>
      <c r="Q5" s="4">
        <f t="shared" si="7"/>
        <v>4.21</v>
      </c>
      <c r="R5" s="4">
        <f t="shared" si="8"/>
        <v>17.7241</v>
      </c>
      <c r="S5" s="4">
        <f t="shared" si="9"/>
        <v>-0.1166666666666667</v>
      </c>
      <c r="T5" s="4">
        <f t="shared" si="10"/>
        <v>1.3611111111111117E-2</v>
      </c>
    </row>
    <row r="6" spans="1:20" x14ac:dyDescent="0.25">
      <c r="A6">
        <v>0.7</v>
      </c>
      <c r="B6">
        <v>100</v>
      </c>
      <c r="C6">
        <v>818</v>
      </c>
      <c r="D6">
        <v>768</v>
      </c>
      <c r="E6">
        <v>829</v>
      </c>
      <c r="F6" s="5">
        <f t="shared" si="0"/>
        <v>805</v>
      </c>
      <c r="G6" s="3">
        <f t="shared" si="1"/>
        <v>8.0500000000000007</v>
      </c>
      <c r="H6" s="3">
        <f t="shared" si="2"/>
        <v>7.4933333333333341</v>
      </c>
      <c r="K6">
        <v>4</v>
      </c>
      <c r="L6" s="4">
        <v>0.5</v>
      </c>
      <c r="M6" s="4">
        <f t="shared" si="3"/>
        <v>6.2566666666666659</v>
      </c>
      <c r="N6" s="4">
        <f t="shared" si="4"/>
        <v>0.25</v>
      </c>
      <c r="O6" s="4">
        <f t="shared" si="5"/>
        <v>39.14587777777777</v>
      </c>
      <c r="P6" s="4">
        <f t="shared" si="6"/>
        <v>3.128333333333333</v>
      </c>
      <c r="Q6" s="4">
        <f t="shared" si="7"/>
        <v>6.7566666666666659</v>
      </c>
      <c r="R6" s="4">
        <f t="shared" si="8"/>
        <v>45.652544444444437</v>
      </c>
      <c r="S6" s="4">
        <f t="shared" si="9"/>
        <v>8.3333333333333315E-2</v>
      </c>
      <c r="T6" s="4">
        <f t="shared" si="10"/>
        <v>6.9444444444444415E-3</v>
      </c>
    </row>
    <row r="7" spans="1:20" x14ac:dyDescent="0.25">
      <c r="A7">
        <v>0.9</v>
      </c>
      <c r="B7">
        <v>100</v>
      </c>
      <c r="C7">
        <v>1051</v>
      </c>
      <c r="D7">
        <v>1006</v>
      </c>
      <c r="E7">
        <v>1049</v>
      </c>
      <c r="F7" s="5">
        <f t="shared" si="0"/>
        <v>1035.3333333333333</v>
      </c>
      <c r="G7" s="3">
        <f t="shared" si="1"/>
        <v>10.353333333333332</v>
      </c>
      <c r="H7" s="3">
        <f t="shared" si="2"/>
        <v>9.7966666666666651</v>
      </c>
      <c r="K7">
        <v>5</v>
      </c>
      <c r="L7" s="4">
        <v>0.7</v>
      </c>
      <c r="M7" s="4">
        <f t="shared" si="3"/>
        <v>8.0500000000000007</v>
      </c>
      <c r="N7" s="4">
        <f t="shared" si="4"/>
        <v>0.48999999999999994</v>
      </c>
      <c r="O7" s="4">
        <f t="shared" si="5"/>
        <v>64.802500000000009</v>
      </c>
      <c r="P7" s="4">
        <f t="shared" si="6"/>
        <v>5.6349999999999998</v>
      </c>
      <c r="Q7" s="4">
        <f t="shared" si="7"/>
        <v>8.75</v>
      </c>
      <c r="R7" s="4">
        <f t="shared" si="8"/>
        <v>76.5625</v>
      </c>
      <c r="S7" s="4">
        <f t="shared" si="9"/>
        <v>0.28333333333333327</v>
      </c>
      <c r="T7" s="4">
        <f t="shared" si="10"/>
        <v>8.027777777777774E-2</v>
      </c>
    </row>
    <row r="8" spans="1:20" x14ac:dyDescent="0.25">
      <c r="A8" t="s">
        <v>6</v>
      </c>
      <c r="B8">
        <v>100</v>
      </c>
      <c r="C8">
        <v>746</v>
      </c>
      <c r="D8">
        <v>732</v>
      </c>
      <c r="E8">
        <v>758</v>
      </c>
      <c r="F8" s="5">
        <f t="shared" si="0"/>
        <v>745.33333333333337</v>
      </c>
      <c r="G8" s="3">
        <f t="shared" si="1"/>
        <v>7.453333333333334</v>
      </c>
      <c r="H8" s="3">
        <f t="shared" si="2"/>
        <v>6.8966666666666674</v>
      </c>
      <c r="K8">
        <v>6</v>
      </c>
      <c r="L8" s="4">
        <v>0.9</v>
      </c>
      <c r="M8" s="4">
        <f t="shared" si="3"/>
        <v>10.353333333333332</v>
      </c>
      <c r="N8" s="4">
        <f t="shared" si="4"/>
        <v>0.81</v>
      </c>
      <c r="O8" s="4">
        <f t="shared" si="5"/>
        <v>107.19151111111108</v>
      </c>
      <c r="P8" s="4">
        <f t="shared" si="6"/>
        <v>9.3179999999999996</v>
      </c>
      <c r="Q8" s="4">
        <f t="shared" si="7"/>
        <v>11.253333333333332</v>
      </c>
      <c r="R8" s="4">
        <f t="shared" si="8"/>
        <v>126.63751111111108</v>
      </c>
      <c r="S8" s="4">
        <f t="shared" si="9"/>
        <v>0.48333333333333334</v>
      </c>
      <c r="T8" s="4">
        <f t="shared" si="10"/>
        <v>0.2336111111111111</v>
      </c>
    </row>
    <row r="9" spans="1:20" x14ac:dyDescent="0.25">
      <c r="K9" s="6" t="s">
        <v>16</v>
      </c>
      <c r="L9" s="4">
        <f>SUM(L3:L8)</f>
        <v>2.5</v>
      </c>
      <c r="M9" s="4">
        <f t="shared" ref="M9:T9" si="11">SUM(M3:M8)</f>
        <v>31.056666666666665</v>
      </c>
      <c r="N9" s="4">
        <f t="shared" si="11"/>
        <v>1.65</v>
      </c>
      <c r="O9" s="4">
        <f t="shared" si="11"/>
        <v>230.46276666666665</v>
      </c>
      <c r="P9" s="4">
        <f t="shared" si="11"/>
        <v>19.447333333333333</v>
      </c>
      <c r="Q9" s="4">
        <f t="shared" si="11"/>
        <v>33.556666666666665</v>
      </c>
      <c r="R9" s="4">
        <f t="shared" si="11"/>
        <v>271.00743333333332</v>
      </c>
      <c r="S9" s="4">
        <f t="shared" si="11"/>
        <v>0</v>
      </c>
      <c r="T9" s="4">
        <f t="shared" si="11"/>
        <v>0.60833333333333328</v>
      </c>
    </row>
    <row r="10" spans="1:20" x14ac:dyDescent="0.25">
      <c r="L10">
        <f>L9/O13</f>
        <v>0.41666666666666669</v>
      </c>
      <c r="M10">
        <f>M9/O13</f>
        <v>5.1761111111111111</v>
      </c>
      <c r="R10" s="4"/>
      <c r="T10" s="4"/>
    </row>
    <row r="11" spans="1:20" x14ac:dyDescent="0.25">
      <c r="L11" t="s">
        <v>17</v>
      </c>
      <c r="M11" t="s">
        <v>18</v>
      </c>
    </row>
    <row r="12" spans="1:20" x14ac:dyDescent="0.25">
      <c r="K12" s="1" t="s">
        <v>28</v>
      </c>
      <c r="L12" s="1"/>
    </row>
    <row r="13" spans="1:20" x14ac:dyDescent="0.25">
      <c r="K13" t="s">
        <v>19</v>
      </c>
      <c r="L13">
        <f>(P9-O13*L10*M10)/(N9-O13*L10^2)</f>
        <v>10.696529680365298</v>
      </c>
      <c r="N13" t="s">
        <v>21</v>
      </c>
      <c r="O13">
        <v>6</v>
      </c>
      <c r="Q13" t="s">
        <v>23</v>
      </c>
      <c r="R13" s="3">
        <f>(G8-L14)/L13</f>
        <v>0.62956022095673936</v>
      </c>
    </row>
    <row r="14" spans="1:20" x14ac:dyDescent="0.25">
      <c r="K14" t="s">
        <v>20</v>
      </c>
      <c r="L14">
        <f>(M9-L13*L9)/O13</f>
        <v>0.71922374429223623</v>
      </c>
      <c r="N14" t="s">
        <v>22</v>
      </c>
      <c r="O14">
        <v>3</v>
      </c>
    </row>
    <row r="16" spans="1:20" x14ac:dyDescent="0.25">
      <c r="K16" s="1" t="s">
        <v>24</v>
      </c>
      <c r="L16" s="1"/>
    </row>
    <row r="17" spans="11:19" x14ac:dyDescent="0.25">
      <c r="K17" t="s">
        <v>25</v>
      </c>
      <c r="L17">
        <f>(O9-L14*M9-L13*P9)/(O13-2)</f>
        <v>2.6774094368342105E-2</v>
      </c>
    </row>
    <row r="18" spans="11:19" x14ac:dyDescent="0.25">
      <c r="K18" t="s">
        <v>26</v>
      </c>
      <c r="L18">
        <f>O13*L17/(O13*N9-L9^2)</f>
        <v>4.401220992056238E-2</v>
      </c>
    </row>
    <row r="19" spans="11:19" x14ac:dyDescent="0.25">
      <c r="K19" t="s">
        <v>27</v>
      </c>
      <c r="L19">
        <f>L18*N9/O13</f>
        <v>1.2103357728154655E-2</v>
      </c>
    </row>
    <row r="22" spans="11:19" x14ac:dyDescent="0.25">
      <c r="K22" s="6" t="s">
        <v>29</v>
      </c>
      <c r="L22" s="3">
        <f>SQRT(L18)*Q23</f>
        <v>0.58321862380249334</v>
      </c>
      <c r="N22" t="s">
        <v>30</v>
      </c>
      <c r="O22">
        <v>0.75</v>
      </c>
      <c r="P22">
        <v>0.9</v>
      </c>
      <c r="Q22">
        <v>0.95</v>
      </c>
      <c r="R22">
        <v>0.98</v>
      </c>
      <c r="S22">
        <v>0.99</v>
      </c>
    </row>
    <row r="23" spans="11:19" x14ac:dyDescent="0.25">
      <c r="K23" s="6" t="s">
        <v>31</v>
      </c>
      <c r="L23" s="3">
        <f>SQRT(L19)*Q23</f>
        <v>0.30584242653083699</v>
      </c>
      <c r="N23" t="s">
        <v>32</v>
      </c>
      <c r="O23">
        <v>1.34</v>
      </c>
      <c r="P23">
        <v>2.13</v>
      </c>
      <c r="Q23">
        <v>2.78</v>
      </c>
      <c r="R23">
        <v>3.75</v>
      </c>
      <c r="S23">
        <v>4.5999999999999996</v>
      </c>
    </row>
    <row r="25" spans="11:19" x14ac:dyDescent="0.25">
      <c r="K25" s="2" t="s">
        <v>33</v>
      </c>
      <c r="L25" s="2"/>
      <c r="M25" s="2"/>
    </row>
    <row r="26" spans="11:19" x14ac:dyDescent="0.25">
      <c r="K26" t="s">
        <v>34</v>
      </c>
      <c r="L26" s="3">
        <f>1/L13*SQRT(L17*(1/O14+1/O13+(I3-M10)^2/(L13^2*T9)))</f>
        <v>1.4390255992254047E-2</v>
      </c>
    </row>
    <row r="28" spans="11:19" x14ac:dyDescent="0.25">
      <c r="K28" s="2" t="s">
        <v>35</v>
      </c>
      <c r="L28" s="2"/>
      <c r="M28" s="2"/>
    </row>
    <row r="29" spans="11:19" x14ac:dyDescent="0.25">
      <c r="K29" t="s">
        <v>36</v>
      </c>
      <c r="L29" s="3">
        <f>L26*Q23</f>
        <v>4.0004911658466251E-2</v>
      </c>
    </row>
    <row r="31" spans="11:19" x14ac:dyDescent="0.25">
      <c r="K31" s="8" t="s">
        <v>37</v>
      </c>
      <c r="L31" s="7">
        <f>L29/R13*100</f>
        <v>6.3544217577265281</v>
      </c>
      <c r="M31" s="7"/>
    </row>
    <row r="32" spans="11:19" x14ac:dyDescent="0.25">
      <c r="K32" s="6"/>
      <c r="L32" s="3"/>
    </row>
    <row r="34" spans="11:13" x14ac:dyDescent="0.25">
      <c r="K34" s="7"/>
      <c r="L34" s="7"/>
      <c r="M34" s="7"/>
    </row>
    <row r="36" spans="11:13" x14ac:dyDescent="0.25">
      <c r="K36" s="2"/>
      <c r="L36" s="2"/>
      <c r="M36" s="2"/>
    </row>
    <row r="38" spans="11:13" x14ac:dyDescent="0.25">
      <c r="K38" s="2"/>
      <c r="L38" s="2"/>
      <c r="M38" s="2"/>
    </row>
  </sheetData>
  <mergeCells count="5">
    <mergeCell ref="K38:M38"/>
    <mergeCell ref="K25:M25"/>
    <mergeCell ref="K28:M28"/>
    <mergeCell ref="K36:M36"/>
    <mergeCell ref="C1:E1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2025-05-17T16:31:06Z</dcterms:created>
  <dcterms:modified xsi:type="dcterms:W3CDTF">2025-05-17T20:08:27Z</dcterms:modified>
</cp:coreProperties>
</file>