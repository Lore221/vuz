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Lore2\OneDrive\Рабочий стол\вуз\дипорм\"/>
    </mc:Choice>
  </mc:AlternateContent>
  <xr:revisionPtr revIDLastSave="0" documentId="13_ncr:1_{1DD08B8A-5522-4994-BC85-13876693DF52}" xr6:coauthVersionLast="47" xr6:coauthVersionMax="47" xr10:uidLastSave="{00000000-0000-0000-0000-000000000000}"/>
  <bookViews>
    <workbookView xWindow="4320" yWindow="600" windowWidth="23325" windowHeight="7890" activeTab="2" xr2:uid="{00000000-000D-0000-FFFF-FFFF00000000}"/>
  </bookViews>
  <sheets>
    <sheet name="Параметры" sheetId="1" r:id="rId1"/>
    <sheet name="Расчет" sheetId="2" r:id="rId2"/>
    <sheet name="График" sheetId="3" r:id="rId3"/>
  </sheets>
  <calcPr calcId="181029" forceFullCalc="1"/>
</workbook>
</file>

<file path=xl/calcChain.xml><?xml version="1.0" encoding="utf-8"?>
<calcChain xmlns="http://schemas.openxmlformats.org/spreadsheetml/2006/main">
  <c r="B503" i="2" l="1"/>
  <c r="C503" i="2"/>
  <c r="B504" i="2"/>
  <c r="C504" i="2"/>
  <c r="B505" i="2"/>
  <c r="C505" i="2"/>
  <c r="B506" i="2"/>
  <c r="C506" i="2"/>
  <c r="B507" i="2"/>
  <c r="C507" i="2"/>
  <c r="B508" i="2"/>
  <c r="C508" i="2"/>
  <c r="B509" i="2"/>
  <c r="C509" i="2"/>
  <c r="B510" i="2"/>
  <c r="C510" i="2"/>
  <c r="B511" i="2"/>
  <c r="C511" i="2"/>
  <c r="B512" i="2"/>
  <c r="C512" i="2"/>
  <c r="B513" i="2"/>
  <c r="C513" i="2"/>
  <c r="B514" i="2"/>
  <c r="C514" i="2"/>
  <c r="B515" i="2"/>
  <c r="C515" i="2"/>
  <c r="B516" i="2"/>
  <c r="C516" i="2"/>
  <c r="B517" i="2"/>
  <c r="C517" i="2"/>
  <c r="B518" i="2"/>
  <c r="C518" i="2"/>
  <c r="B519" i="2"/>
  <c r="C519" i="2"/>
  <c r="B520" i="2"/>
  <c r="C520" i="2"/>
  <c r="B521" i="2"/>
  <c r="C521" i="2"/>
  <c r="B522" i="2"/>
  <c r="C522" i="2"/>
  <c r="B523" i="2"/>
  <c r="C523" i="2"/>
  <c r="B524" i="2"/>
  <c r="C524" i="2"/>
  <c r="B525" i="2"/>
  <c r="C525" i="2"/>
  <c r="B526" i="2"/>
  <c r="C526" i="2"/>
  <c r="B527" i="2"/>
  <c r="C527" i="2"/>
  <c r="B528" i="2"/>
  <c r="C528" i="2"/>
  <c r="B529" i="2"/>
  <c r="C529" i="2"/>
  <c r="B530" i="2"/>
  <c r="C530" i="2"/>
  <c r="B531" i="2"/>
  <c r="C531" i="2"/>
  <c r="B532" i="2"/>
  <c r="C532" i="2"/>
  <c r="B533" i="2"/>
  <c r="C533" i="2"/>
  <c r="B534" i="2"/>
  <c r="C534" i="2"/>
  <c r="B535" i="2"/>
  <c r="C535" i="2"/>
  <c r="B536" i="2"/>
  <c r="C536" i="2"/>
  <c r="B537" i="2"/>
  <c r="C537" i="2"/>
  <c r="B538" i="2"/>
  <c r="C538" i="2"/>
  <c r="B539" i="2"/>
  <c r="C539" i="2"/>
  <c r="B540" i="2"/>
  <c r="C540" i="2"/>
  <c r="B541" i="2"/>
  <c r="C541" i="2"/>
  <c r="B542" i="2"/>
  <c r="C542" i="2"/>
  <c r="B543" i="2"/>
  <c r="C543" i="2"/>
  <c r="B544" i="2"/>
  <c r="C544" i="2"/>
  <c r="B545" i="2"/>
  <c r="C545" i="2"/>
  <c r="B546" i="2"/>
  <c r="C546" i="2"/>
  <c r="B547" i="2"/>
  <c r="C547" i="2"/>
  <c r="B548" i="2"/>
  <c r="C548" i="2"/>
  <c r="B549" i="2"/>
  <c r="C549" i="2"/>
  <c r="B550" i="2"/>
  <c r="C550" i="2"/>
  <c r="B551" i="2"/>
  <c r="C551" i="2"/>
  <c r="B552" i="2"/>
  <c r="C552" i="2"/>
  <c r="B553" i="2"/>
  <c r="C553" i="2"/>
  <c r="B554" i="2"/>
  <c r="C554" i="2"/>
  <c r="B555" i="2"/>
  <c r="C555" i="2"/>
  <c r="B556" i="2"/>
  <c r="C556" i="2"/>
  <c r="B557" i="2"/>
  <c r="C557" i="2"/>
  <c r="B558" i="2"/>
  <c r="C558" i="2"/>
  <c r="B559" i="2"/>
  <c r="C559" i="2"/>
  <c r="B560" i="2"/>
  <c r="C560" i="2"/>
  <c r="B561" i="2"/>
  <c r="C561" i="2"/>
  <c r="B562" i="2"/>
  <c r="C562" i="2"/>
  <c r="B563" i="2"/>
  <c r="C563" i="2"/>
  <c r="B564" i="2"/>
  <c r="C564" i="2"/>
  <c r="B565" i="2"/>
  <c r="C565" i="2"/>
  <c r="B566" i="2"/>
  <c r="C566" i="2"/>
  <c r="B567" i="2"/>
  <c r="C567" i="2"/>
  <c r="B568" i="2"/>
  <c r="C568" i="2"/>
  <c r="B569" i="2"/>
  <c r="C569" i="2"/>
  <c r="B570" i="2"/>
  <c r="C570" i="2"/>
  <c r="B571" i="2"/>
  <c r="C571" i="2"/>
  <c r="B572" i="2"/>
  <c r="C572" i="2"/>
  <c r="B573" i="2"/>
  <c r="C573" i="2"/>
  <c r="B574" i="2"/>
  <c r="C574" i="2"/>
  <c r="B575" i="2"/>
  <c r="C575" i="2"/>
  <c r="B576" i="2"/>
  <c r="C576" i="2"/>
  <c r="B577" i="2"/>
  <c r="C577" i="2"/>
  <c r="B578" i="2"/>
  <c r="C578" i="2"/>
  <c r="B579" i="2"/>
  <c r="C579" i="2"/>
  <c r="B580" i="2"/>
  <c r="C580" i="2"/>
  <c r="B581" i="2"/>
  <c r="C581" i="2"/>
  <c r="B582" i="2"/>
  <c r="C582" i="2"/>
  <c r="B583" i="2"/>
  <c r="C583" i="2"/>
  <c r="B584" i="2"/>
  <c r="C584" i="2"/>
  <c r="B585" i="2"/>
  <c r="C585" i="2"/>
  <c r="B586" i="2"/>
  <c r="C586" i="2"/>
  <c r="B587" i="2"/>
  <c r="C587" i="2"/>
  <c r="B588" i="2"/>
  <c r="C588" i="2"/>
  <c r="B589" i="2"/>
  <c r="C589" i="2"/>
  <c r="B590" i="2"/>
  <c r="C590" i="2"/>
  <c r="B591" i="2"/>
  <c r="C591" i="2"/>
  <c r="B592" i="2"/>
  <c r="C592" i="2"/>
  <c r="B593" i="2"/>
  <c r="C593" i="2"/>
  <c r="B594" i="2"/>
  <c r="C594" i="2"/>
  <c r="B595" i="2"/>
  <c r="C595" i="2"/>
  <c r="B596" i="2"/>
  <c r="C596" i="2"/>
  <c r="B597" i="2"/>
  <c r="C597" i="2"/>
  <c r="B598" i="2"/>
  <c r="C598" i="2"/>
  <c r="B599" i="2"/>
  <c r="C599" i="2"/>
  <c r="B600" i="2"/>
  <c r="C600" i="2"/>
  <c r="B601" i="2"/>
  <c r="C601" i="2"/>
  <c r="B602" i="2"/>
  <c r="C602" i="2"/>
  <c r="B603" i="2"/>
  <c r="C603" i="2"/>
  <c r="B604" i="2"/>
  <c r="C604" i="2"/>
  <c r="B605" i="2"/>
  <c r="C605" i="2"/>
  <c r="B606" i="2"/>
  <c r="C606" i="2"/>
  <c r="B607" i="2"/>
  <c r="C607" i="2"/>
  <c r="B608" i="2"/>
  <c r="C608" i="2"/>
  <c r="B609" i="2"/>
  <c r="C609" i="2"/>
  <c r="B610" i="2"/>
  <c r="C610" i="2"/>
  <c r="B611" i="2"/>
  <c r="C611" i="2"/>
  <c r="B612" i="2"/>
  <c r="C612" i="2"/>
  <c r="B613" i="2"/>
  <c r="C613" i="2"/>
  <c r="B614" i="2"/>
  <c r="C614" i="2"/>
  <c r="B615" i="2"/>
  <c r="C615" i="2"/>
  <c r="B616" i="2"/>
  <c r="C616" i="2"/>
  <c r="B617" i="2"/>
  <c r="C617" i="2"/>
  <c r="B618" i="2"/>
  <c r="C618" i="2"/>
  <c r="B619" i="2"/>
  <c r="C619" i="2"/>
  <c r="B620" i="2"/>
  <c r="C620" i="2"/>
  <c r="B621" i="2"/>
  <c r="C621" i="2"/>
  <c r="B622" i="2"/>
  <c r="C622" i="2"/>
  <c r="B623" i="2"/>
  <c r="C623" i="2"/>
  <c r="B624" i="2"/>
  <c r="C624" i="2"/>
  <c r="B625" i="2"/>
  <c r="C625" i="2"/>
  <c r="B626" i="2"/>
  <c r="C626" i="2"/>
  <c r="B627" i="2"/>
  <c r="C627" i="2"/>
  <c r="B628" i="2"/>
  <c r="C628" i="2"/>
  <c r="B629" i="2"/>
  <c r="C629" i="2"/>
  <c r="B630" i="2"/>
  <c r="C630" i="2"/>
  <c r="B631" i="2"/>
  <c r="C631" i="2"/>
  <c r="B632" i="2"/>
  <c r="C632" i="2"/>
  <c r="B633" i="2"/>
  <c r="C633" i="2"/>
  <c r="B634" i="2"/>
  <c r="C634" i="2"/>
  <c r="B635" i="2"/>
  <c r="C635" i="2"/>
  <c r="B636" i="2"/>
  <c r="C636" i="2"/>
  <c r="B637" i="2"/>
  <c r="C637" i="2"/>
  <c r="B638" i="2"/>
  <c r="C638" i="2"/>
  <c r="B639" i="2"/>
  <c r="C639" i="2"/>
  <c r="B640" i="2"/>
  <c r="C640" i="2"/>
  <c r="B641" i="2"/>
  <c r="C641" i="2"/>
  <c r="B642" i="2"/>
  <c r="C642" i="2"/>
  <c r="B643" i="2"/>
  <c r="C643" i="2"/>
  <c r="B644" i="2"/>
  <c r="C644" i="2"/>
  <c r="B645" i="2"/>
  <c r="C645" i="2"/>
  <c r="B646" i="2"/>
  <c r="C646" i="2"/>
  <c r="B647" i="2"/>
  <c r="C647" i="2"/>
  <c r="B648" i="2"/>
  <c r="C648" i="2"/>
  <c r="B649" i="2"/>
  <c r="C649" i="2"/>
  <c r="B650" i="2"/>
  <c r="C650" i="2"/>
  <c r="B651" i="2"/>
  <c r="C651" i="2"/>
  <c r="B652" i="2"/>
  <c r="C652" i="2"/>
  <c r="B653" i="2"/>
  <c r="C653" i="2"/>
  <c r="B654" i="2"/>
  <c r="C654" i="2"/>
  <c r="B655" i="2"/>
  <c r="C655" i="2"/>
  <c r="B656" i="2"/>
  <c r="C656" i="2"/>
  <c r="B657" i="2"/>
  <c r="C657" i="2"/>
  <c r="B658" i="2"/>
  <c r="C658" i="2"/>
  <c r="B659" i="2"/>
  <c r="C659" i="2"/>
  <c r="B660" i="2"/>
  <c r="C660" i="2"/>
  <c r="B661" i="2"/>
  <c r="C661" i="2"/>
  <c r="B662" i="2"/>
  <c r="C662" i="2"/>
  <c r="B663" i="2"/>
  <c r="C663" i="2"/>
  <c r="B664" i="2"/>
  <c r="C664" i="2"/>
  <c r="B665" i="2"/>
  <c r="C665" i="2"/>
  <c r="B666" i="2"/>
  <c r="C666" i="2"/>
  <c r="B667" i="2"/>
  <c r="C667" i="2"/>
  <c r="B668" i="2"/>
  <c r="C668" i="2"/>
  <c r="B669" i="2"/>
  <c r="C669" i="2"/>
  <c r="B670" i="2"/>
  <c r="C670" i="2"/>
  <c r="B671" i="2"/>
  <c r="C671" i="2"/>
  <c r="B672" i="2"/>
  <c r="C672" i="2"/>
  <c r="B673" i="2"/>
  <c r="C673" i="2"/>
  <c r="B674" i="2"/>
  <c r="C674" i="2"/>
  <c r="B675" i="2"/>
  <c r="C675" i="2"/>
  <c r="B676" i="2"/>
  <c r="C676" i="2"/>
  <c r="B677" i="2"/>
  <c r="C677" i="2"/>
  <c r="B678" i="2"/>
  <c r="C678" i="2"/>
  <c r="B679" i="2"/>
  <c r="C679" i="2"/>
  <c r="B680" i="2"/>
  <c r="C680" i="2"/>
  <c r="B681" i="2"/>
  <c r="C681" i="2"/>
  <c r="B682" i="2"/>
  <c r="C682" i="2"/>
  <c r="B683" i="2"/>
  <c r="C683" i="2"/>
  <c r="B684" i="2"/>
  <c r="C684" i="2"/>
  <c r="B685" i="2"/>
  <c r="C685" i="2"/>
  <c r="B686" i="2"/>
  <c r="C686" i="2"/>
  <c r="B687" i="2"/>
  <c r="C687" i="2"/>
  <c r="B688" i="2"/>
  <c r="C688" i="2"/>
  <c r="B689" i="2"/>
  <c r="C689" i="2"/>
  <c r="B690" i="2"/>
  <c r="C690" i="2"/>
  <c r="B691" i="2"/>
  <c r="C691" i="2"/>
  <c r="B692" i="2"/>
  <c r="C692" i="2"/>
  <c r="B693" i="2"/>
  <c r="C693" i="2"/>
  <c r="B694" i="2"/>
  <c r="C694" i="2"/>
  <c r="B695" i="2"/>
  <c r="C695" i="2"/>
  <c r="B696" i="2"/>
  <c r="C696" i="2"/>
  <c r="B697" i="2"/>
  <c r="C697" i="2"/>
  <c r="B698" i="2"/>
  <c r="C698" i="2"/>
  <c r="B699" i="2"/>
  <c r="C699" i="2"/>
  <c r="B700" i="2"/>
  <c r="C700" i="2"/>
  <c r="B701" i="2"/>
  <c r="C701" i="2"/>
  <c r="B702" i="2"/>
  <c r="C702" i="2"/>
  <c r="B703" i="2"/>
  <c r="C703" i="2"/>
  <c r="B704" i="2"/>
  <c r="C704" i="2"/>
  <c r="B705" i="2"/>
  <c r="C705" i="2"/>
  <c r="B706" i="2"/>
  <c r="C706" i="2"/>
  <c r="B707" i="2"/>
  <c r="C707" i="2"/>
  <c r="B708" i="2"/>
  <c r="C708" i="2"/>
  <c r="B709" i="2"/>
  <c r="C709" i="2"/>
  <c r="B710" i="2"/>
  <c r="C710" i="2"/>
  <c r="B711" i="2"/>
  <c r="C711" i="2"/>
  <c r="B712" i="2"/>
  <c r="C712" i="2"/>
  <c r="B713" i="2"/>
  <c r="C713" i="2"/>
  <c r="B714" i="2"/>
  <c r="C714" i="2"/>
  <c r="B715" i="2"/>
  <c r="C715" i="2"/>
  <c r="B716" i="2"/>
  <c r="C716" i="2"/>
  <c r="B717" i="2"/>
  <c r="C717" i="2"/>
  <c r="B718" i="2"/>
  <c r="C718" i="2"/>
  <c r="B719" i="2"/>
  <c r="C719" i="2"/>
  <c r="B720" i="2"/>
  <c r="C720" i="2"/>
  <c r="B721" i="2"/>
  <c r="C721" i="2"/>
  <c r="B722" i="2"/>
  <c r="C722" i="2"/>
  <c r="B723" i="2"/>
  <c r="C723" i="2"/>
  <c r="B724" i="2"/>
  <c r="C724" i="2"/>
  <c r="B725" i="2"/>
  <c r="C725" i="2"/>
  <c r="B726" i="2"/>
  <c r="C726" i="2"/>
  <c r="B727" i="2"/>
  <c r="C727" i="2"/>
  <c r="B728" i="2"/>
  <c r="C728" i="2"/>
  <c r="B729" i="2"/>
  <c r="C729" i="2"/>
  <c r="B730" i="2"/>
  <c r="C730" i="2"/>
  <c r="B731" i="2"/>
  <c r="C731" i="2"/>
  <c r="B732" i="2"/>
  <c r="C732" i="2"/>
  <c r="B733" i="2"/>
  <c r="C733" i="2"/>
  <c r="B734" i="2"/>
  <c r="C734" i="2"/>
  <c r="B735" i="2"/>
  <c r="C735" i="2"/>
  <c r="B736" i="2"/>
  <c r="C736" i="2"/>
  <c r="B737" i="2"/>
  <c r="C737" i="2"/>
  <c r="B738" i="2"/>
  <c r="C738" i="2"/>
  <c r="B739" i="2"/>
  <c r="C739" i="2"/>
  <c r="B740" i="2"/>
  <c r="C740" i="2"/>
  <c r="B741" i="2"/>
  <c r="C741" i="2"/>
  <c r="B742" i="2"/>
  <c r="C742" i="2"/>
  <c r="B743" i="2"/>
  <c r="C743" i="2"/>
  <c r="B744" i="2"/>
  <c r="C744" i="2"/>
  <c r="B745" i="2"/>
  <c r="C745" i="2"/>
  <c r="B746" i="2"/>
  <c r="C746" i="2"/>
  <c r="B747" i="2"/>
  <c r="C747" i="2"/>
  <c r="B748" i="2"/>
  <c r="C748" i="2"/>
  <c r="B749" i="2"/>
  <c r="C749" i="2"/>
  <c r="B750" i="2"/>
  <c r="C750" i="2"/>
  <c r="B751" i="2"/>
  <c r="C751" i="2"/>
  <c r="B752" i="2"/>
  <c r="C752" i="2"/>
  <c r="B753" i="2"/>
  <c r="C753" i="2"/>
  <c r="B754" i="2"/>
  <c r="C754" i="2"/>
  <c r="B755" i="2"/>
  <c r="C755" i="2"/>
  <c r="B756" i="2"/>
  <c r="C756" i="2"/>
  <c r="B757" i="2"/>
  <c r="C757" i="2"/>
  <c r="B758" i="2"/>
  <c r="C758" i="2"/>
  <c r="B759" i="2"/>
  <c r="C759" i="2"/>
  <c r="B760" i="2"/>
  <c r="C760" i="2"/>
  <c r="B761" i="2"/>
  <c r="C761" i="2"/>
  <c r="B762" i="2"/>
  <c r="C762" i="2"/>
  <c r="B763" i="2"/>
  <c r="C763" i="2"/>
  <c r="B764" i="2"/>
  <c r="C764" i="2"/>
  <c r="B765" i="2"/>
  <c r="C765" i="2"/>
  <c r="B766" i="2"/>
  <c r="C766" i="2"/>
  <c r="B767" i="2"/>
  <c r="C767" i="2"/>
  <c r="B768" i="2"/>
  <c r="C768" i="2"/>
  <c r="B769" i="2"/>
  <c r="C769" i="2"/>
  <c r="B770" i="2"/>
  <c r="C770" i="2"/>
  <c r="B771" i="2"/>
  <c r="C771" i="2"/>
  <c r="B772" i="2"/>
  <c r="C772" i="2"/>
  <c r="B773" i="2"/>
  <c r="C773" i="2"/>
  <c r="B774" i="2"/>
  <c r="C774" i="2"/>
  <c r="B775" i="2"/>
  <c r="C775" i="2"/>
  <c r="B776" i="2"/>
  <c r="C776" i="2"/>
  <c r="B777" i="2"/>
  <c r="C777" i="2"/>
  <c r="B778" i="2"/>
  <c r="C778" i="2"/>
  <c r="B779" i="2"/>
  <c r="C779" i="2"/>
  <c r="B780" i="2"/>
  <c r="C780" i="2"/>
  <c r="B781" i="2"/>
  <c r="C781" i="2"/>
  <c r="B782" i="2"/>
  <c r="C782" i="2"/>
  <c r="B783" i="2"/>
  <c r="C783" i="2"/>
  <c r="B784" i="2"/>
  <c r="C784" i="2"/>
  <c r="B785" i="2"/>
  <c r="C785" i="2"/>
  <c r="B786" i="2"/>
  <c r="C786" i="2"/>
  <c r="B787" i="2"/>
  <c r="C787" i="2"/>
  <c r="B788" i="2"/>
  <c r="C788" i="2"/>
  <c r="B789" i="2"/>
  <c r="C789" i="2"/>
  <c r="B790" i="2"/>
  <c r="C790" i="2"/>
  <c r="B791" i="2"/>
  <c r="C791" i="2"/>
  <c r="B792" i="2"/>
  <c r="C792" i="2"/>
  <c r="B793" i="2"/>
  <c r="C793" i="2"/>
  <c r="B794" i="2"/>
  <c r="C794" i="2"/>
  <c r="B795" i="2"/>
  <c r="C795" i="2"/>
  <c r="B796" i="2"/>
  <c r="C796" i="2"/>
  <c r="B797" i="2"/>
  <c r="C797" i="2"/>
  <c r="B798" i="2"/>
  <c r="C798" i="2"/>
  <c r="B799" i="2"/>
  <c r="C799" i="2"/>
  <c r="B800" i="2"/>
  <c r="C800" i="2"/>
  <c r="B801" i="2"/>
  <c r="C801" i="2"/>
  <c r="B802" i="2"/>
  <c r="C802" i="2"/>
  <c r="B803" i="2"/>
  <c r="C803" i="2"/>
  <c r="B804" i="2"/>
  <c r="C804" i="2"/>
  <c r="B805" i="2"/>
  <c r="C805" i="2"/>
  <c r="B806" i="2"/>
  <c r="C806" i="2"/>
  <c r="B807" i="2"/>
  <c r="C807" i="2"/>
  <c r="B808" i="2"/>
  <c r="C808" i="2"/>
  <c r="B809" i="2"/>
  <c r="C809" i="2"/>
  <c r="B810" i="2"/>
  <c r="C810" i="2"/>
  <c r="B811" i="2"/>
  <c r="C811" i="2"/>
  <c r="B812" i="2"/>
  <c r="C812" i="2"/>
  <c r="B813" i="2"/>
  <c r="C813" i="2"/>
  <c r="B814" i="2"/>
  <c r="C814" i="2"/>
  <c r="B815" i="2"/>
  <c r="C815" i="2"/>
  <c r="B816" i="2"/>
  <c r="C816" i="2"/>
  <c r="B817" i="2"/>
  <c r="C817" i="2"/>
  <c r="B818" i="2"/>
  <c r="C818" i="2"/>
  <c r="B819" i="2"/>
  <c r="C819" i="2"/>
  <c r="B820" i="2"/>
  <c r="C820" i="2"/>
  <c r="B821" i="2"/>
  <c r="C821" i="2"/>
  <c r="B822" i="2"/>
  <c r="C822" i="2"/>
  <c r="B823" i="2"/>
  <c r="C823" i="2"/>
  <c r="B824" i="2"/>
  <c r="C824" i="2"/>
  <c r="B825" i="2"/>
  <c r="C825" i="2"/>
  <c r="B826" i="2"/>
  <c r="C826" i="2"/>
  <c r="B827" i="2"/>
  <c r="C827" i="2"/>
  <c r="B828" i="2"/>
  <c r="C828" i="2"/>
  <c r="B829" i="2"/>
  <c r="C829" i="2"/>
  <c r="B830" i="2"/>
  <c r="C830" i="2"/>
  <c r="B831" i="2"/>
  <c r="C831" i="2"/>
  <c r="B832" i="2"/>
  <c r="C832" i="2"/>
  <c r="B833" i="2"/>
  <c r="C833" i="2"/>
  <c r="B834" i="2"/>
  <c r="C834" i="2"/>
  <c r="B835" i="2"/>
  <c r="C835" i="2"/>
  <c r="B836" i="2"/>
  <c r="C836" i="2"/>
  <c r="B837" i="2"/>
  <c r="C837" i="2"/>
  <c r="B838" i="2"/>
  <c r="C838" i="2"/>
  <c r="B839" i="2"/>
  <c r="C839" i="2"/>
  <c r="B840" i="2"/>
  <c r="C840" i="2"/>
  <c r="B841" i="2"/>
  <c r="C841" i="2"/>
  <c r="B842" i="2"/>
  <c r="C842" i="2"/>
  <c r="B843" i="2"/>
  <c r="C843" i="2"/>
  <c r="B844" i="2"/>
  <c r="C844" i="2"/>
  <c r="B845" i="2"/>
  <c r="C845" i="2"/>
  <c r="B846" i="2"/>
  <c r="C846" i="2"/>
  <c r="B847" i="2"/>
  <c r="C847" i="2"/>
  <c r="B848" i="2"/>
  <c r="C848" i="2"/>
  <c r="B849" i="2"/>
  <c r="C849" i="2"/>
  <c r="B850" i="2"/>
  <c r="C850" i="2"/>
  <c r="B851" i="2"/>
  <c r="C851" i="2"/>
  <c r="B852" i="2"/>
  <c r="C852" i="2"/>
  <c r="B853" i="2"/>
  <c r="C853" i="2"/>
  <c r="B854" i="2"/>
  <c r="C854" i="2"/>
  <c r="B855" i="2"/>
  <c r="C855" i="2"/>
  <c r="B856" i="2"/>
  <c r="C856" i="2"/>
  <c r="B857" i="2"/>
  <c r="C857" i="2"/>
  <c r="B858" i="2"/>
  <c r="C858" i="2"/>
  <c r="B859" i="2"/>
  <c r="C859" i="2"/>
  <c r="B860" i="2"/>
  <c r="C860" i="2"/>
  <c r="B861" i="2"/>
  <c r="C861" i="2"/>
  <c r="B862" i="2"/>
  <c r="C862" i="2"/>
  <c r="B863" i="2"/>
  <c r="C863" i="2"/>
  <c r="B864" i="2"/>
  <c r="C864" i="2"/>
  <c r="B865" i="2"/>
  <c r="C865" i="2"/>
  <c r="B866" i="2"/>
  <c r="C866" i="2"/>
  <c r="B867" i="2"/>
  <c r="C867" i="2"/>
  <c r="B868" i="2"/>
  <c r="C868" i="2"/>
  <c r="B869" i="2"/>
  <c r="C869" i="2"/>
  <c r="B870" i="2"/>
  <c r="C870" i="2"/>
  <c r="B871" i="2"/>
  <c r="C871" i="2"/>
  <c r="B872" i="2"/>
  <c r="C872" i="2"/>
  <c r="B873" i="2"/>
  <c r="C873" i="2"/>
  <c r="B874" i="2"/>
  <c r="C874" i="2"/>
  <c r="B875" i="2"/>
  <c r="C875" i="2"/>
  <c r="B876" i="2"/>
  <c r="C876" i="2"/>
  <c r="B877" i="2"/>
  <c r="C877" i="2"/>
  <c r="B878" i="2"/>
  <c r="C878" i="2"/>
  <c r="B879" i="2"/>
  <c r="C879" i="2"/>
  <c r="B880" i="2"/>
  <c r="C880" i="2"/>
  <c r="B881" i="2"/>
  <c r="C881" i="2"/>
  <c r="B882" i="2"/>
  <c r="C882" i="2"/>
  <c r="B883" i="2"/>
  <c r="C883" i="2"/>
  <c r="B884" i="2"/>
  <c r="C884" i="2"/>
  <c r="B885" i="2"/>
  <c r="C885" i="2"/>
  <c r="B886" i="2"/>
  <c r="C886" i="2"/>
  <c r="B887" i="2"/>
  <c r="C887" i="2"/>
  <c r="B888" i="2"/>
  <c r="C888" i="2"/>
  <c r="B889" i="2"/>
  <c r="C889" i="2"/>
  <c r="B890" i="2"/>
  <c r="C890" i="2"/>
  <c r="B891" i="2"/>
  <c r="C891" i="2"/>
  <c r="B892" i="2"/>
  <c r="C892" i="2"/>
  <c r="B893" i="2"/>
  <c r="C893" i="2"/>
  <c r="B894" i="2"/>
  <c r="C894" i="2"/>
  <c r="B895" i="2"/>
  <c r="C895" i="2"/>
  <c r="B896" i="2"/>
  <c r="C896" i="2"/>
  <c r="B897" i="2"/>
  <c r="C897" i="2"/>
  <c r="B898" i="2"/>
  <c r="C898" i="2"/>
  <c r="B899" i="2"/>
  <c r="C899" i="2"/>
  <c r="B900" i="2"/>
  <c r="C900" i="2"/>
  <c r="B901" i="2"/>
  <c r="C901" i="2"/>
  <c r="B902" i="2"/>
  <c r="C902" i="2"/>
  <c r="B903" i="2"/>
  <c r="C903" i="2"/>
  <c r="B904" i="2"/>
  <c r="C904" i="2"/>
  <c r="B905" i="2"/>
  <c r="C905" i="2"/>
  <c r="B906" i="2"/>
  <c r="C906" i="2"/>
  <c r="B907" i="2"/>
  <c r="C907" i="2"/>
  <c r="B908" i="2"/>
  <c r="C908" i="2"/>
  <c r="B909" i="2"/>
  <c r="C909" i="2"/>
  <c r="B910" i="2"/>
  <c r="C910" i="2"/>
  <c r="B911" i="2"/>
  <c r="C911" i="2"/>
  <c r="B912" i="2"/>
  <c r="C912" i="2"/>
  <c r="B913" i="2"/>
  <c r="C913" i="2"/>
  <c r="B914" i="2"/>
  <c r="C914" i="2"/>
  <c r="B915" i="2"/>
  <c r="C915" i="2"/>
  <c r="B916" i="2"/>
  <c r="C916" i="2"/>
  <c r="B917" i="2"/>
  <c r="C917" i="2"/>
  <c r="B918" i="2"/>
  <c r="C918" i="2"/>
  <c r="B919" i="2"/>
  <c r="C919" i="2"/>
  <c r="B920" i="2"/>
  <c r="C920" i="2"/>
  <c r="B921" i="2"/>
  <c r="C921" i="2"/>
  <c r="B922" i="2"/>
  <c r="C922" i="2"/>
  <c r="B923" i="2"/>
  <c r="C923" i="2"/>
  <c r="B924" i="2"/>
  <c r="C924" i="2"/>
  <c r="B925" i="2"/>
  <c r="C925" i="2"/>
  <c r="B926" i="2"/>
  <c r="C926" i="2"/>
  <c r="B927" i="2"/>
  <c r="C927" i="2"/>
  <c r="B928" i="2"/>
  <c r="C928" i="2"/>
  <c r="B929" i="2"/>
  <c r="C929" i="2"/>
  <c r="B930" i="2"/>
  <c r="C930" i="2"/>
  <c r="B931" i="2"/>
  <c r="C931" i="2"/>
  <c r="B932" i="2"/>
  <c r="C932" i="2"/>
  <c r="B933" i="2"/>
  <c r="C933" i="2"/>
  <c r="B934" i="2"/>
  <c r="C934" i="2"/>
  <c r="B935" i="2"/>
  <c r="C935" i="2"/>
  <c r="B936" i="2"/>
  <c r="C936" i="2"/>
  <c r="B937" i="2"/>
  <c r="C937" i="2"/>
  <c r="B938" i="2"/>
  <c r="C938" i="2"/>
  <c r="B939" i="2"/>
  <c r="C939" i="2"/>
  <c r="B940" i="2"/>
  <c r="C940" i="2"/>
  <c r="B941" i="2"/>
  <c r="C941" i="2"/>
  <c r="B942" i="2"/>
  <c r="C942" i="2"/>
  <c r="B943" i="2"/>
  <c r="C943" i="2"/>
  <c r="B944" i="2"/>
  <c r="C944" i="2"/>
  <c r="B945" i="2"/>
  <c r="C945" i="2"/>
  <c r="B946" i="2"/>
  <c r="C946" i="2"/>
  <c r="B947" i="2"/>
  <c r="C947" i="2"/>
  <c r="B948" i="2"/>
  <c r="C948" i="2"/>
  <c r="B949" i="2"/>
  <c r="C949" i="2"/>
  <c r="B950" i="2"/>
  <c r="C950" i="2"/>
  <c r="B951" i="2"/>
  <c r="C951" i="2"/>
  <c r="B952" i="2"/>
  <c r="C952" i="2"/>
  <c r="B953" i="2"/>
  <c r="C953" i="2"/>
  <c r="B954" i="2"/>
  <c r="C954" i="2"/>
  <c r="B955" i="2"/>
  <c r="C955" i="2"/>
  <c r="B956" i="2"/>
  <c r="C956" i="2"/>
  <c r="B957" i="2"/>
  <c r="C957" i="2"/>
  <c r="B958" i="2"/>
  <c r="C958" i="2"/>
  <c r="B959" i="2"/>
  <c r="C959" i="2"/>
  <c r="B960" i="2"/>
  <c r="C960" i="2"/>
  <c r="B961" i="2"/>
  <c r="C961" i="2"/>
  <c r="B962" i="2"/>
  <c r="C962" i="2"/>
  <c r="B963" i="2"/>
  <c r="C963" i="2"/>
  <c r="B964" i="2"/>
  <c r="C964" i="2"/>
  <c r="B965" i="2"/>
  <c r="C965" i="2"/>
  <c r="B966" i="2"/>
  <c r="C966" i="2"/>
  <c r="B967" i="2"/>
  <c r="C967" i="2"/>
  <c r="B968" i="2"/>
  <c r="C968" i="2"/>
  <c r="B969" i="2"/>
  <c r="C969" i="2"/>
  <c r="B970" i="2"/>
  <c r="C970" i="2"/>
  <c r="B971" i="2"/>
  <c r="C971" i="2"/>
  <c r="B972" i="2"/>
  <c r="C972" i="2"/>
  <c r="B973" i="2"/>
  <c r="C973" i="2"/>
  <c r="B974" i="2"/>
  <c r="C974" i="2"/>
  <c r="B975" i="2"/>
  <c r="C975" i="2"/>
  <c r="B976" i="2"/>
  <c r="C976" i="2"/>
  <c r="B977" i="2"/>
  <c r="C977" i="2"/>
  <c r="B978" i="2"/>
  <c r="C978" i="2"/>
  <c r="B979" i="2"/>
  <c r="C979" i="2"/>
  <c r="B980" i="2"/>
  <c r="C980" i="2"/>
  <c r="B981" i="2"/>
  <c r="C981" i="2"/>
  <c r="B982" i="2"/>
  <c r="C982" i="2"/>
  <c r="B983" i="2"/>
  <c r="C983" i="2"/>
  <c r="B984" i="2"/>
  <c r="C984" i="2"/>
  <c r="B985" i="2"/>
  <c r="C985" i="2"/>
  <c r="B986" i="2"/>
  <c r="C986" i="2"/>
  <c r="B987" i="2"/>
  <c r="C987" i="2"/>
  <c r="B988" i="2"/>
  <c r="C988" i="2"/>
  <c r="B989" i="2"/>
  <c r="C989" i="2"/>
  <c r="B990" i="2"/>
  <c r="C990" i="2"/>
  <c r="B991" i="2"/>
  <c r="C991" i="2"/>
  <c r="B992" i="2"/>
  <c r="C992" i="2"/>
  <c r="B993" i="2"/>
  <c r="C993" i="2"/>
  <c r="B994" i="2"/>
  <c r="C994" i="2"/>
  <c r="B995" i="2"/>
  <c r="C995" i="2"/>
  <c r="B996" i="2"/>
  <c r="C996" i="2"/>
  <c r="B997" i="2"/>
  <c r="C997" i="2"/>
  <c r="B998" i="2"/>
  <c r="C998" i="2"/>
  <c r="B999" i="2"/>
  <c r="C999" i="2"/>
  <c r="B1000" i="2"/>
  <c r="C1000" i="2"/>
  <c r="B1001" i="2"/>
  <c r="C1001" i="2"/>
  <c r="B1002" i="2"/>
  <c r="C1002" i="2"/>
  <c r="B302" i="2"/>
  <c r="C302" i="2"/>
  <c r="B303" i="2"/>
  <c r="C303" i="2"/>
  <c r="B304" i="2"/>
  <c r="C304" i="2"/>
  <c r="B305" i="2"/>
  <c r="C305" i="2"/>
  <c r="B306" i="2"/>
  <c r="C306" i="2"/>
  <c r="B307" i="2"/>
  <c r="C307" i="2"/>
  <c r="B308" i="2"/>
  <c r="C308" i="2"/>
  <c r="B309" i="2"/>
  <c r="C309" i="2"/>
  <c r="B310" i="2"/>
  <c r="C310" i="2"/>
  <c r="B311" i="2"/>
  <c r="C311" i="2"/>
  <c r="B312" i="2"/>
  <c r="C312" i="2"/>
  <c r="B313" i="2"/>
  <c r="C313" i="2"/>
  <c r="B314" i="2"/>
  <c r="C314" i="2"/>
  <c r="B315" i="2"/>
  <c r="C315" i="2"/>
  <c r="B316" i="2"/>
  <c r="C316" i="2"/>
  <c r="B317" i="2"/>
  <c r="C317" i="2"/>
  <c r="B318" i="2"/>
  <c r="C318" i="2"/>
  <c r="B319" i="2"/>
  <c r="C319" i="2"/>
  <c r="B320" i="2"/>
  <c r="C320" i="2"/>
  <c r="B321" i="2"/>
  <c r="C321" i="2"/>
  <c r="B322" i="2"/>
  <c r="C322" i="2"/>
  <c r="B323" i="2"/>
  <c r="C323" i="2"/>
  <c r="B324" i="2"/>
  <c r="C324" i="2"/>
  <c r="B325" i="2"/>
  <c r="C325" i="2"/>
  <c r="B326" i="2"/>
  <c r="C326" i="2"/>
  <c r="B327" i="2"/>
  <c r="C327" i="2"/>
  <c r="B328" i="2"/>
  <c r="C328" i="2"/>
  <c r="B329" i="2"/>
  <c r="C329" i="2"/>
  <c r="B330" i="2"/>
  <c r="C330" i="2"/>
  <c r="B331" i="2"/>
  <c r="C331" i="2"/>
  <c r="B332" i="2"/>
  <c r="C332" i="2"/>
  <c r="B333" i="2"/>
  <c r="C333" i="2"/>
  <c r="B334" i="2"/>
  <c r="C334" i="2"/>
  <c r="B335" i="2"/>
  <c r="C335" i="2"/>
  <c r="B336" i="2"/>
  <c r="C336" i="2"/>
  <c r="B337" i="2"/>
  <c r="C337" i="2"/>
  <c r="B338" i="2"/>
  <c r="C338" i="2"/>
  <c r="B339" i="2"/>
  <c r="C339" i="2"/>
  <c r="B340" i="2"/>
  <c r="C340" i="2"/>
  <c r="B341" i="2"/>
  <c r="C341" i="2"/>
  <c r="B342" i="2"/>
  <c r="C342" i="2"/>
  <c r="B343" i="2"/>
  <c r="C343" i="2"/>
  <c r="B344" i="2"/>
  <c r="C344" i="2"/>
  <c r="B345" i="2"/>
  <c r="C345" i="2"/>
  <c r="B346" i="2"/>
  <c r="C346" i="2"/>
  <c r="B347" i="2"/>
  <c r="C347" i="2"/>
  <c r="B348" i="2"/>
  <c r="C348" i="2"/>
  <c r="B349" i="2"/>
  <c r="C349" i="2"/>
  <c r="B350" i="2"/>
  <c r="C350" i="2"/>
  <c r="B351" i="2"/>
  <c r="C351" i="2"/>
  <c r="B352" i="2"/>
  <c r="C352" i="2"/>
  <c r="B353" i="2"/>
  <c r="C353" i="2"/>
  <c r="B354" i="2"/>
  <c r="C354" i="2"/>
  <c r="B355" i="2"/>
  <c r="C355" i="2"/>
  <c r="B356" i="2"/>
  <c r="C356" i="2"/>
  <c r="B357" i="2"/>
  <c r="C357" i="2"/>
  <c r="B358" i="2"/>
  <c r="C358" i="2"/>
  <c r="B359" i="2"/>
  <c r="C359" i="2"/>
  <c r="B360" i="2"/>
  <c r="C360" i="2"/>
  <c r="B361" i="2"/>
  <c r="C361" i="2"/>
  <c r="B362" i="2"/>
  <c r="C362" i="2"/>
  <c r="B363" i="2"/>
  <c r="C363" i="2"/>
  <c r="B364" i="2"/>
  <c r="C364" i="2"/>
  <c r="B365" i="2"/>
  <c r="C365" i="2"/>
  <c r="B366" i="2"/>
  <c r="C366" i="2"/>
  <c r="B367" i="2"/>
  <c r="C367" i="2"/>
  <c r="B368" i="2"/>
  <c r="C368" i="2"/>
  <c r="B369" i="2"/>
  <c r="C369" i="2"/>
  <c r="B370" i="2"/>
  <c r="C370" i="2"/>
  <c r="B371" i="2"/>
  <c r="C371" i="2"/>
  <c r="B372" i="2"/>
  <c r="C372" i="2"/>
  <c r="B373" i="2"/>
  <c r="C373" i="2"/>
  <c r="B374" i="2"/>
  <c r="C374" i="2"/>
  <c r="B375" i="2"/>
  <c r="C375" i="2"/>
  <c r="B376" i="2"/>
  <c r="C376" i="2"/>
  <c r="B377" i="2"/>
  <c r="C377" i="2"/>
  <c r="B378" i="2"/>
  <c r="C378" i="2"/>
  <c r="B379" i="2"/>
  <c r="C379" i="2"/>
  <c r="B380" i="2"/>
  <c r="C380" i="2"/>
  <c r="B381" i="2"/>
  <c r="C381" i="2"/>
  <c r="B382" i="2"/>
  <c r="C382" i="2"/>
  <c r="B383" i="2"/>
  <c r="C383" i="2"/>
  <c r="B384" i="2"/>
  <c r="C384" i="2"/>
  <c r="B385" i="2"/>
  <c r="C385" i="2"/>
  <c r="B386" i="2"/>
  <c r="C386" i="2"/>
  <c r="B387" i="2"/>
  <c r="C387" i="2"/>
  <c r="B388" i="2"/>
  <c r="C388" i="2"/>
  <c r="B389" i="2"/>
  <c r="C389" i="2"/>
  <c r="B390" i="2"/>
  <c r="C390" i="2"/>
  <c r="B391" i="2"/>
  <c r="C391" i="2"/>
  <c r="B392" i="2"/>
  <c r="C392" i="2"/>
  <c r="B393" i="2"/>
  <c r="C393" i="2"/>
  <c r="B394" i="2"/>
  <c r="C394" i="2"/>
  <c r="B395" i="2"/>
  <c r="C395" i="2"/>
  <c r="B396" i="2"/>
  <c r="C396" i="2"/>
  <c r="B397" i="2"/>
  <c r="C397" i="2"/>
  <c r="B398" i="2"/>
  <c r="C398" i="2"/>
  <c r="B399" i="2"/>
  <c r="C399" i="2"/>
  <c r="B400" i="2"/>
  <c r="C400" i="2"/>
  <c r="B401" i="2"/>
  <c r="C401" i="2"/>
  <c r="B402" i="2"/>
  <c r="C402" i="2"/>
  <c r="B403" i="2"/>
  <c r="C403" i="2"/>
  <c r="B404" i="2"/>
  <c r="C404" i="2"/>
  <c r="B405" i="2"/>
  <c r="C405" i="2"/>
  <c r="B406" i="2"/>
  <c r="C406" i="2"/>
  <c r="B407" i="2"/>
  <c r="C407" i="2"/>
  <c r="B408" i="2"/>
  <c r="C408" i="2"/>
  <c r="B409" i="2"/>
  <c r="C409" i="2"/>
  <c r="B410" i="2"/>
  <c r="C410" i="2"/>
  <c r="B411" i="2"/>
  <c r="C411" i="2"/>
  <c r="B412" i="2"/>
  <c r="C412" i="2"/>
  <c r="B413" i="2"/>
  <c r="C413" i="2"/>
  <c r="B414" i="2"/>
  <c r="C414" i="2"/>
  <c r="B415" i="2"/>
  <c r="C415" i="2"/>
  <c r="B416" i="2"/>
  <c r="C416" i="2"/>
  <c r="B417" i="2"/>
  <c r="C417" i="2"/>
  <c r="B418" i="2"/>
  <c r="C418" i="2"/>
  <c r="B419" i="2"/>
  <c r="C419" i="2"/>
  <c r="B420" i="2"/>
  <c r="C420" i="2"/>
  <c r="B421" i="2"/>
  <c r="C421" i="2"/>
  <c r="B422" i="2"/>
  <c r="C422" i="2"/>
  <c r="B423" i="2"/>
  <c r="C423" i="2"/>
  <c r="B424" i="2"/>
  <c r="C424" i="2"/>
  <c r="B425" i="2"/>
  <c r="C425" i="2"/>
  <c r="B426" i="2"/>
  <c r="C426" i="2"/>
  <c r="B427" i="2"/>
  <c r="C427" i="2"/>
  <c r="B428" i="2"/>
  <c r="C428" i="2"/>
  <c r="B429" i="2"/>
  <c r="C429" i="2"/>
  <c r="B430" i="2"/>
  <c r="C430" i="2"/>
  <c r="B431" i="2"/>
  <c r="C431" i="2"/>
  <c r="B432" i="2"/>
  <c r="C432" i="2"/>
  <c r="B433" i="2"/>
  <c r="C433" i="2"/>
  <c r="B434" i="2"/>
  <c r="C434" i="2"/>
  <c r="B435" i="2"/>
  <c r="C435" i="2"/>
  <c r="B436" i="2"/>
  <c r="C436" i="2"/>
  <c r="B437" i="2"/>
  <c r="C437" i="2"/>
  <c r="B438" i="2"/>
  <c r="C438" i="2"/>
  <c r="B439" i="2"/>
  <c r="C439" i="2"/>
  <c r="B440" i="2"/>
  <c r="C440" i="2"/>
  <c r="B441" i="2"/>
  <c r="C441" i="2"/>
  <c r="B442" i="2"/>
  <c r="C442" i="2"/>
  <c r="B443" i="2"/>
  <c r="C443" i="2"/>
  <c r="B444" i="2"/>
  <c r="C444" i="2"/>
  <c r="B445" i="2"/>
  <c r="C445" i="2"/>
  <c r="B446" i="2"/>
  <c r="C446" i="2"/>
  <c r="B447" i="2"/>
  <c r="C447" i="2"/>
  <c r="B448" i="2"/>
  <c r="C448" i="2"/>
  <c r="B449" i="2"/>
  <c r="C449" i="2"/>
  <c r="B450" i="2"/>
  <c r="C450" i="2"/>
  <c r="B451" i="2"/>
  <c r="C451" i="2"/>
  <c r="B452" i="2"/>
  <c r="C452" i="2"/>
  <c r="B453" i="2"/>
  <c r="C453" i="2"/>
  <c r="B454" i="2"/>
  <c r="C454" i="2"/>
  <c r="B455" i="2"/>
  <c r="C455" i="2"/>
  <c r="B456" i="2"/>
  <c r="C456" i="2"/>
  <c r="B457" i="2"/>
  <c r="C457" i="2"/>
  <c r="B458" i="2"/>
  <c r="C458" i="2"/>
  <c r="B459" i="2"/>
  <c r="C459" i="2"/>
  <c r="B460" i="2"/>
  <c r="C460" i="2"/>
  <c r="B461" i="2"/>
  <c r="C461" i="2"/>
  <c r="B462" i="2"/>
  <c r="C462" i="2"/>
  <c r="B463" i="2"/>
  <c r="C463" i="2"/>
  <c r="B464" i="2"/>
  <c r="C464" i="2"/>
  <c r="B465" i="2"/>
  <c r="C465" i="2"/>
  <c r="B466" i="2"/>
  <c r="C466" i="2"/>
  <c r="B467" i="2"/>
  <c r="C467" i="2"/>
  <c r="B468" i="2"/>
  <c r="C468" i="2"/>
  <c r="B469" i="2"/>
  <c r="C469" i="2"/>
  <c r="B470" i="2"/>
  <c r="C470" i="2"/>
  <c r="B471" i="2"/>
  <c r="C471" i="2"/>
  <c r="B472" i="2"/>
  <c r="C472" i="2"/>
  <c r="B473" i="2"/>
  <c r="C473" i="2"/>
  <c r="B474" i="2"/>
  <c r="C474" i="2"/>
  <c r="B475" i="2"/>
  <c r="C475" i="2"/>
  <c r="B476" i="2"/>
  <c r="C476" i="2"/>
  <c r="B477" i="2"/>
  <c r="C477" i="2"/>
  <c r="B478" i="2"/>
  <c r="C478" i="2"/>
  <c r="B479" i="2"/>
  <c r="C479" i="2"/>
  <c r="B480" i="2"/>
  <c r="C480" i="2"/>
  <c r="B481" i="2"/>
  <c r="C481" i="2"/>
  <c r="B482" i="2"/>
  <c r="C482" i="2"/>
  <c r="B483" i="2"/>
  <c r="C483" i="2"/>
  <c r="B484" i="2"/>
  <c r="C484" i="2"/>
  <c r="B485" i="2"/>
  <c r="C485" i="2"/>
  <c r="B486" i="2"/>
  <c r="C486" i="2"/>
  <c r="B487" i="2"/>
  <c r="C487" i="2"/>
  <c r="B488" i="2"/>
  <c r="C488" i="2"/>
  <c r="B489" i="2"/>
  <c r="C489" i="2"/>
  <c r="B490" i="2"/>
  <c r="C490" i="2"/>
  <c r="B491" i="2"/>
  <c r="C491" i="2"/>
  <c r="B492" i="2"/>
  <c r="C492" i="2"/>
  <c r="B493" i="2"/>
  <c r="C493" i="2"/>
  <c r="B494" i="2"/>
  <c r="C494" i="2"/>
  <c r="B495" i="2"/>
  <c r="C495" i="2"/>
  <c r="B496" i="2"/>
  <c r="C496" i="2"/>
  <c r="B497" i="2"/>
  <c r="C497" i="2"/>
  <c r="B498" i="2"/>
  <c r="C498" i="2"/>
  <c r="B499" i="2"/>
  <c r="C499" i="2"/>
  <c r="B500" i="2"/>
  <c r="C500" i="2"/>
  <c r="B501" i="2"/>
  <c r="C501" i="2"/>
  <c r="B502" i="2"/>
  <c r="C502" i="2"/>
  <c r="K12" i="3"/>
  <c r="J12" i="3"/>
  <c r="K11" i="3"/>
  <c r="J11" i="3"/>
  <c r="K10" i="3"/>
  <c r="J10" i="3"/>
  <c r="K9" i="3"/>
  <c r="J9" i="3"/>
  <c r="C301" i="2"/>
  <c r="B301" i="2"/>
  <c r="C300" i="2"/>
  <c r="B300" i="2"/>
  <c r="C299" i="2"/>
  <c r="B299" i="2"/>
  <c r="C298" i="2"/>
  <c r="B298" i="2"/>
  <c r="C297" i="2"/>
  <c r="B297" i="2"/>
  <c r="C296" i="2"/>
  <c r="B296" i="2"/>
  <c r="C295" i="2"/>
  <c r="B295" i="2"/>
  <c r="C294" i="2"/>
  <c r="B294" i="2"/>
  <c r="C293" i="2"/>
  <c r="B293" i="2"/>
  <c r="C292" i="2"/>
  <c r="B292" i="2"/>
  <c r="C291" i="2"/>
  <c r="B291" i="2"/>
  <c r="C290" i="2"/>
  <c r="B290" i="2"/>
  <c r="C289" i="2"/>
  <c r="B289" i="2"/>
  <c r="C288" i="2"/>
  <c r="B288" i="2"/>
  <c r="C287" i="2"/>
  <c r="B287" i="2"/>
  <c r="C286" i="2"/>
  <c r="B286" i="2"/>
  <c r="C285" i="2"/>
  <c r="B285" i="2"/>
  <c r="C284" i="2"/>
  <c r="B284" i="2"/>
  <c r="C283" i="2"/>
  <c r="B283" i="2"/>
  <c r="C282" i="2"/>
  <c r="B282" i="2"/>
  <c r="C281" i="2"/>
  <c r="B281" i="2"/>
  <c r="C280" i="2"/>
  <c r="B280" i="2"/>
  <c r="C279" i="2"/>
  <c r="B279" i="2"/>
  <c r="C278" i="2"/>
  <c r="B278" i="2"/>
  <c r="C277" i="2"/>
  <c r="B277" i="2"/>
  <c r="C276" i="2"/>
  <c r="B276" i="2"/>
  <c r="C275" i="2"/>
  <c r="B275" i="2"/>
  <c r="C274" i="2"/>
  <c r="B274" i="2"/>
  <c r="C273" i="2"/>
  <c r="B273" i="2"/>
  <c r="C272" i="2"/>
  <c r="B272" i="2"/>
  <c r="C271" i="2"/>
  <c r="B271" i="2"/>
  <c r="C270" i="2"/>
  <c r="B270" i="2"/>
  <c r="C269" i="2"/>
  <c r="B269" i="2"/>
  <c r="C268" i="2"/>
  <c r="B268" i="2"/>
  <c r="C267" i="2"/>
  <c r="B267" i="2"/>
  <c r="C266" i="2"/>
  <c r="B266" i="2"/>
  <c r="C265" i="2"/>
  <c r="B265" i="2"/>
  <c r="C264" i="2"/>
  <c r="B264" i="2"/>
  <c r="C263" i="2"/>
  <c r="B263" i="2"/>
  <c r="C262" i="2"/>
  <c r="B262" i="2"/>
  <c r="C261" i="2"/>
  <c r="B261" i="2"/>
  <c r="C260" i="2"/>
  <c r="B260" i="2"/>
  <c r="C259" i="2"/>
  <c r="B259" i="2"/>
  <c r="C258" i="2"/>
  <c r="B258" i="2"/>
  <c r="C257" i="2"/>
  <c r="B257" i="2"/>
  <c r="C256" i="2"/>
  <c r="B256" i="2"/>
  <c r="C255" i="2"/>
  <c r="B255" i="2"/>
  <c r="C254" i="2"/>
  <c r="B254" i="2"/>
  <c r="C253" i="2"/>
  <c r="B253" i="2"/>
  <c r="C252" i="2"/>
  <c r="B252" i="2"/>
  <c r="C251" i="2"/>
  <c r="B251" i="2"/>
  <c r="C250" i="2"/>
  <c r="B250" i="2"/>
  <c r="C249" i="2"/>
  <c r="B249" i="2"/>
  <c r="C248" i="2"/>
  <c r="B248" i="2"/>
  <c r="C247" i="2"/>
  <c r="B247" i="2"/>
  <c r="C246" i="2"/>
  <c r="B246" i="2"/>
  <c r="C245" i="2"/>
  <c r="B245" i="2"/>
  <c r="C244" i="2"/>
  <c r="B244" i="2"/>
  <c r="C243" i="2"/>
  <c r="B243" i="2"/>
  <c r="C242" i="2"/>
  <c r="B242" i="2"/>
  <c r="C241" i="2"/>
  <c r="B241" i="2"/>
  <c r="C240" i="2"/>
  <c r="B240" i="2"/>
  <c r="C239" i="2"/>
  <c r="B239" i="2"/>
  <c r="C238" i="2"/>
  <c r="B238" i="2"/>
  <c r="C237" i="2"/>
  <c r="B237" i="2"/>
  <c r="C236" i="2"/>
  <c r="B236" i="2"/>
  <c r="C235" i="2"/>
  <c r="B235" i="2"/>
  <c r="C234" i="2"/>
  <c r="B234" i="2"/>
  <c r="C233" i="2"/>
  <c r="B233" i="2"/>
  <c r="C232" i="2"/>
  <c r="B232" i="2"/>
  <c r="C231" i="2"/>
  <c r="B231" i="2"/>
  <c r="C230" i="2"/>
  <c r="B230" i="2"/>
  <c r="C229" i="2"/>
  <c r="B229" i="2"/>
  <c r="C228" i="2"/>
  <c r="B228" i="2"/>
  <c r="C227" i="2"/>
  <c r="B227" i="2"/>
  <c r="C226" i="2"/>
  <c r="B226" i="2"/>
  <c r="C225" i="2"/>
  <c r="B225" i="2"/>
  <c r="C224" i="2"/>
  <c r="B224" i="2"/>
  <c r="C223" i="2"/>
  <c r="B223" i="2"/>
  <c r="C222" i="2"/>
  <c r="B222" i="2"/>
  <c r="C221" i="2"/>
  <c r="B221" i="2"/>
  <c r="C220" i="2"/>
  <c r="B220" i="2"/>
  <c r="C219" i="2"/>
  <c r="B219" i="2"/>
  <c r="C218" i="2"/>
  <c r="B218" i="2"/>
  <c r="C217" i="2"/>
  <c r="B217" i="2"/>
  <c r="C216" i="2"/>
  <c r="B216" i="2"/>
  <c r="C215" i="2"/>
  <c r="B215" i="2"/>
  <c r="C214" i="2"/>
  <c r="B214" i="2"/>
  <c r="C213" i="2"/>
  <c r="B213" i="2"/>
  <c r="C212" i="2"/>
  <c r="B212" i="2"/>
  <c r="C211" i="2"/>
  <c r="B211" i="2"/>
  <c r="C210" i="2"/>
  <c r="B210" i="2"/>
  <c r="C209" i="2"/>
  <c r="B209" i="2"/>
  <c r="C208" i="2"/>
  <c r="B208" i="2"/>
  <c r="C207" i="2"/>
  <c r="B207" i="2"/>
  <c r="C206" i="2"/>
  <c r="B206" i="2"/>
  <c r="C205" i="2"/>
  <c r="B205" i="2"/>
  <c r="C204" i="2"/>
  <c r="B204" i="2"/>
  <c r="C203" i="2"/>
  <c r="B203" i="2"/>
  <c r="C202" i="2"/>
  <c r="B202" i="2"/>
  <c r="C201" i="2"/>
  <c r="B201" i="2"/>
  <c r="C200" i="2"/>
  <c r="B200" i="2"/>
  <c r="C199" i="2"/>
  <c r="B199" i="2"/>
  <c r="C198" i="2"/>
  <c r="B198" i="2"/>
  <c r="C197" i="2"/>
  <c r="B197" i="2"/>
  <c r="C196" i="2"/>
  <c r="B196" i="2"/>
  <c r="C195" i="2"/>
  <c r="B195" i="2"/>
  <c r="C194" i="2"/>
  <c r="B194" i="2"/>
  <c r="C193" i="2"/>
  <c r="B193" i="2"/>
  <c r="C192" i="2"/>
  <c r="B192" i="2"/>
  <c r="C191" i="2"/>
  <c r="B191" i="2"/>
  <c r="C190" i="2"/>
  <c r="B190" i="2"/>
  <c r="C189" i="2"/>
  <c r="B189" i="2"/>
  <c r="C188" i="2"/>
  <c r="B188" i="2"/>
  <c r="C187" i="2"/>
  <c r="B187" i="2"/>
  <c r="C186" i="2"/>
  <c r="B186" i="2"/>
  <c r="C185" i="2"/>
  <c r="B185" i="2"/>
  <c r="C184" i="2"/>
  <c r="B184" i="2"/>
  <c r="C183" i="2"/>
  <c r="B183" i="2"/>
  <c r="C182" i="2"/>
  <c r="B182" i="2"/>
  <c r="C181" i="2"/>
  <c r="B181" i="2"/>
  <c r="C180" i="2"/>
  <c r="B180" i="2"/>
  <c r="C179" i="2"/>
  <c r="B179" i="2"/>
  <c r="C178" i="2"/>
  <c r="B178" i="2"/>
  <c r="C177" i="2"/>
  <c r="B177" i="2"/>
  <c r="C176" i="2"/>
  <c r="B176" i="2"/>
  <c r="C175" i="2"/>
  <c r="B175" i="2"/>
  <c r="C174" i="2"/>
  <c r="B174" i="2"/>
  <c r="C173" i="2"/>
  <c r="B173" i="2"/>
  <c r="C172" i="2"/>
  <c r="B172" i="2"/>
  <c r="C171" i="2"/>
  <c r="B171" i="2"/>
  <c r="C170" i="2"/>
  <c r="B170" i="2"/>
  <c r="C169" i="2"/>
  <c r="B169" i="2"/>
  <c r="C168" i="2"/>
  <c r="B168" i="2"/>
  <c r="C167" i="2"/>
  <c r="B167" i="2"/>
  <c r="C166" i="2"/>
  <c r="B166" i="2"/>
  <c r="C165" i="2"/>
  <c r="B165" i="2"/>
  <c r="C164" i="2"/>
  <c r="B164" i="2"/>
  <c r="C163" i="2"/>
  <c r="B163" i="2"/>
  <c r="C162" i="2"/>
  <c r="B162" i="2"/>
  <c r="C161" i="2"/>
  <c r="B161" i="2"/>
  <c r="C160" i="2"/>
  <c r="B160" i="2"/>
  <c r="C159" i="2"/>
  <c r="B159" i="2"/>
  <c r="C158" i="2"/>
  <c r="B158" i="2"/>
  <c r="C157" i="2"/>
  <c r="B157" i="2"/>
  <c r="C156" i="2"/>
  <c r="B156" i="2"/>
  <c r="C155" i="2"/>
  <c r="B155" i="2"/>
  <c r="C154" i="2"/>
  <c r="B154" i="2"/>
  <c r="C153" i="2"/>
  <c r="B153" i="2"/>
  <c r="C152" i="2"/>
  <c r="B152" i="2"/>
  <c r="C151" i="2"/>
  <c r="B151" i="2"/>
  <c r="C150" i="2"/>
  <c r="B150" i="2"/>
  <c r="C149" i="2"/>
  <c r="B149" i="2"/>
  <c r="C148" i="2"/>
  <c r="B148" i="2"/>
  <c r="C147" i="2"/>
  <c r="B147" i="2"/>
  <c r="C146" i="2"/>
  <c r="B146" i="2"/>
  <c r="C145" i="2"/>
  <c r="B145" i="2"/>
  <c r="C144" i="2"/>
  <c r="B144" i="2"/>
  <c r="C143" i="2"/>
  <c r="B143" i="2"/>
  <c r="C142" i="2"/>
  <c r="B142" i="2"/>
  <c r="C141" i="2"/>
  <c r="B141" i="2"/>
  <c r="C140" i="2"/>
  <c r="B140" i="2"/>
  <c r="C139" i="2"/>
  <c r="B139" i="2"/>
  <c r="C138" i="2"/>
  <c r="B138" i="2"/>
  <c r="C137" i="2"/>
  <c r="B137" i="2"/>
  <c r="C136" i="2"/>
  <c r="B136" i="2"/>
  <c r="C135" i="2"/>
  <c r="B135" i="2"/>
  <c r="C134" i="2"/>
  <c r="B134" i="2"/>
  <c r="C133" i="2"/>
  <c r="B133" i="2"/>
  <c r="C132" i="2"/>
  <c r="B132" i="2"/>
  <c r="C131" i="2"/>
  <c r="B131" i="2"/>
  <c r="C130" i="2"/>
  <c r="B130" i="2"/>
  <c r="C129" i="2"/>
  <c r="B129" i="2"/>
  <c r="C128" i="2"/>
  <c r="B128" i="2"/>
  <c r="C127" i="2"/>
  <c r="B127" i="2"/>
  <c r="C126" i="2"/>
  <c r="B126" i="2"/>
  <c r="C125" i="2"/>
  <c r="B125" i="2"/>
  <c r="C124" i="2"/>
  <c r="B124" i="2"/>
  <c r="C123" i="2"/>
  <c r="B123" i="2"/>
  <c r="C122" i="2"/>
  <c r="B122" i="2"/>
  <c r="C121" i="2"/>
  <c r="B121" i="2"/>
  <c r="C120" i="2"/>
  <c r="B120" i="2"/>
  <c r="C119" i="2"/>
  <c r="B119" i="2"/>
  <c r="C118" i="2"/>
  <c r="B118" i="2"/>
  <c r="C117" i="2"/>
  <c r="B117" i="2"/>
  <c r="C116" i="2"/>
  <c r="B116" i="2"/>
  <c r="C115" i="2"/>
  <c r="B115" i="2"/>
  <c r="C114" i="2"/>
  <c r="B114" i="2"/>
  <c r="C113" i="2"/>
  <c r="B113" i="2"/>
  <c r="C112" i="2"/>
  <c r="B112" i="2"/>
  <c r="C111" i="2"/>
  <c r="B111" i="2"/>
  <c r="C110" i="2"/>
  <c r="B110" i="2"/>
  <c r="C109" i="2"/>
  <c r="B109" i="2"/>
  <c r="C108" i="2"/>
  <c r="B108" i="2"/>
  <c r="C107" i="2"/>
  <c r="B107" i="2"/>
  <c r="C106" i="2"/>
  <c r="B106" i="2"/>
  <c r="C105" i="2"/>
  <c r="B105" i="2"/>
  <c r="C104" i="2"/>
  <c r="B104" i="2"/>
  <c r="C103" i="2"/>
  <c r="B103" i="2"/>
  <c r="C102" i="2"/>
  <c r="B102" i="2"/>
  <c r="C101" i="2"/>
  <c r="B101" i="2"/>
  <c r="C100" i="2"/>
  <c r="B100" i="2"/>
  <c r="C99" i="2"/>
  <c r="B99" i="2"/>
  <c r="C98" i="2"/>
  <c r="B98" i="2"/>
  <c r="C97" i="2"/>
  <c r="B97" i="2"/>
  <c r="C96" i="2"/>
  <c r="B96" i="2"/>
  <c r="C95" i="2"/>
  <c r="B95" i="2"/>
  <c r="C94" i="2"/>
  <c r="B94" i="2"/>
  <c r="C93" i="2"/>
  <c r="B93" i="2"/>
  <c r="C92" i="2"/>
  <c r="B92" i="2"/>
  <c r="C91" i="2"/>
  <c r="B91" i="2"/>
  <c r="C90" i="2"/>
  <c r="B90" i="2"/>
  <c r="C89" i="2"/>
  <c r="B89" i="2"/>
  <c r="C88" i="2"/>
  <c r="B88" i="2"/>
  <c r="C87" i="2"/>
  <c r="B87" i="2"/>
  <c r="C86" i="2"/>
  <c r="B86" i="2"/>
  <c r="C85" i="2"/>
  <c r="B85" i="2"/>
  <c r="C84" i="2"/>
  <c r="B84" i="2"/>
  <c r="C83" i="2"/>
  <c r="B83" i="2"/>
  <c r="C82" i="2"/>
  <c r="B82" i="2"/>
  <c r="C81" i="2"/>
  <c r="B81" i="2"/>
  <c r="C80" i="2"/>
  <c r="B80" i="2"/>
  <c r="C79" i="2"/>
  <c r="B79" i="2"/>
  <c r="C78" i="2"/>
  <c r="B78" i="2"/>
  <c r="C77" i="2"/>
  <c r="B77" i="2"/>
  <c r="C76" i="2"/>
  <c r="B76" i="2"/>
  <c r="C75" i="2"/>
  <c r="B75" i="2"/>
  <c r="C74" i="2"/>
  <c r="B74" i="2"/>
  <c r="C73" i="2"/>
  <c r="B73" i="2"/>
  <c r="C72" i="2"/>
  <c r="B72" i="2"/>
  <c r="C71" i="2"/>
  <c r="B71" i="2"/>
  <c r="C70" i="2"/>
  <c r="B70" i="2"/>
  <c r="C69" i="2"/>
  <c r="B69" i="2"/>
  <c r="C68" i="2"/>
  <c r="B68" i="2"/>
  <c r="C67" i="2"/>
  <c r="B67" i="2"/>
  <c r="C66" i="2"/>
  <c r="B66" i="2"/>
  <c r="C65" i="2"/>
  <c r="B65" i="2"/>
  <c r="C64" i="2"/>
  <c r="B64" i="2"/>
  <c r="C63" i="2"/>
  <c r="B63" i="2"/>
  <c r="C62" i="2"/>
  <c r="B62" i="2"/>
  <c r="C61" i="2"/>
  <c r="B61" i="2"/>
  <c r="C60" i="2"/>
  <c r="B60" i="2"/>
  <c r="C59" i="2"/>
  <c r="B59" i="2"/>
  <c r="C58" i="2"/>
  <c r="B58" i="2"/>
  <c r="C57" i="2"/>
  <c r="B57" i="2"/>
  <c r="C56" i="2"/>
  <c r="B56" i="2"/>
  <c r="C55" i="2"/>
  <c r="B55" i="2"/>
  <c r="C54" i="2"/>
  <c r="B54" i="2"/>
  <c r="C53" i="2"/>
  <c r="B53" i="2"/>
  <c r="C52" i="2"/>
  <c r="B52" i="2"/>
  <c r="C51" i="2"/>
  <c r="B51" i="2"/>
  <c r="C50" i="2"/>
  <c r="B50" i="2"/>
  <c r="C49" i="2"/>
  <c r="B49" i="2"/>
  <c r="C48" i="2"/>
  <c r="B48" i="2"/>
  <c r="C47" i="2"/>
  <c r="B47" i="2"/>
  <c r="C46" i="2"/>
  <c r="B46" i="2"/>
  <c r="C45" i="2"/>
  <c r="B45" i="2"/>
  <c r="C44" i="2"/>
  <c r="B44" i="2"/>
  <c r="C43" i="2"/>
  <c r="B43" i="2"/>
  <c r="C42" i="2"/>
  <c r="B42" i="2"/>
  <c r="C41" i="2"/>
  <c r="B41" i="2"/>
  <c r="C40" i="2"/>
  <c r="B40" i="2"/>
  <c r="C39" i="2"/>
  <c r="B39" i="2"/>
  <c r="C38" i="2"/>
  <c r="B38" i="2"/>
  <c r="C37" i="2"/>
  <c r="B37" i="2"/>
  <c r="C36" i="2"/>
  <c r="B36" i="2"/>
  <c r="C35" i="2"/>
  <c r="B35" i="2"/>
  <c r="C34" i="2"/>
  <c r="B34" i="2"/>
  <c r="C33" i="2"/>
  <c r="B33" i="2"/>
  <c r="C32" i="2"/>
  <c r="B32" i="2"/>
  <c r="C31" i="2"/>
  <c r="B31" i="2"/>
  <c r="C30" i="2"/>
  <c r="B30" i="2"/>
  <c r="C29" i="2"/>
  <c r="B29" i="2"/>
  <c r="C28" i="2"/>
  <c r="B28" i="2"/>
  <c r="C27" i="2"/>
  <c r="B27" i="2"/>
  <c r="C26" i="2"/>
  <c r="B26" i="2"/>
  <c r="C25" i="2"/>
  <c r="B25" i="2"/>
  <c r="C24" i="2"/>
  <c r="B24" i="2"/>
  <c r="C23" i="2"/>
  <c r="B23" i="2"/>
  <c r="C22" i="2"/>
  <c r="B22" i="2"/>
  <c r="C21" i="2"/>
  <c r="B21" i="2"/>
  <c r="C20" i="2"/>
  <c r="B20" i="2"/>
  <c r="C19" i="2"/>
  <c r="B19" i="2"/>
  <c r="C18" i="2"/>
  <c r="B18" i="2"/>
  <c r="C17" i="2"/>
  <c r="B17" i="2"/>
  <c r="C16" i="2"/>
  <c r="B16" i="2"/>
  <c r="C15" i="2"/>
  <c r="B15" i="2"/>
  <c r="C14" i="2"/>
  <c r="B14" i="2"/>
  <c r="C13" i="2"/>
  <c r="B13" i="2"/>
  <c r="C12" i="2"/>
  <c r="B12" i="2"/>
  <c r="C11" i="2"/>
  <c r="B11" i="2"/>
  <c r="C10" i="2"/>
  <c r="B10" i="2"/>
  <c r="C9" i="2"/>
  <c r="B9" i="2"/>
  <c r="C8" i="2"/>
  <c r="B8" i="2"/>
  <c r="C7" i="2"/>
  <c r="B7" i="2"/>
  <c r="C6" i="2"/>
  <c r="B6" i="2"/>
  <c r="H5" i="2"/>
  <c r="M12" i="3" s="1"/>
  <c r="G5" i="2"/>
  <c r="L12" i="3" s="1"/>
  <c r="C5" i="2"/>
  <c r="B5" i="2"/>
  <c r="H4" i="2"/>
  <c r="M11" i="3" s="1"/>
  <c r="G4" i="2"/>
  <c r="L11" i="3" s="1"/>
  <c r="C4" i="2"/>
  <c r="B4" i="2"/>
  <c r="H3" i="2"/>
  <c r="M10" i="3" s="1"/>
  <c r="G3" i="2"/>
  <c r="L10" i="3" s="1"/>
  <c r="C3" i="2"/>
  <c r="B3" i="2"/>
  <c r="H2" i="2"/>
  <c r="M9" i="3" s="1"/>
  <c r="G2" i="2"/>
  <c r="L9" i="3" s="1"/>
  <c r="C2" i="2"/>
  <c r="B2" i="2"/>
  <c r="F4" i="1"/>
  <c r="F3" i="1"/>
  <c r="F2" i="1"/>
  <c r="F5" i="1" l="1"/>
  <c r="F6" i="1"/>
</calcChain>
</file>

<file path=xl/sharedStrings.xml><?xml version="1.0" encoding="utf-8"?>
<sst xmlns="http://schemas.openxmlformats.org/spreadsheetml/2006/main" count="58" uniqueCount="52">
  <si>
    <t>Параметр</t>
  </si>
  <si>
    <t>Значение</t>
  </si>
  <si>
    <t>Единица</t>
  </si>
  <si>
    <t>Расчётные величины</t>
  </si>
  <si>
    <t>Плотность B₄C</t>
  </si>
  <si>
    <t>г/см³</t>
  </si>
  <si>
    <t>sigma_lambda, cm²</t>
  </si>
  <si>
    <t>Молярная масса B₄C</t>
  </si>
  <si>
    <t>г/моль</t>
  </si>
  <si>
    <t>n_10B, природный бор, см⁻³</t>
  </si>
  <si>
    <t>Доля ¹⁰B для природного бора</t>
  </si>
  <si>
    <t>доля</t>
  </si>
  <si>
    <t>n_10B, обогащённый бор, см⁻³</t>
  </si>
  <si>
    <t>Доля ¹⁰B для обогащённого бора</t>
  </si>
  <si>
    <t>Sigma, природный бор, см⁻¹</t>
  </si>
  <si>
    <t>Сечение захвата при 1.8 Å</t>
  </si>
  <si>
    <t>барн</t>
  </si>
  <si>
    <t>Sigma, обогащённый бор, см⁻¹</t>
  </si>
  <si>
    <t>Длина волны нейтронов</t>
  </si>
  <si>
    <t>Å</t>
  </si>
  <si>
    <t>Нормировочная длина волны</t>
  </si>
  <si>
    <t>Угол между пучком и поверхностью</t>
  </si>
  <si>
    <t>градусы</t>
  </si>
  <si>
    <t>Постоянная Авогадро</t>
  </si>
  <si>
    <t>моль⁻¹</t>
  </si>
  <si>
    <t>Толщина покрытия B₄C, нм</t>
  </si>
  <si>
    <t>Вероятность захвата, природный бор</t>
  </si>
  <si>
    <t>Вероятность захвата, обогащённый бор</t>
  </si>
  <si>
    <t>Образец</t>
  </si>
  <si>
    <t>Номинальная толщина, нм</t>
  </si>
  <si>
    <t>P, природный бор</t>
  </si>
  <si>
    <t>P, обогащённый бор</t>
  </si>
  <si>
    <t>B₄C-50</t>
  </si>
  <si>
    <t>B₄C-100</t>
  </si>
  <si>
    <t>B₄C-200</t>
  </si>
  <si>
    <t>B₄C-400</t>
  </si>
  <si>
    <t>P(d) = 1 - exp[-Σd / sin(θ)]</t>
  </si>
  <si>
    <t>Данные вертикальных маркеров</t>
  </si>
  <si>
    <t>B₄C-50 X</t>
  </si>
  <si>
    <t>B₄C-50 Y</t>
  </si>
  <si>
    <t>B₄C-100 X</t>
  </si>
  <si>
    <t>B₄C-100 Y</t>
  </si>
  <si>
    <t>B₄C-200 X</t>
  </si>
  <si>
    <t>B₄C-200 Y</t>
  </si>
  <si>
    <t>B₄C-400 X</t>
  </si>
  <si>
    <t>B₄C-400 Y</t>
  </si>
  <si>
    <t>Расчёт выполнен по экспоненциальному закону ослабления нейтронного пучка. График показывает вероятность захвата нейтрона в слое B₄C, а не полную эффективность регистрации детектора. Прямые нейтронные измерения исследуемых образцов не проводились.</t>
  </si>
  <si>
    <t>Исследуемые образцы</t>
  </si>
  <si>
    <t>Li X</t>
  </si>
  <si>
    <t>Li Y</t>
  </si>
  <si>
    <t>a X</t>
  </si>
  <si>
    <t>a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</si>
</sst>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########"/>
    <numFmt numFmtId="165" formatCode="0.000E+00"/>
    <numFmt numFmtId="166" formatCode="0.0000"/>
  </numFmts>
  <fonts count="5" x14ac:knownFonts="1">
    <font>
      <sz val="11"/>
      <color theme="1"/>
      <name val="Calibri"/>
      <family val="2"/>
      <scheme val="minor"/>
    </font>
    <font>
      <b/>
      <sz val="12"/>
      <name val="Arial"/>
    </font>
    <font>
      <sz val="12"/>
      <name val="Arial"/>
    </font>
    <font>
      <b/>
      <sz val="14"/>
      <name val="Arial"/>
    </font>
    <font>
      <b/>
      <sz val="16"/>
      <name val="Arial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AF3E8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/>
    </xf>
    <xf numFmtId="0" fontId="3" fillId="0" borderId="0" xfId="0" applyFont="1"/>
    <xf numFmtId="0" fontId="2" fillId="0" borderId="1" xfId="0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11" fontId="2" fillId="0" borderId="1" xfId="0" applyNumberFormat="1" applyFont="1" applyBorder="1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1" fontId="2" fillId="0" borderId="1" xfId="0" applyNumberFormat="1" applyFont="1" applyBorder="1"/>
    <xf numFmtId="166" fontId="2" fillId="0" borderId="1" xfId="0" applyNumberFormat="1" applyFont="1" applyBorder="1"/>
    <xf numFmtId="0" fontId="4" fillId="0" borderId="0" xfId="0" applyFont="1"/>
    <xf numFmtId="0" fontId="1" fillId="0" borderId="0" xfId="0" applyFont="1"/>
    <xf numFmtId="0" fontId="1" fillId="3" borderId="1" xfId="0" applyFont="1" applyFill="1" applyBorder="1"/>
    <xf numFmtId="0" fontId="2" fillId="0" borderId="0" xfId="0" applyFont="1" applyAlignment="1">
      <alignment vertical="top" wrapText="1"/>
    </xf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10928860794320179"/>
          <c:y val="3.2186107856245177E-2"/>
          <c:w val="0.82560552014070632"/>
          <c:h val="0.86979543233219092"/>
        </c:manualLayout>
      </c:layout>
      <c:scatterChart>
        <c:scatterStyle val="lineMarker"/>
        <c:varyColors val="1"/>
        <c:ser>
          <c:idx val="0"/>
          <c:order val="0"/>
          <c:tx>
            <c:v>Природный бор</c:v>
          </c:tx>
          <c:spPr>
            <a:ln w="22000">
              <a:solidFill>
                <a:srgbClr val="1F77B4"/>
              </a:solidFill>
              <a:prstDash val="solid"/>
            </a:ln>
          </c:spPr>
          <c:marker>
            <c:symbol val="none"/>
          </c:marker>
          <c:xVal>
            <c:numRef>
              <c:f>Расчет!$A$2:$A$1053</c:f>
              <c:numCache>
                <c:formatCode>0</c:formatCode>
                <c:ptCount val="1052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  <c:pt idx="577">
                  <c:v>5770</c:v>
                </c:pt>
                <c:pt idx="578">
                  <c:v>5780</c:v>
                </c:pt>
                <c:pt idx="579">
                  <c:v>5790</c:v>
                </c:pt>
                <c:pt idx="580">
                  <c:v>5800</c:v>
                </c:pt>
                <c:pt idx="581">
                  <c:v>5810</c:v>
                </c:pt>
                <c:pt idx="582">
                  <c:v>5820</c:v>
                </c:pt>
                <c:pt idx="583">
                  <c:v>5830</c:v>
                </c:pt>
                <c:pt idx="584">
                  <c:v>5840</c:v>
                </c:pt>
                <c:pt idx="585">
                  <c:v>5850</c:v>
                </c:pt>
                <c:pt idx="586">
                  <c:v>5860</c:v>
                </c:pt>
                <c:pt idx="587">
                  <c:v>5870</c:v>
                </c:pt>
                <c:pt idx="588">
                  <c:v>5880</c:v>
                </c:pt>
                <c:pt idx="589">
                  <c:v>5890</c:v>
                </c:pt>
                <c:pt idx="590">
                  <c:v>5900</c:v>
                </c:pt>
                <c:pt idx="591">
                  <c:v>5910</c:v>
                </c:pt>
                <c:pt idx="592">
                  <c:v>5920</c:v>
                </c:pt>
                <c:pt idx="593">
                  <c:v>5930</c:v>
                </c:pt>
                <c:pt idx="594">
                  <c:v>5940</c:v>
                </c:pt>
                <c:pt idx="595">
                  <c:v>5950</c:v>
                </c:pt>
                <c:pt idx="596">
                  <c:v>5960</c:v>
                </c:pt>
                <c:pt idx="597">
                  <c:v>5970</c:v>
                </c:pt>
                <c:pt idx="598">
                  <c:v>5980</c:v>
                </c:pt>
                <c:pt idx="599">
                  <c:v>5990</c:v>
                </c:pt>
                <c:pt idx="600">
                  <c:v>6000</c:v>
                </c:pt>
                <c:pt idx="601">
                  <c:v>6010</c:v>
                </c:pt>
                <c:pt idx="602">
                  <c:v>6020</c:v>
                </c:pt>
                <c:pt idx="603">
                  <c:v>6030</c:v>
                </c:pt>
                <c:pt idx="604">
                  <c:v>6040</c:v>
                </c:pt>
                <c:pt idx="605">
                  <c:v>6050</c:v>
                </c:pt>
                <c:pt idx="606">
                  <c:v>6060</c:v>
                </c:pt>
                <c:pt idx="607">
                  <c:v>6070</c:v>
                </c:pt>
                <c:pt idx="608">
                  <c:v>6080</c:v>
                </c:pt>
                <c:pt idx="609">
                  <c:v>6090</c:v>
                </c:pt>
                <c:pt idx="610">
                  <c:v>6100</c:v>
                </c:pt>
                <c:pt idx="611">
                  <c:v>6110</c:v>
                </c:pt>
                <c:pt idx="612">
                  <c:v>6120</c:v>
                </c:pt>
                <c:pt idx="613">
                  <c:v>6130</c:v>
                </c:pt>
                <c:pt idx="614">
                  <c:v>6140</c:v>
                </c:pt>
                <c:pt idx="615">
                  <c:v>6150</c:v>
                </c:pt>
                <c:pt idx="616">
                  <c:v>6160</c:v>
                </c:pt>
                <c:pt idx="617">
                  <c:v>6170</c:v>
                </c:pt>
                <c:pt idx="618">
                  <c:v>6180</c:v>
                </c:pt>
                <c:pt idx="619">
                  <c:v>6190</c:v>
                </c:pt>
                <c:pt idx="620">
                  <c:v>6200</c:v>
                </c:pt>
                <c:pt idx="621">
                  <c:v>6210</c:v>
                </c:pt>
                <c:pt idx="622">
                  <c:v>6220</c:v>
                </c:pt>
                <c:pt idx="623">
                  <c:v>6230</c:v>
                </c:pt>
                <c:pt idx="624">
                  <c:v>6240</c:v>
                </c:pt>
                <c:pt idx="625">
                  <c:v>6250</c:v>
                </c:pt>
                <c:pt idx="626">
                  <c:v>6260</c:v>
                </c:pt>
                <c:pt idx="627">
                  <c:v>6270</c:v>
                </c:pt>
                <c:pt idx="628">
                  <c:v>6280</c:v>
                </c:pt>
                <c:pt idx="629">
                  <c:v>6290</c:v>
                </c:pt>
                <c:pt idx="630">
                  <c:v>6300</c:v>
                </c:pt>
                <c:pt idx="631">
                  <c:v>6310</c:v>
                </c:pt>
                <c:pt idx="632">
                  <c:v>6320</c:v>
                </c:pt>
                <c:pt idx="633">
                  <c:v>6330</c:v>
                </c:pt>
                <c:pt idx="634">
                  <c:v>6340</c:v>
                </c:pt>
                <c:pt idx="635">
                  <c:v>6350</c:v>
                </c:pt>
                <c:pt idx="636">
                  <c:v>6360</c:v>
                </c:pt>
                <c:pt idx="637">
                  <c:v>6370</c:v>
                </c:pt>
                <c:pt idx="638">
                  <c:v>6380</c:v>
                </c:pt>
                <c:pt idx="639">
                  <c:v>6390</c:v>
                </c:pt>
                <c:pt idx="640">
                  <c:v>6400</c:v>
                </c:pt>
                <c:pt idx="641">
                  <c:v>6410</c:v>
                </c:pt>
                <c:pt idx="642">
                  <c:v>6420</c:v>
                </c:pt>
                <c:pt idx="643">
                  <c:v>6430</c:v>
                </c:pt>
                <c:pt idx="644">
                  <c:v>6440</c:v>
                </c:pt>
                <c:pt idx="645">
                  <c:v>6450</c:v>
                </c:pt>
                <c:pt idx="646">
                  <c:v>6460</c:v>
                </c:pt>
                <c:pt idx="647">
                  <c:v>6470</c:v>
                </c:pt>
                <c:pt idx="648">
                  <c:v>6480</c:v>
                </c:pt>
                <c:pt idx="649">
                  <c:v>6490</c:v>
                </c:pt>
                <c:pt idx="650">
                  <c:v>6500</c:v>
                </c:pt>
                <c:pt idx="651">
                  <c:v>6510</c:v>
                </c:pt>
                <c:pt idx="652">
                  <c:v>6520</c:v>
                </c:pt>
                <c:pt idx="653">
                  <c:v>6530</c:v>
                </c:pt>
                <c:pt idx="654">
                  <c:v>6540</c:v>
                </c:pt>
                <c:pt idx="655">
                  <c:v>6550</c:v>
                </c:pt>
                <c:pt idx="656">
                  <c:v>6560</c:v>
                </c:pt>
                <c:pt idx="657">
                  <c:v>6570</c:v>
                </c:pt>
                <c:pt idx="658">
                  <c:v>6580</c:v>
                </c:pt>
                <c:pt idx="659">
                  <c:v>6590</c:v>
                </c:pt>
                <c:pt idx="660">
                  <c:v>6600</c:v>
                </c:pt>
                <c:pt idx="661">
                  <c:v>6610</c:v>
                </c:pt>
                <c:pt idx="662">
                  <c:v>6620</c:v>
                </c:pt>
                <c:pt idx="663">
                  <c:v>6630</c:v>
                </c:pt>
                <c:pt idx="664">
                  <c:v>6640</c:v>
                </c:pt>
                <c:pt idx="665">
                  <c:v>6650</c:v>
                </c:pt>
                <c:pt idx="666">
                  <c:v>6660</c:v>
                </c:pt>
                <c:pt idx="667">
                  <c:v>6670</c:v>
                </c:pt>
                <c:pt idx="668">
                  <c:v>6680</c:v>
                </c:pt>
                <c:pt idx="669">
                  <c:v>6690</c:v>
                </c:pt>
                <c:pt idx="670">
                  <c:v>6700</c:v>
                </c:pt>
                <c:pt idx="671">
                  <c:v>6710</c:v>
                </c:pt>
                <c:pt idx="672">
                  <c:v>6720</c:v>
                </c:pt>
                <c:pt idx="673">
                  <c:v>6730</c:v>
                </c:pt>
                <c:pt idx="674">
                  <c:v>6740</c:v>
                </c:pt>
                <c:pt idx="675">
                  <c:v>6750</c:v>
                </c:pt>
                <c:pt idx="676">
                  <c:v>6760</c:v>
                </c:pt>
                <c:pt idx="677">
                  <c:v>6770</c:v>
                </c:pt>
                <c:pt idx="678">
                  <c:v>6780</c:v>
                </c:pt>
                <c:pt idx="679">
                  <c:v>6790</c:v>
                </c:pt>
                <c:pt idx="680">
                  <c:v>6800</c:v>
                </c:pt>
                <c:pt idx="681">
                  <c:v>6810</c:v>
                </c:pt>
                <c:pt idx="682">
                  <c:v>6820</c:v>
                </c:pt>
                <c:pt idx="683">
                  <c:v>6830</c:v>
                </c:pt>
                <c:pt idx="684">
                  <c:v>6840</c:v>
                </c:pt>
                <c:pt idx="685">
                  <c:v>6850</c:v>
                </c:pt>
                <c:pt idx="686">
                  <c:v>6860</c:v>
                </c:pt>
                <c:pt idx="687">
                  <c:v>6870</c:v>
                </c:pt>
                <c:pt idx="688">
                  <c:v>6880</c:v>
                </c:pt>
                <c:pt idx="689">
                  <c:v>6890</c:v>
                </c:pt>
                <c:pt idx="690">
                  <c:v>6900</c:v>
                </c:pt>
                <c:pt idx="691">
                  <c:v>6910</c:v>
                </c:pt>
                <c:pt idx="692">
                  <c:v>6920</c:v>
                </c:pt>
                <c:pt idx="693">
                  <c:v>6930</c:v>
                </c:pt>
                <c:pt idx="694">
                  <c:v>6940</c:v>
                </c:pt>
                <c:pt idx="695">
                  <c:v>6950</c:v>
                </c:pt>
                <c:pt idx="696">
                  <c:v>6960</c:v>
                </c:pt>
                <c:pt idx="697">
                  <c:v>6970</c:v>
                </c:pt>
                <c:pt idx="698">
                  <c:v>6980</c:v>
                </c:pt>
                <c:pt idx="699">
                  <c:v>6990</c:v>
                </c:pt>
                <c:pt idx="700">
                  <c:v>7000</c:v>
                </c:pt>
                <c:pt idx="701">
                  <c:v>7010</c:v>
                </c:pt>
                <c:pt idx="702">
                  <c:v>7020</c:v>
                </c:pt>
                <c:pt idx="703">
                  <c:v>7030</c:v>
                </c:pt>
                <c:pt idx="704">
                  <c:v>7040</c:v>
                </c:pt>
                <c:pt idx="705">
                  <c:v>7050</c:v>
                </c:pt>
                <c:pt idx="706">
                  <c:v>7060</c:v>
                </c:pt>
                <c:pt idx="707">
                  <c:v>7070</c:v>
                </c:pt>
                <c:pt idx="708">
                  <c:v>7080</c:v>
                </c:pt>
                <c:pt idx="709">
                  <c:v>7090</c:v>
                </c:pt>
                <c:pt idx="710">
                  <c:v>7100</c:v>
                </c:pt>
                <c:pt idx="711">
                  <c:v>7110</c:v>
                </c:pt>
                <c:pt idx="712">
                  <c:v>7120</c:v>
                </c:pt>
                <c:pt idx="713">
                  <c:v>7130</c:v>
                </c:pt>
                <c:pt idx="714">
                  <c:v>7140</c:v>
                </c:pt>
                <c:pt idx="715">
                  <c:v>7150</c:v>
                </c:pt>
                <c:pt idx="716">
                  <c:v>7160</c:v>
                </c:pt>
                <c:pt idx="717">
                  <c:v>7170</c:v>
                </c:pt>
                <c:pt idx="718">
                  <c:v>7180</c:v>
                </c:pt>
                <c:pt idx="719">
                  <c:v>7190</c:v>
                </c:pt>
                <c:pt idx="720">
                  <c:v>7200</c:v>
                </c:pt>
                <c:pt idx="721">
                  <c:v>7210</c:v>
                </c:pt>
                <c:pt idx="722">
                  <c:v>7220</c:v>
                </c:pt>
                <c:pt idx="723">
                  <c:v>7230</c:v>
                </c:pt>
                <c:pt idx="724">
                  <c:v>7240</c:v>
                </c:pt>
                <c:pt idx="725">
                  <c:v>7250</c:v>
                </c:pt>
                <c:pt idx="726">
                  <c:v>7260</c:v>
                </c:pt>
                <c:pt idx="727">
                  <c:v>7270</c:v>
                </c:pt>
                <c:pt idx="728">
                  <c:v>7280</c:v>
                </c:pt>
                <c:pt idx="729">
                  <c:v>7290</c:v>
                </c:pt>
                <c:pt idx="730">
                  <c:v>7300</c:v>
                </c:pt>
                <c:pt idx="731">
                  <c:v>7310</c:v>
                </c:pt>
                <c:pt idx="732">
                  <c:v>7320</c:v>
                </c:pt>
                <c:pt idx="733">
                  <c:v>7330</c:v>
                </c:pt>
                <c:pt idx="734">
                  <c:v>7340</c:v>
                </c:pt>
                <c:pt idx="735">
                  <c:v>7350</c:v>
                </c:pt>
                <c:pt idx="736">
                  <c:v>7360</c:v>
                </c:pt>
                <c:pt idx="737">
                  <c:v>7370</c:v>
                </c:pt>
                <c:pt idx="738">
                  <c:v>7380</c:v>
                </c:pt>
                <c:pt idx="739">
                  <c:v>7390</c:v>
                </c:pt>
                <c:pt idx="740">
                  <c:v>7400</c:v>
                </c:pt>
                <c:pt idx="741">
                  <c:v>7410</c:v>
                </c:pt>
                <c:pt idx="742">
                  <c:v>7420</c:v>
                </c:pt>
                <c:pt idx="743">
                  <c:v>7430</c:v>
                </c:pt>
                <c:pt idx="744">
                  <c:v>7440</c:v>
                </c:pt>
                <c:pt idx="745">
                  <c:v>7450</c:v>
                </c:pt>
                <c:pt idx="746">
                  <c:v>7460</c:v>
                </c:pt>
                <c:pt idx="747">
                  <c:v>7470</c:v>
                </c:pt>
                <c:pt idx="748">
                  <c:v>7480</c:v>
                </c:pt>
                <c:pt idx="749">
                  <c:v>7490</c:v>
                </c:pt>
                <c:pt idx="750">
                  <c:v>7500</c:v>
                </c:pt>
                <c:pt idx="751">
                  <c:v>7510</c:v>
                </c:pt>
                <c:pt idx="752">
                  <c:v>7520</c:v>
                </c:pt>
                <c:pt idx="753">
                  <c:v>7530</c:v>
                </c:pt>
                <c:pt idx="754">
                  <c:v>7540</c:v>
                </c:pt>
                <c:pt idx="755">
                  <c:v>7550</c:v>
                </c:pt>
                <c:pt idx="756">
                  <c:v>7560</c:v>
                </c:pt>
                <c:pt idx="757">
                  <c:v>7570</c:v>
                </c:pt>
                <c:pt idx="758">
                  <c:v>7580</c:v>
                </c:pt>
                <c:pt idx="759">
                  <c:v>7590</c:v>
                </c:pt>
                <c:pt idx="760">
                  <c:v>7600</c:v>
                </c:pt>
                <c:pt idx="761">
                  <c:v>7610</c:v>
                </c:pt>
                <c:pt idx="762">
                  <c:v>7620</c:v>
                </c:pt>
                <c:pt idx="763">
                  <c:v>7630</c:v>
                </c:pt>
                <c:pt idx="764">
                  <c:v>7640</c:v>
                </c:pt>
                <c:pt idx="765">
                  <c:v>7650</c:v>
                </c:pt>
                <c:pt idx="766">
                  <c:v>7660</c:v>
                </c:pt>
                <c:pt idx="767">
                  <c:v>7670</c:v>
                </c:pt>
                <c:pt idx="768">
                  <c:v>7680</c:v>
                </c:pt>
                <c:pt idx="769">
                  <c:v>7690</c:v>
                </c:pt>
                <c:pt idx="770">
                  <c:v>7700</c:v>
                </c:pt>
                <c:pt idx="771">
                  <c:v>7710</c:v>
                </c:pt>
                <c:pt idx="772">
                  <c:v>7720</c:v>
                </c:pt>
                <c:pt idx="773">
                  <c:v>7730</c:v>
                </c:pt>
                <c:pt idx="774">
                  <c:v>7740</c:v>
                </c:pt>
                <c:pt idx="775">
                  <c:v>7750</c:v>
                </c:pt>
                <c:pt idx="776">
                  <c:v>7760</c:v>
                </c:pt>
                <c:pt idx="777">
                  <c:v>7770</c:v>
                </c:pt>
                <c:pt idx="778">
                  <c:v>7780</c:v>
                </c:pt>
                <c:pt idx="779">
                  <c:v>7790</c:v>
                </c:pt>
                <c:pt idx="780">
                  <c:v>7800</c:v>
                </c:pt>
                <c:pt idx="781">
                  <c:v>7810</c:v>
                </c:pt>
                <c:pt idx="782">
                  <c:v>7820</c:v>
                </c:pt>
                <c:pt idx="783">
                  <c:v>7830</c:v>
                </c:pt>
                <c:pt idx="784">
                  <c:v>7840</c:v>
                </c:pt>
                <c:pt idx="785">
                  <c:v>7850</c:v>
                </c:pt>
                <c:pt idx="786">
                  <c:v>7860</c:v>
                </c:pt>
                <c:pt idx="787">
                  <c:v>7870</c:v>
                </c:pt>
                <c:pt idx="788">
                  <c:v>7880</c:v>
                </c:pt>
                <c:pt idx="789">
                  <c:v>7890</c:v>
                </c:pt>
                <c:pt idx="790">
                  <c:v>7900</c:v>
                </c:pt>
                <c:pt idx="791">
                  <c:v>7910</c:v>
                </c:pt>
                <c:pt idx="792">
                  <c:v>7920</c:v>
                </c:pt>
                <c:pt idx="793">
                  <c:v>7930</c:v>
                </c:pt>
                <c:pt idx="794">
                  <c:v>7940</c:v>
                </c:pt>
                <c:pt idx="795">
                  <c:v>7950</c:v>
                </c:pt>
                <c:pt idx="796">
                  <c:v>7960</c:v>
                </c:pt>
                <c:pt idx="797">
                  <c:v>7970</c:v>
                </c:pt>
                <c:pt idx="798">
                  <c:v>7980</c:v>
                </c:pt>
                <c:pt idx="799">
                  <c:v>7990</c:v>
                </c:pt>
                <c:pt idx="800">
                  <c:v>8000</c:v>
                </c:pt>
                <c:pt idx="801">
                  <c:v>8010</c:v>
                </c:pt>
                <c:pt idx="802">
                  <c:v>8020</c:v>
                </c:pt>
                <c:pt idx="803">
                  <c:v>8030</c:v>
                </c:pt>
                <c:pt idx="804">
                  <c:v>8040</c:v>
                </c:pt>
                <c:pt idx="805">
                  <c:v>8050</c:v>
                </c:pt>
                <c:pt idx="806">
                  <c:v>8060</c:v>
                </c:pt>
                <c:pt idx="807">
                  <c:v>8070</c:v>
                </c:pt>
                <c:pt idx="808">
                  <c:v>8080</c:v>
                </c:pt>
                <c:pt idx="809">
                  <c:v>8090</c:v>
                </c:pt>
                <c:pt idx="810">
                  <c:v>8100</c:v>
                </c:pt>
                <c:pt idx="811">
                  <c:v>8110</c:v>
                </c:pt>
                <c:pt idx="812">
                  <c:v>8120</c:v>
                </c:pt>
                <c:pt idx="813">
                  <c:v>8130</c:v>
                </c:pt>
                <c:pt idx="814">
                  <c:v>8140</c:v>
                </c:pt>
                <c:pt idx="815">
                  <c:v>8150</c:v>
                </c:pt>
                <c:pt idx="816">
                  <c:v>8160</c:v>
                </c:pt>
                <c:pt idx="817">
                  <c:v>8170</c:v>
                </c:pt>
                <c:pt idx="818">
                  <c:v>8180</c:v>
                </c:pt>
                <c:pt idx="819">
                  <c:v>8190</c:v>
                </c:pt>
                <c:pt idx="820">
                  <c:v>8200</c:v>
                </c:pt>
                <c:pt idx="821">
                  <c:v>8210</c:v>
                </c:pt>
                <c:pt idx="822">
                  <c:v>8220</c:v>
                </c:pt>
                <c:pt idx="823">
                  <c:v>8230</c:v>
                </c:pt>
                <c:pt idx="824">
                  <c:v>8240</c:v>
                </c:pt>
                <c:pt idx="825">
                  <c:v>8250</c:v>
                </c:pt>
                <c:pt idx="826">
                  <c:v>8260</c:v>
                </c:pt>
                <c:pt idx="827">
                  <c:v>8270</c:v>
                </c:pt>
                <c:pt idx="828">
                  <c:v>8280</c:v>
                </c:pt>
                <c:pt idx="829">
                  <c:v>8290</c:v>
                </c:pt>
                <c:pt idx="830">
                  <c:v>8300</c:v>
                </c:pt>
                <c:pt idx="831">
                  <c:v>8310</c:v>
                </c:pt>
                <c:pt idx="832">
                  <c:v>8320</c:v>
                </c:pt>
                <c:pt idx="833">
                  <c:v>8330</c:v>
                </c:pt>
                <c:pt idx="834">
                  <c:v>8340</c:v>
                </c:pt>
                <c:pt idx="835">
                  <c:v>8350</c:v>
                </c:pt>
                <c:pt idx="836">
                  <c:v>8360</c:v>
                </c:pt>
                <c:pt idx="837">
                  <c:v>8370</c:v>
                </c:pt>
                <c:pt idx="838">
                  <c:v>8380</c:v>
                </c:pt>
                <c:pt idx="839">
                  <c:v>8390</c:v>
                </c:pt>
                <c:pt idx="840">
                  <c:v>8400</c:v>
                </c:pt>
                <c:pt idx="841">
                  <c:v>8410</c:v>
                </c:pt>
                <c:pt idx="842">
                  <c:v>8420</c:v>
                </c:pt>
                <c:pt idx="843">
                  <c:v>8430</c:v>
                </c:pt>
                <c:pt idx="844">
                  <c:v>8440</c:v>
                </c:pt>
                <c:pt idx="845">
                  <c:v>8450</c:v>
                </c:pt>
                <c:pt idx="846">
                  <c:v>8460</c:v>
                </c:pt>
                <c:pt idx="847">
                  <c:v>8470</c:v>
                </c:pt>
                <c:pt idx="848">
                  <c:v>8480</c:v>
                </c:pt>
                <c:pt idx="849">
                  <c:v>8490</c:v>
                </c:pt>
                <c:pt idx="850">
                  <c:v>8500</c:v>
                </c:pt>
                <c:pt idx="851">
                  <c:v>8510</c:v>
                </c:pt>
                <c:pt idx="852">
                  <c:v>8520</c:v>
                </c:pt>
                <c:pt idx="853">
                  <c:v>8530</c:v>
                </c:pt>
                <c:pt idx="854">
                  <c:v>8540</c:v>
                </c:pt>
                <c:pt idx="855">
                  <c:v>8550</c:v>
                </c:pt>
                <c:pt idx="856">
                  <c:v>8560</c:v>
                </c:pt>
                <c:pt idx="857">
                  <c:v>8570</c:v>
                </c:pt>
                <c:pt idx="858">
                  <c:v>8580</c:v>
                </c:pt>
                <c:pt idx="859">
                  <c:v>8590</c:v>
                </c:pt>
                <c:pt idx="860">
                  <c:v>8600</c:v>
                </c:pt>
                <c:pt idx="861">
                  <c:v>8610</c:v>
                </c:pt>
                <c:pt idx="862">
                  <c:v>8620</c:v>
                </c:pt>
                <c:pt idx="863">
                  <c:v>8630</c:v>
                </c:pt>
                <c:pt idx="864">
                  <c:v>8640</c:v>
                </c:pt>
                <c:pt idx="865">
                  <c:v>8650</c:v>
                </c:pt>
                <c:pt idx="866">
                  <c:v>8660</c:v>
                </c:pt>
                <c:pt idx="867">
                  <c:v>8670</c:v>
                </c:pt>
                <c:pt idx="868">
                  <c:v>8680</c:v>
                </c:pt>
                <c:pt idx="869">
                  <c:v>8690</c:v>
                </c:pt>
                <c:pt idx="870">
                  <c:v>8700</c:v>
                </c:pt>
                <c:pt idx="871">
                  <c:v>8710</c:v>
                </c:pt>
                <c:pt idx="872">
                  <c:v>8720</c:v>
                </c:pt>
                <c:pt idx="873">
                  <c:v>8730</c:v>
                </c:pt>
                <c:pt idx="874">
                  <c:v>8740</c:v>
                </c:pt>
                <c:pt idx="875">
                  <c:v>8750</c:v>
                </c:pt>
                <c:pt idx="876">
                  <c:v>8760</c:v>
                </c:pt>
                <c:pt idx="877">
                  <c:v>8770</c:v>
                </c:pt>
                <c:pt idx="878">
                  <c:v>8780</c:v>
                </c:pt>
                <c:pt idx="879">
                  <c:v>8790</c:v>
                </c:pt>
                <c:pt idx="880">
                  <c:v>8800</c:v>
                </c:pt>
                <c:pt idx="881">
                  <c:v>8810</c:v>
                </c:pt>
                <c:pt idx="882">
                  <c:v>8820</c:v>
                </c:pt>
                <c:pt idx="883">
                  <c:v>8830</c:v>
                </c:pt>
                <c:pt idx="884">
                  <c:v>8840</c:v>
                </c:pt>
                <c:pt idx="885">
                  <c:v>8850</c:v>
                </c:pt>
                <c:pt idx="886">
                  <c:v>8860</c:v>
                </c:pt>
                <c:pt idx="887">
                  <c:v>8870</c:v>
                </c:pt>
                <c:pt idx="888">
                  <c:v>8880</c:v>
                </c:pt>
                <c:pt idx="889">
                  <c:v>8890</c:v>
                </c:pt>
                <c:pt idx="890">
                  <c:v>8900</c:v>
                </c:pt>
                <c:pt idx="891">
                  <c:v>8910</c:v>
                </c:pt>
                <c:pt idx="892">
                  <c:v>8920</c:v>
                </c:pt>
                <c:pt idx="893">
                  <c:v>8930</c:v>
                </c:pt>
                <c:pt idx="894">
                  <c:v>8940</c:v>
                </c:pt>
                <c:pt idx="895">
                  <c:v>8950</c:v>
                </c:pt>
                <c:pt idx="896">
                  <c:v>8960</c:v>
                </c:pt>
                <c:pt idx="897">
                  <c:v>8970</c:v>
                </c:pt>
                <c:pt idx="898">
                  <c:v>8980</c:v>
                </c:pt>
                <c:pt idx="899">
                  <c:v>8990</c:v>
                </c:pt>
                <c:pt idx="900">
                  <c:v>9000</c:v>
                </c:pt>
                <c:pt idx="901">
                  <c:v>9010</c:v>
                </c:pt>
                <c:pt idx="902">
                  <c:v>9020</c:v>
                </c:pt>
                <c:pt idx="903">
                  <c:v>9030</c:v>
                </c:pt>
                <c:pt idx="904">
                  <c:v>9040</c:v>
                </c:pt>
                <c:pt idx="905">
                  <c:v>9050</c:v>
                </c:pt>
                <c:pt idx="906">
                  <c:v>9060</c:v>
                </c:pt>
                <c:pt idx="907">
                  <c:v>9070</c:v>
                </c:pt>
                <c:pt idx="908">
                  <c:v>9080</c:v>
                </c:pt>
                <c:pt idx="909">
                  <c:v>9090</c:v>
                </c:pt>
                <c:pt idx="910">
                  <c:v>9100</c:v>
                </c:pt>
                <c:pt idx="911">
                  <c:v>9110</c:v>
                </c:pt>
                <c:pt idx="912">
                  <c:v>9120</c:v>
                </c:pt>
                <c:pt idx="913">
                  <c:v>9130</c:v>
                </c:pt>
                <c:pt idx="914">
                  <c:v>9140</c:v>
                </c:pt>
                <c:pt idx="915">
                  <c:v>9150</c:v>
                </c:pt>
                <c:pt idx="916">
                  <c:v>9160</c:v>
                </c:pt>
                <c:pt idx="917">
                  <c:v>9170</c:v>
                </c:pt>
                <c:pt idx="918">
                  <c:v>9180</c:v>
                </c:pt>
                <c:pt idx="919">
                  <c:v>9190</c:v>
                </c:pt>
                <c:pt idx="920">
                  <c:v>9200</c:v>
                </c:pt>
                <c:pt idx="921">
                  <c:v>9210</c:v>
                </c:pt>
                <c:pt idx="922">
                  <c:v>9220</c:v>
                </c:pt>
                <c:pt idx="923">
                  <c:v>9230</c:v>
                </c:pt>
                <c:pt idx="924">
                  <c:v>9240</c:v>
                </c:pt>
                <c:pt idx="925">
                  <c:v>9250</c:v>
                </c:pt>
                <c:pt idx="926">
                  <c:v>9260</c:v>
                </c:pt>
                <c:pt idx="927">
                  <c:v>9270</c:v>
                </c:pt>
                <c:pt idx="928">
                  <c:v>9280</c:v>
                </c:pt>
                <c:pt idx="929">
                  <c:v>9290</c:v>
                </c:pt>
                <c:pt idx="930">
                  <c:v>9300</c:v>
                </c:pt>
                <c:pt idx="931">
                  <c:v>9310</c:v>
                </c:pt>
                <c:pt idx="932">
                  <c:v>9320</c:v>
                </c:pt>
                <c:pt idx="933">
                  <c:v>9330</c:v>
                </c:pt>
                <c:pt idx="934">
                  <c:v>9340</c:v>
                </c:pt>
                <c:pt idx="935">
                  <c:v>9350</c:v>
                </c:pt>
                <c:pt idx="936">
                  <c:v>9360</c:v>
                </c:pt>
                <c:pt idx="937">
                  <c:v>9370</c:v>
                </c:pt>
                <c:pt idx="938">
                  <c:v>9380</c:v>
                </c:pt>
                <c:pt idx="939">
                  <c:v>9390</c:v>
                </c:pt>
                <c:pt idx="940">
                  <c:v>9400</c:v>
                </c:pt>
                <c:pt idx="941">
                  <c:v>9410</c:v>
                </c:pt>
                <c:pt idx="942">
                  <c:v>9420</c:v>
                </c:pt>
                <c:pt idx="943">
                  <c:v>9430</c:v>
                </c:pt>
                <c:pt idx="944">
                  <c:v>9440</c:v>
                </c:pt>
                <c:pt idx="945">
                  <c:v>9450</c:v>
                </c:pt>
                <c:pt idx="946">
                  <c:v>9460</c:v>
                </c:pt>
                <c:pt idx="947">
                  <c:v>9470</c:v>
                </c:pt>
                <c:pt idx="948">
                  <c:v>9480</c:v>
                </c:pt>
                <c:pt idx="949">
                  <c:v>9490</c:v>
                </c:pt>
                <c:pt idx="950">
                  <c:v>9500</c:v>
                </c:pt>
                <c:pt idx="951">
                  <c:v>9510</c:v>
                </c:pt>
                <c:pt idx="952">
                  <c:v>9520</c:v>
                </c:pt>
                <c:pt idx="953">
                  <c:v>9530</c:v>
                </c:pt>
                <c:pt idx="954">
                  <c:v>9540</c:v>
                </c:pt>
                <c:pt idx="955">
                  <c:v>9550</c:v>
                </c:pt>
                <c:pt idx="956">
                  <c:v>9560</c:v>
                </c:pt>
                <c:pt idx="957">
                  <c:v>9570</c:v>
                </c:pt>
                <c:pt idx="958">
                  <c:v>9580</c:v>
                </c:pt>
                <c:pt idx="959">
                  <c:v>9590</c:v>
                </c:pt>
                <c:pt idx="960">
                  <c:v>9600</c:v>
                </c:pt>
                <c:pt idx="961">
                  <c:v>9610</c:v>
                </c:pt>
                <c:pt idx="962">
                  <c:v>9620</c:v>
                </c:pt>
                <c:pt idx="963">
                  <c:v>9630</c:v>
                </c:pt>
                <c:pt idx="964">
                  <c:v>9640</c:v>
                </c:pt>
                <c:pt idx="965">
                  <c:v>9650</c:v>
                </c:pt>
                <c:pt idx="966">
                  <c:v>9660</c:v>
                </c:pt>
                <c:pt idx="967">
                  <c:v>9670</c:v>
                </c:pt>
                <c:pt idx="968">
                  <c:v>9680</c:v>
                </c:pt>
                <c:pt idx="969">
                  <c:v>9690</c:v>
                </c:pt>
                <c:pt idx="970">
                  <c:v>9700</c:v>
                </c:pt>
                <c:pt idx="971">
                  <c:v>9710</c:v>
                </c:pt>
                <c:pt idx="972">
                  <c:v>9720</c:v>
                </c:pt>
                <c:pt idx="973">
                  <c:v>9730</c:v>
                </c:pt>
                <c:pt idx="974">
                  <c:v>9740</c:v>
                </c:pt>
                <c:pt idx="975">
                  <c:v>9750</c:v>
                </c:pt>
                <c:pt idx="976">
                  <c:v>9760</c:v>
                </c:pt>
                <c:pt idx="977">
                  <c:v>9770</c:v>
                </c:pt>
                <c:pt idx="978">
                  <c:v>9780</c:v>
                </c:pt>
                <c:pt idx="979">
                  <c:v>9790</c:v>
                </c:pt>
                <c:pt idx="980">
                  <c:v>9800</c:v>
                </c:pt>
                <c:pt idx="981">
                  <c:v>9810</c:v>
                </c:pt>
                <c:pt idx="982">
                  <c:v>9820</c:v>
                </c:pt>
                <c:pt idx="983">
                  <c:v>9830</c:v>
                </c:pt>
                <c:pt idx="984">
                  <c:v>9840</c:v>
                </c:pt>
                <c:pt idx="985">
                  <c:v>9850</c:v>
                </c:pt>
                <c:pt idx="986">
                  <c:v>9860</c:v>
                </c:pt>
                <c:pt idx="987">
                  <c:v>9870</c:v>
                </c:pt>
                <c:pt idx="988">
                  <c:v>9880</c:v>
                </c:pt>
                <c:pt idx="989">
                  <c:v>9890</c:v>
                </c:pt>
                <c:pt idx="990">
                  <c:v>9900</c:v>
                </c:pt>
                <c:pt idx="991">
                  <c:v>9910</c:v>
                </c:pt>
                <c:pt idx="992">
                  <c:v>9920</c:v>
                </c:pt>
                <c:pt idx="993">
                  <c:v>9930</c:v>
                </c:pt>
                <c:pt idx="994">
                  <c:v>9940</c:v>
                </c:pt>
                <c:pt idx="995">
                  <c:v>9950</c:v>
                </c:pt>
                <c:pt idx="996">
                  <c:v>9960</c:v>
                </c:pt>
                <c:pt idx="997">
                  <c:v>9970</c:v>
                </c:pt>
                <c:pt idx="998">
                  <c:v>9980</c:v>
                </c:pt>
                <c:pt idx="999">
                  <c:v>9990</c:v>
                </c:pt>
                <c:pt idx="1000">
                  <c:v>10000</c:v>
                </c:pt>
              </c:numCache>
            </c:numRef>
          </c:xVal>
          <c:yVal>
            <c:numRef>
              <c:f>Расчет!$B$2:$B$1053</c:f>
              <c:numCache>
                <c:formatCode>0.0000</c:formatCode>
                <c:ptCount val="1052"/>
                <c:pt idx="0">
                  <c:v>0</c:v>
                </c:pt>
                <c:pt idx="1">
                  <c:v>8.4361337084559729E-5</c:v>
                </c:pt>
                <c:pt idx="2">
                  <c:v>1.6871555733388721E-4</c:v>
                </c:pt>
                <c:pt idx="3">
                  <c:v>2.5306266134850208E-4</c:v>
                </c:pt>
                <c:pt idx="4">
                  <c:v>3.3740264972859091E-4</c:v>
                </c:pt>
                <c:pt idx="5">
                  <c:v>4.2173552307445128E-4</c:v>
                </c:pt>
                <c:pt idx="6">
                  <c:v>5.0606128198649181E-4</c:v>
                </c:pt>
                <c:pt idx="7">
                  <c:v>5.9037992706456599E-4</c:v>
                </c:pt>
                <c:pt idx="8">
                  <c:v>6.7469145890919346E-4</c:v>
                </c:pt>
                <c:pt idx="9">
                  <c:v>7.5899587812011671E-4</c:v>
                </c:pt>
                <c:pt idx="10">
                  <c:v>8.4329318529752229E-4</c:v>
                </c:pt>
                <c:pt idx="11">
                  <c:v>9.2758338104148574E-4</c:v>
                </c:pt>
                <c:pt idx="12">
                  <c:v>1.0118664659517496E-3</c:v>
                </c:pt>
                <c:pt idx="13">
                  <c:v>1.0961424406282783E-3</c:v>
                </c:pt>
                <c:pt idx="14">
                  <c:v>1.1804113056709253E-3</c:v>
                </c:pt>
                <c:pt idx="15">
                  <c:v>1.2646730616794333E-3</c:v>
                </c:pt>
                <c:pt idx="16">
                  <c:v>1.3489277092535445E-3</c:v>
                </c:pt>
                <c:pt idx="17">
                  <c:v>1.4331752489930016E-3</c:v>
                </c:pt>
                <c:pt idx="18">
                  <c:v>1.517415681497214E-3</c:v>
                </c:pt>
                <c:pt idx="19">
                  <c:v>1.601649007366035E-3</c:v>
                </c:pt>
                <c:pt idx="20">
                  <c:v>1.6858752271987631E-3</c:v>
                </c:pt>
                <c:pt idx="21">
                  <c:v>1.7700943415950299E-3</c:v>
                </c:pt>
                <c:pt idx="22">
                  <c:v>1.8543063511541336E-3</c:v>
                </c:pt>
                <c:pt idx="23">
                  <c:v>1.9385112564755946E-3</c:v>
                </c:pt>
                <c:pt idx="24">
                  <c:v>2.0227090581586005E-3</c:v>
                </c:pt>
                <c:pt idx="25">
                  <c:v>2.1068997568024495E-3</c:v>
                </c:pt>
                <c:pt idx="26">
                  <c:v>2.19108335300644E-3</c:v>
                </c:pt>
                <c:pt idx="27">
                  <c:v>2.2752598473697594E-3</c:v>
                </c:pt>
                <c:pt idx="28">
                  <c:v>2.359429240491373E-3</c:v>
                </c:pt>
                <c:pt idx="29">
                  <c:v>2.4435915329704683E-3</c:v>
                </c:pt>
                <c:pt idx="30">
                  <c:v>2.5277467254060104E-3</c:v>
                </c:pt>
                <c:pt idx="31">
                  <c:v>2.6118948183969648E-3</c:v>
                </c:pt>
                <c:pt idx="32">
                  <c:v>2.6960358125422967E-3</c:v>
                </c:pt>
                <c:pt idx="33">
                  <c:v>2.7801697084409716E-3</c:v>
                </c:pt>
                <c:pt idx="34">
                  <c:v>2.8642965066916215E-3</c:v>
                </c:pt>
                <c:pt idx="35">
                  <c:v>2.9484162078929899E-3</c:v>
                </c:pt>
                <c:pt idx="36">
                  <c:v>3.0325288126440419E-3</c:v>
                </c:pt>
                <c:pt idx="37">
                  <c:v>3.116634321543188E-3</c:v>
                </c:pt>
                <c:pt idx="38">
                  <c:v>3.2007327351891712E-3</c:v>
                </c:pt>
                <c:pt idx="39">
                  <c:v>3.284824054180624E-3</c:v>
                </c:pt>
                <c:pt idx="40">
                  <c:v>3.3689082791158453E-3</c:v>
                </c:pt>
                <c:pt idx="41">
                  <c:v>3.4529854105934676E-3</c:v>
                </c:pt>
                <c:pt idx="42">
                  <c:v>3.5370554492119011E-3</c:v>
                </c:pt>
                <c:pt idx="43">
                  <c:v>3.6211183955694448E-3</c:v>
                </c:pt>
                <c:pt idx="44">
                  <c:v>3.7051742502643981E-3</c:v>
                </c:pt>
                <c:pt idx="45">
                  <c:v>3.78922301389506E-3</c:v>
                </c:pt>
                <c:pt idx="46">
                  <c:v>3.8732646870596188E-3</c:v>
                </c:pt>
                <c:pt idx="47">
                  <c:v>3.9572992703563736E-3</c:v>
                </c:pt>
                <c:pt idx="48">
                  <c:v>4.0413267643831796E-3</c:v>
                </c:pt>
                <c:pt idx="49">
                  <c:v>4.1253471697383359E-3</c:v>
                </c:pt>
                <c:pt idx="50">
                  <c:v>4.2093604870196977E-3</c:v>
                </c:pt>
                <c:pt idx="51">
                  <c:v>4.293366716825342E-3</c:v>
                </c:pt>
                <c:pt idx="52">
                  <c:v>4.377365859753124E-3</c:v>
                </c:pt>
                <c:pt idx="53">
                  <c:v>4.4613579164007877E-3</c:v>
                </c:pt>
                <c:pt idx="54">
                  <c:v>4.5453428873664103E-3</c:v>
                </c:pt>
                <c:pt idx="55">
                  <c:v>4.6293207732474029E-3</c:v>
                </c:pt>
                <c:pt idx="56">
                  <c:v>4.7132915746417314E-3</c:v>
                </c:pt>
                <c:pt idx="57">
                  <c:v>4.7972552921470291E-3</c:v>
                </c:pt>
                <c:pt idx="58">
                  <c:v>4.8812119263608178E-3</c:v>
                </c:pt>
                <c:pt idx="59">
                  <c:v>4.9651614778807307E-3</c:v>
                </c:pt>
                <c:pt idx="60">
                  <c:v>5.0491039473041788E-3</c:v>
                </c:pt>
                <c:pt idx="61">
                  <c:v>5.1330393352286841E-3</c:v>
                </c:pt>
                <c:pt idx="62">
                  <c:v>5.2169676422515465E-3</c:v>
                </c:pt>
                <c:pt idx="63">
                  <c:v>5.3008888689702882E-3</c:v>
                </c:pt>
                <c:pt idx="64">
                  <c:v>5.3848030159822091E-3</c:v>
                </c:pt>
                <c:pt idx="65">
                  <c:v>5.4687100838843872E-3</c:v>
                </c:pt>
                <c:pt idx="66">
                  <c:v>5.5526100732741224E-3</c:v>
                </c:pt>
                <c:pt idx="67">
                  <c:v>5.6365029847486037E-3</c:v>
                </c:pt>
                <c:pt idx="68">
                  <c:v>5.720388818904909E-3</c:v>
                </c:pt>
                <c:pt idx="69">
                  <c:v>5.8042675763401164E-3</c:v>
                </c:pt>
                <c:pt idx="70">
                  <c:v>5.8881392576510816E-3</c:v>
                </c:pt>
                <c:pt idx="71">
                  <c:v>5.9720038634349937E-3</c:v>
                </c:pt>
                <c:pt idx="72">
                  <c:v>6.0558613942884865E-3</c:v>
                </c:pt>
                <c:pt idx="73">
                  <c:v>6.1397118508086379E-3</c:v>
                </c:pt>
                <c:pt idx="74">
                  <c:v>6.2235552335921929E-3</c:v>
                </c:pt>
                <c:pt idx="75">
                  <c:v>6.3073915432357852E-3</c:v>
                </c:pt>
                <c:pt idx="76">
                  <c:v>6.3912207803362708E-3</c:v>
                </c:pt>
                <c:pt idx="77">
                  <c:v>6.4750429454902836E-3</c:v>
                </c:pt>
                <c:pt idx="78">
                  <c:v>6.5588580392942353E-3</c:v>
                </c:pt>
                <c:pt idx="79">
                  <c:v>6.6426660623448708E-3</c:v>
                </c:pt>
                <c:pt idx="80">
                  <c:v>6.7264670152386019E-3</c:v>
                </c:pt>
                <c:pt idx="81">
                  <c:v>6.8102608985719515E-3</c:v>
                </c:pt>
                <c:pt idx="82">
                  <c:v>6.8940477129412203E-3</c:v>
                </c:pt>
                <c:pt idx="83">
                  <c:v>6.9778274589427092E-3</c:v>
                </c:pt>
                <c:pt idx="84">
                  <c:v>7.0616001371729409E-3</c:v>
                </c:pt>
                <c:pt idx="85">
                  <c:v>7.1453657482279942E-3</c:v>
                </c:pt>
                <c:pt idx="86">
                  <c:v>7.2291242927040589E-3</c:v>
                </c:pt>
                <c:pt idx="87">
                  <c:v>7.3128757711973247E-3</c:v>
                </c:pt>
                <c:pt idx="88">
                  <c:v>7.3966201843039814E-3</c:v>
                </c:pt>
                <c:pt idx="89">
                  <c:v>7.4803575326198857E-3</c:v>
                </c:pt>
                <c:pt idx="90">
                  <c:v>7.5640878167411163E-3</c:v>
                </c:pt>
                <c:pt idx="91">
                  <c:v>7.647811037263641E-3</c:v>
                </c:pt>
                <c:pt idx="92">
                  <c:v>7.7315271947833164E-3</c:v>
                </c:pt>
                <c:pt idx="93">
                  <c:v>7.8152362898959993E-3</c:v>
                </c:pt>
                <c:pt idx="94">
                  <c:v>7.8989383231975463E-3</c:v>
                </c:pt>
                <c:pt idx="95">
                  <c:v>7.9826332952835921E-3</c:v>
                </c:pt>
                <c:pt idx="96">
                  <c:v>8.0663212067498824E-3</c:v>
                </c:pt>
                <c:pt idx="97">
                  <c:v>8.1500020581921628E-3</c:v>
                </c:pt>
                <c:pt idx="98">
                  <c:v>8.233675850205846E-3</c:v>
                </c:pt>
                <c:pt idx="99">
                  <c:v>8.3173425833865666E-3</c:v>
                </c:pt>
                <c:pt idx="100">
                  <c:v>8.4010022583298483E-3</c:v>
                </c:pt>
                <c:pt idx="101">
                  <c:v>8.4846548756309925E-3</c:v>
                </c:pt>
                <c:pt idx="102">
                  <c:v>8.568300435885523E-3</c:v>
                </c:pt>
                <c:pt idx="103">
                  <c:v>8.6519389396888524E-3</c:v>
                </c:pt>
                <c:pt idx="104">
                  <c:v>8.7355703876360602E-3</c:v>
                </c:pt>
                <c:pt idx="105">
                  <c:v>8.819194780322559E-3</c:v>
                </c:pt>
                <c:pt idx="106">
                  <c:v>8.9028121183434283E-3</c:v>
                </c:pt>
                <c:pt idx="107">
                  <c:v>8.9864224022938588E-3</c:v>
                </c:pt>
                <c:pt idx="108">
                  <c:v>9.0700256327689299E-3</c:v>
                </c:pt>
                <c:pt idx="109">
                  <c:v>9.1536218103637212E-3</c:v>
                </c:pt>
                <c:pt idx="110">
                  <c:v>9.2372109356732013E-3</c:v>
                </c:pt>
                <c:pt idx="111">
                  <c:v>9.3207930092923386E-3</c:v>
                </c:pt>
                <c:pt idx="112">
                  <c:v>9.4043680318159906E-3</c:v>
                </c:pt>
                <c:pt idx="113">
                  <c:v>9.4879360038389038E-3</c:v>
                </c:pt>
                <c:pt idx="114">
                  <c:v>9.5714969259560467E-3</c:v>
                </c:pt>
                <c:pt idx="115">
                  <c:v>9.6550507987620549E-3</c:v>
                </c:pt>
                <c:pt idx="116">
                  <c:v>9.7385976228515636E-3</c:v>
                </c:pt>
                <c:pt idx="117">
                  <c:v>9.8221373988194305E-3</c:v>
                </c:pt>
                <c:pt idx="118">
                  <c:v>9.9056701272599579E-3</c:v>
                </c:pt>
                <c:pt idx="119">
                  <c:v>9.9891958087678923E-3</c:v>
                </c:pt>
                <c:pt idx="120">
                  <c:v>1.0072714443937647E-2</c:v>
                </c:pt>
                <c:pt idx="121">
                  <c:v>1.0156226033363636E-2</c:v>
                </c:pt>
                <c:pt idx="122">
                  <c:v>1.0239730577640271E-2</c:v>
                </c:pt>
                <c:pt idx="123">
                  <c:v>1.0323228077361968E-2</c:v>
                </c:pt>
                <c:pt idx="124">
                  <c:v>1.0406718533122916E-2</c:v>
                </c:pt>
                <c:pt idx="125">
                  <c:v>1.0490201945517308E-2</c:v>
                </c:pt>
                <c:pt idx="126">
                  <c:v>1.0573678315139445E-2</c:v>
                </c:pt>
                <c:pt idx="127">
                  <c:v>1.065714764258352E-2</c:v>
                </c:pt>
                <c:pt idx="128">
                  <c:v>1.074060992844339E-2</c:v>
                </c:pt>
                <c:pt idx="129">
                  <c:v>1.0824065173313246E-2</c:v>
                </c:pt>
                <c:pt idx="130">
                  <c:v>1.090751337778717E-2</c:v>
                </c:pt>
                <c:pt idx="131">
                  <c:v>1.0990954542458908E-2</c:v>
                </c:pt>
                <c:pt idx="132">
                  <c:v>1.107438866792243E-2</c:v>
                </c:pt>
                <c:pt idx="133">
                  <c:v>1.1157815754771594E-2</c:v>
                </c:pt>
                <c:pt idx="134">
                  <c:v>1.1241235803600147E-2</c:v>
                </c:pt>
                <c:pt idx="135">
                  <c:v>1.1324648815001837E-2</c:v>
                </c:pt>
                <c:pt idx="136">
                  <c:v>1.1408054789570299E-2</c:v>
                </c:pt>
                <c:pt idx="137">
                  <c:v>1.1491453727899392E-2</c:v>
                </c:pt>
                <c:pt idx="138">
                  <c:v>1.157484563058242E-2</c:v>
                </c:pt>
                <c:pt idx="139">
                  <c:v>1.1658230498213018E-2</c:v>
                </c:pt>
                <c:pt idx="140">
                  <c:v>1.1741608331384712E-2</c:v>
                </c:pt>
                <c:pt idx="141">
                  <c:v>1.1824979130690916E-2</c:v>
                </c:pt>
                <c:pt idx="142">
                  <c:v>1.1908342896725044E-2</c:v>
                </c:pt>
                <c:pt idx="143">
                  <c:v>1.1991699630080399E-2</c:v>
                </c:pt>
                <c:pt idx="144">
                  <c:v>1.2075049331350174E-2</c:v>
                </c:pt>
                <c:pt idx="145">
                  <c:v>1.2158392001127782E-2</c:v>
                </c:pt>
                <c:pt idx="146">
                  <c:v>1.2241727640006417E-2</c:v>
                </c:pt>
                <c:pt idx="147">
                  <c:v>1.2325056248579047E-2</c:v>
                </c:pt>
                <c:pt idx="148">
                  <c:v>1.2408377827438755E-2</c:v>
                </c:pt>
                <c:pt idx="149">
                  <c:v>1.2491692377178842E-2</c:v>
                </c:pt>
                <c:pt idx="150">
                  <c:v>1.2574999898391948E-2</c:v>
                </c:pt>
                <c:pt idx="151">
                  <c:v>1.2658300391671262E-2</c:v>
                </c:pt>
                <c:pt idx="152">
                  <c:v>1.2741593857609534E-2</c:v>
                </c:pt>
                <c:pt idx="153">
                  <c:v>1.2824880296799734E-2</c:v>
                </c:pt>
                <c:pt idx="154">
                  <c:v>1.2908159709834499E-2</c:v>
                </c:pt>
                <c:pt idx="155">
                  <c:v>1.2991432097306688E-2</c:v>
                </c:pt>
                <c:pt idx="156">
                  <c:v>1.3074697459808826E-2</c:v>
                </c:pt>
                <c:pt idx="157">
                  <c:v>1.3157955797933774E-2</c:v>
                </c:pt>
                <c:pt idx="158">
                  <c:v>1.3241207112273834E-2</c:v>
                </c:pt>
                <c:pt idx="159">
                  <c:v>1.3324451403421866E-2</c:v>
                </c:pt>
                <c:pt idx="160">
                  <c:v>1.3407688671970064E-2</c:v>
                </c:pt>
                <c:pt idx="161">
                  <c:v>1.3490918918511063E-2</c:v>
                </c:pt>
                <c:pt idx="162">
                  <c:v>1.3574142143637169E-2</c:v>
                </c:pt>
                <c:pt idx="163">
                  <c:v>1.3657358347940796E-2</c:v>
                </c:pt>
                <c:pt idx="164">
                  <c:v>1.3740567532014025E-2</c:v>
                </c:pt>
                <c:pt idx="165">
                  <c:v>1.3823769696449273E-2</c:v>
                </c:pt>
                <c:pt idx="166">
                  <c:v>1.3906964841838731E-2</c:v>
                </c:pt>
                <c:pt idx="167">
                  <c:v>1.3990152968774483E-2</c:v>
                </c:pt>
                <c:pt idx="168">
                  <c:v>1.4073334077848609E-2</c:v>
                </c:pt>
                <c:pt idx="169">
                  <c:v>1.4156508169653081E-2</c:v>
                </c:pt>
                <c:pt idx="170">
                  <c:v>1.4239675244779981E-2</c:v>
                </c:pt>
                <c:pt idx="171">
                  <c:v>1.432283530382128E-2</c:v>
                </c:pt>
                <c:pt idx="172">
                  <c:v>1.4405988347368726E-2</c:v>
                </c:pt>
                <c:pt idx="173">
                  <c:v>1.448913437601429E-2</c:v>
                </c:pt>
                <c:pt idx="174">
                  <c:v>1.4572273390349721E-2</c:v>
                </c:pt>
                <c:pt idx="175">
                  <c:v>1.4655405390966769E-2</c:v>
                </c:pt>
                <c:pt idx="176">
                  <c:v>1.473853037845696E-2</c:v>
                </c:pt>
                <c:pt idx="177">
                  <c:v>1.4821648353412153E-2</c:v>
                </c:pt>
                <c:pt idx="178">
                  <c:v>1.4904759316423877E-2</c:v>
                </c:pt>
                <c:pt idx="179">
                  <c:v>1.4987863268083546E-2</c:v>
                </c:pt>
                <c:pt idx="180">
                  <c:v>1.5070960208982798E-2</c:v>
                </c:pt>
                <c:pt idx="181">
                  <c:v>1.5154050139713049E-2</c:v>
                </c:pt>
                <c:pt idx="182">
                  <c:v>1.5237133060865493E-2</c:v>
                </c:pt>
                <c:pt idx="183">
                  <c:v>1.5320208973031768E-2</c:v>
                </c:pt>
                <c:pt idx="184">
                  <c:v>1.5403277876802957E-2</c:v>
                </c:pt>
                <c:pt idx="185">
                  <c:v>1.5486339772770363E-2</c:v>
                </c:pt>
                <c:pt idx="186">
                  <c:v>1.5569394661525071E-2</c:v>
                </c:pt>
                <c:pt idx="187">
                  <c:v>1.5652442543658496E-2</c:v>
                </c:pt>
                <c:pt idx="188">
                  <c:v>1.5735483419761387E-2</c:v>
                </c:pt>
                <c:pt idx="189">
                  <c:v>1.5818517290425049E-2</c:v>
                </c:pt>
                <c:pt idx="190">
                  <c:v>1.5901544156240233E-2</c:v>
                </c:pt>
                <c:pt idx="191">
                  <c:v>1.5984564017798131E-2</c:v>
                </c:pt>
                <c:pt idx="192">
                  <c:v>1.6067576875689382E-2</c:v>
                </c:pt>
                <c:pt idx="193">
                  <c:v>1.615058273050507E-2</c:v>
                </c:pt>
                <c:pt idx="194">
                  <c:v>1.6233581582835721E-2</c:v>
                </c:pt>
                <c:pt idx="195">
                  <c:v>1.6316573433272308E-2</c:v>
                </c:pt>
                <c:pt idx="196">
                  <c:v>1.6399558282405469E-2</c:v>
                </c:pt>
                <c:pt idx="197">
                  <c:v>1.6482536130825731E-2</c:v>
                </c:pt>
                <c:pt idx="198">
                  <c:v>1.6565506979123734E-2</c:v>
                </c:pt>
                <c:pt idx="199">
                  <c:v>1.6648470827890005E-2</c:v>
                </c:pt>
                <c:pt idx="200">
                  <c:v>1.6731427677715183E-2</c:v>
                </c:pt>
                <c:pt idx="201">
                  <c:v>1.6814377529189461E-2</c:v>
                </c:pt>
                <c:pt idx="202">
                  <c:v>1.689732038290348E-2</c:v>
                </c:pt>
                <c:pt idx="203">
                  <c:v>1.6980256239447322E-2</c:v>
                </c:pt>
                <c:pt idx="204">
                  <c:v>1.7063185099411515E-2</c:v>
                </c:pt>
                <c:pt idx="205">
                  <c:v>1.7146106963386143E-2</c:v>
                </c:pt>
                <c:pt idx="206">
                  <c:v>1.7229021831961511E-2</c:v>
                </c:pt>
                <c:pt idx="207">
                  <c:v>1.7311929705727702E-2</c:v>
                </c:pt>
                <c:pt idx="208">
                  <c:v>1.7394830585274801E-2</c:v>
                </c:pt>
                <c:pt idx="209">
                  <c:v>1.7477724471192779E-2</c:v>
                </c:pt>
                <c:pt idx="210">
                  <c:v>1.7560611364071832E-2</c:v>
                </c:pt>
                <c:pt idx="211">
                  <c:v>1.7643491264501709E-2</c:v>
                </c:pt>
                <c:pt idx="212">
                  <c:v>1.7726364173072273E-2</c:v>
                </c:pt>
                <c:pt idx="213">
                  <c:v>1.7809230090373607E-2</c:v>
                </c:pt>
                <c:pt idx="214">
                  <c:v>1.7892089016995349E-2</c:v>
                </c:pt>
                <c:pt idx="215">
                  <c:v>1.7974940953527141E-2</c:v>
                </c:pt>
                <c:pt idx="216">
                  <c:v>1.8057785900558843E-2</c:v>
                </c:pt>
                <c:pt idx="217">
                  <c:v>1.8140623858680094E-2</c:v>
                </c:pt>
                <c:pt idx="218">
                  <c:v>1.8223454828480423E-2</c:v>
                </c:pt>
                <c:pt idx="219">
                  <c:v>1.8306278810549359E-2</c:v>
                </c:pt>
                <c:pt idx="220">
                  <c:v>1.838909580547643E-2</c:v>
                </c:pt>
                <c:pt idx="221">
                  <c:v>1.8471905813851053E-2</c:v>
                </c:pt>
                <c:pt idx="222">
                  <c:v>1.8554708836262646E-2</c:v>
                </c:pt>
                <c:pt idx="223">
                  <c:v>1.8637504873300514E-2</c:v>
                </c:pt>
                <c:pt idx="224">
                  <c:v>1.8720293925554077E-2</c:v>
                </c:pt>
                <c:pt idx="225">
                  <c:v>1.8803075993612528E-2</c:v>
                </c:pt>
                <c:pt idx="226">
                  <c:v>1.8885851078064952E-2</c:v>
                </c:pt>
                <c:pt idx="227">
                  <c:v>1.8968619179500545E-2</c:v>
                </c:pt>
                <c:pt idx="228">
                  <c:v>1.9051380298508502E-2</c:v>
                </c:pt>
                <c:pt idx="229">
                  <c:v>1.9134134435677796E-2</c:v>
                </c:pt>
                <c:pt idx="230">
                  <c:v>1.9216881591597401E-2</c:v>
                </c:pt>
                <c:pt idx="231">
                  <c:v>1.929962176685629E-2</c:v>
                </c:pt>
                <c:pt idx="232">
                  <c:v>1.9382354962043435E-2</c:v>
                </c:pt>
                <c:pt idx="233">
                  <c:v>1.9465081177747479E-2</c:v>
                </c:pt>
                <c:pt idx="234">
                  <c:v>1.9547800414557504E-2</c:v>
                </c:pt>
                <c:pt idx="235">
                  <c:v>1.9630512673062039E-2</c:v>
                </c:pt>
                <c:pt idx="236">
                  <c:v>1.9713217953849838E-2</c:v>
                </c:pt>
                <c:pt idx="237">
                  <c:v>1.9795916257509538E-2</c:v>
                </c:pt>
                <c:pt idx="238">
                  <c:v>1.9878607584629782E-2</c:v>
                </c:pt>
                <c:pt idx="239">
                  <c:v>1.9961291935799208E-2</c:v>
                </c:pt>
                <c:pt idx="240">
                  <c:v>2.0043969311606125E-2</c:v>
                </c:pt>
                <c:pt idx="241">
                  <c:v>2.0126639712639061E-2</c:v>
                </c:pt>
                <c:pt idx="242">
                  <c:v>2.0209303139486434E-2</c:v>
                </c:pt>
                <c:pt idx="243">
                  <c:v>2.0291959592736664E-2</c:v>
                </c:pt>
                <c:pt idx="244">
                  <c:v>2.0374609072977945E-2</c:v>
                </c:pt>
                <c:pt idx="245">
                  <c:v>2.0457251580798474E-2</c:v>
                </c:pt>
                <c:pt idx="246">
                  <c:v>2.053988711678667E-2</c:v>
                </c:pt>
                <c:pt idx="247">
                  <c:v>2.0622515681530507E-2</c:v>
                </c:pt>
                <c:pt idx="248">
                  <c:v>2.0705137275618068E-2</c:v>
                </c:pt>
                <c:pt idx="249">
                  <c:v>2.0787751899637552E-2</c:v>
                </c:pt>
                <c:pt idx="250">
                  <c:v>2.0870359554176932E-2</c:v>
                </c:pt>
                <c:pt idx="251">
                  <c:v>2.095296023982407E-2</c:v>
                </c:pt>
                <c:pt idx="252">
                  <c:v>2.1035553957166941E-2</c:v>
                </c:pt>
                <c:pt idx="253">
                  <c:v>2.1118140706793298E-2</c:v>
                </c:pt>
                <c:pt idx="254">
                  <c:v>2.1200720489291114E-2</c:v>
                </c:pt>
                <c:pt idx="255">
                  <c:v>2.128329330524803E-2</c:v>
                </c:pt>
                <c:pt idx="256">
                  <c:v>2.1365859155251798E-2</c:v>
                </c:pt>
                <c:pt idx="257">
                  <c:v>2.144841803989006E-2</c:v>
                </c:pt>
                <c:pt idx="258">
                  <c:v>2.1530969959750457E-2</c:v>
                </c:pt>
                <c:pt idx="259">
                  <c:v>2.1613514915420518E-2</c:v>
                </c:pt>
                <c:pt idx="260">
                  <c:v>2.1696052907487662E-2</c:v>
                </c:pt>
                <c:pt idx="261">
                  <c:v>2.1778583936539531E-2</c:v>
                </c:pt>
                <c:pt idx="262">
                  <c:v>2.1861108003163432E-2</c:v>
                </c:pt>
                <c:pt idx="263">
                  <c:v>2.1943625107946674E-2</c:v>
                </c:pt>
                <c:pt idx="264">
                  <c:v>2.2026135251476675E-2</c:v>
                </c:pt>
                <c:pt idx="265">
                  <c:v>2.2108638434340633E-2</c:v>
                </c:pt>
                <c:pt idx="266">
                  <c:v>2.2191134657125744E-2</c:v>
                </c:pt>
                <c:pt idx="267">
                  <c:v>2.2273623920419205E-2</c:v>
                </c:pt>
                <c:pt idx="268">
                  <c:v>2.2356106224808103E-2</c:v>
                </c:pt>
                <c:pt idx="269">
                  <c:v>2.2438581570879523E-2</c:v>
                </c:pt>
                <c:pt idx="270">
                  <c:v>2.2521049959220552E-2</c:v>
                </c:pt>
                <c:pt idx="271">
                  <c:v>2.2603511390417941E-2</c:v>
                </c:pt>
                <c:pt idx="272">
                  <c:v>2.2685965865058888E-2</c:v>
                </c:pt>
                <c:pt idx="273">
                  <c:v>2.2768413383730035E-2</c:v>
                </c:pt>
                <c:pt idx="274">
                  <c:v>2.2850853947018246E-2</c:v>
                </c:pt>
                <c:pt idx="275">
                  <c:v>2.2933287555510273E-2</c:v>
                </c:pt>
                <c:pt idx="276">
                  <c:v>2.3015714209792981E-2</c:v>
                </c:pt>
                <c:pt idx="277">
                  <c:v>2.3098133910452789E-2</c:v>
                </c:pt>
                <c:pt idx="278">
                  <c:v>2.3180546658076562E-2</c:v>
                </c:pt>
                <c:pt idx="279">
                  <c:v>2.3262952453250718E-2</c:v>
                </c:pt>
                <c:pt idx="280">
                  <c:v>2.3345351296561789E-2</c:v>
                </c:pt>
                <c:pt idx="281">
                  <c:v>2.3427743188596195E-2</c:v>
                </c:pt>
                <c:pt idx="282">
                  <c:v>2.3510128129940577E-2</c:v>
                </c:pt>
                <c:pt idx="283">
                  <c:v>2.3592506121181023E-2</c:v>
                </c:pt>
                <c:pt idx="284">
                  <c:v>2.3674877162904062E-2</c:v>
                </c:pt>
                <c:pt idx="285">
                  <c:v>2.3757241255695782E-2</c:v>
                </c:pt>
                <c:pt idx="286">
                  <c:v>2.3839598400142603E-2</c:v>
                </c:pt>
                <c:pt idx="287">
                  <c:v>2.3921948596830611E-2</c:v>
                </c:pt>
                <c:pt idx="288">
                  <c:v>2.4004291846345893E-2</c:v>
                </c:pt>
                <c:pt idx="289">
                  <c:v>2.4086628149274536E-2</c:v>
                </c:pt>
                <c:pt idx="290">
                  <c:v>2.4168957506202515E-2</c:v>
                </c:pt>
                <c:pt idx="291">
                  <c:v>2.4251279917715918E-2</c:v>
                </c:pt>
                <c:pt idx="292">
                  <c:v>2.4333595384400608E-2</c:v>
                </c:pt>
                <c:pt idx="293">
                  <c:v>2.4415903906842562E-2</c:v>
                </c:pt>
                <c:pt idx="294">
                  <c:v>2.4498205485627422E-2</c:v>
                </c:pt>
                <c:pt idx="295">
                  <c:v>2.4580500121340942E-2</c:v>
                </c:pt>
                <c:pt idx="296">
                  <c:v>2.4662787814569098E-2</c:v>
                </c:pt>
                <c:pt idx="297">
                  <c:v>2.4745068565897421E-2</c:v>
                </c:pt>
                <c:pt idx="298">
                  <c:v>2.4827342375911554E-2</c:v>
                </c:pt>
                <c:pt idx="299">
                  <c:v>2.4909609245197029E-2</c:v>
                </c:pt>
                <c:pt idx="300">
                  <c:v>2.4991869174339376E-2</c:v>
                </c:pt>
                <c:pt idx="301">
                  <c:v>2.5074122163924129E-2</c:v>
                </c:pt>
                <c:pt idx="302">
                  <c:v>2.5156368214536706E-2</c:v>
                </c:pt>
                <c:pt idx="303">
                  <c:v>2.523860732676253E-2</c:v>
                </c:pt>
                <c:pt idx="304">
                  <c:v>2.5320839501186909E-2</c:v>
                </c:pt>
                <c:pt idx="305">
                  <c:v>2.5403064738395043E-2</c:v>
                </c:pt>
                <c:pt idx="306">
                  <c:v>2.548528303897224E-2</c:v>
                </c:pt>
                <c:pt idx="307">
                  <c:v>2.5567494403503588E-2</c:v>
                </c:pt>
                <c:pt idx="308">
                  <c:v>2.5649698832574397E-2</c:v>
                </c:pt>
                <c:pt idx="309">
                  <c:v>2.5731896326769643E-2</c:v>
                </c:pt>
                <c:pt idx="310">
                  <c:v>2.5814086886674414E-2</c:v>
                </c:pt>
                <c:pt idx="311">
                  <c:v>2.5896270512873576E-2</c:v>
                </c:pt>
                <c:pt idx="312">
                  <c:v>2.5978447205952215E-2</c:v>
                </c:pt>
                <c:pt idx="313">
                  <c:v>2.6060616966495087E-2</c:v>
                </c:pt>
                <c:pt idx="314">
                  <c:v>2.6142779795087057E-2</c:v>
                </c:pt>
                <c:pt idx="315">
                  <c:v>2.6224935692312989E-2</c:v>
                </c:pt>
                <c:pt idx="316">
                  <c:v>2.630708465875764E-2</c:v>
                </c:pt>
                <c:pt idx="317">
                  <c:v>2.6389226695005652E-2</c:v>
                </c:pt>
                <c:pt idx="318">
                  <c:v>2.6471361801641557E-2</c:v>
                </c:pt>
                <c:pt idx="319">
                  <c:v>2.6553489979250111E-2</c:v>
                </c:pt>
                <c:pt idx="320">
                  <c:v>2.6635611228415734E-2</c:v>
                </c:pt>
                <c:pt idx="321">
                  <c:v>2.671772554972307E-2</c:v>
                </c:pt>
                <c:pt idx="322">
                  <c:v>2.6799832943756319E-2</c:v>
                </c:pt>
                <c:pt idx="323">
                  <c:v>2.6881933411100123E-2</c:v>
                </c:pt>
                <c:pt idx="324">
                  <c:v>2.6964026952338682E-2</c:v>
                </c:pt>
                <c:pt idx="325">
                  <c:v>2.7046113568056418E-2</c:v>
                </c:pt>
                <c:pt idx="326">
                  <c:v>2.7128193258837419E-2</c:v>
                </c:pt>
                <c:pt idx="327">
                  <c:v>2.7210266025265994E-2</c:v>
                </c:pt>
                <c:pt idx="328">
                  <c:v>2.7292331867926234E-2</c:v>
                </c:pt>
                <c:pt idx="329">
                  <c:v>2.7374390787402225E-2</c:v>
                </c:pt>
                <c:pt idx="330">
                  <c:v>2.7456442784278168E-2</c:v>
                </c:pt>
                <c:pt idx="331">
                  <c:v>2.7538487859137817E-2</c:v>
                </c:pt>
                <c:pt idx="332">
                  <c:v>2.7620526012565372E-2</c:v>
                </c:pt>
                <c:pt idx="333">
                  <c:v>2.7702557245144477E-2</c:v>
                </c:pt>
                <c:pt idx="334">
                  <c:v>2.778458155745922E-2</c:v>
                </c:pt>
                <c:pt idx="335">
                  <c:v>2.7866598950093247E-2</c:v>
                </c:pt>
                <c:pt idx="336">
                  <c:v>2.7948609423630422E-2</c:v>
                </c:pt>
                <c:pt idx="337">
                  <c:v>2.8030612978654279E-2</c:v>
                </c:pt>
                <c:pt idx="338">
                  <c:v>2.8112609615748685E-2</c:v>
                </c:pt>
                <c:pt idx="339">
                  <c:v>2.8194599335497172E-2</c:v>
                </c:pt>
                <c:pt idx="340">
                  <c:v>2.8276582138483275E-2</c:v>
                </c:pt>
                <c:pt idx="341">
                  <c:v>2.8358558025290415E-2</c:v>
                </c:pt>
                <c:pt idx="342">
                  <c:v>2.8440526996502125E-2</c:v>
                </c:pt>
                <c:pt idx="343">
                  <c:v>2.8522489052701938E-2</c:v>
                </c:pt>
                <c:pt idx="344">
                  <c:v>2.8604444194473055E-2</c:v>
                </c:pt>
                <c:pt idx="345">
                  <c:v>2.8686392422398788E-2</c:v>
                </c:pt>
                <c:pt idx="346">
                  <c:v>2.8768333737062446E-2</c:v>
                </c:pt>
                <c:pt idx="347">
                  <c:v>2.885026813904723E-2</c:v>
                </c:pt>
                <c:pt idx="348">
                  <c:v>2.8932195628936341E-2</c:v>
                </c:pt>
                <c:pt idx="349">
                  <c:v>2.9014116207312868E-2</c:v>
                </c:pt>
                <c:pt idx="350">
                  <c:v>2.9096029874759899E-2</c:v>
                </c:pt>
                <c:pt idx="351">
                  <c:v>2.9177936631860413E-2</c:v>
                </c:pt>
                <c:pt idx="352">
                  <c:v>2.9259836479197276E-2</c:v>
                </c:pt>
                <c:pt idx="353">
                  <c:v>2.9341729417353579E-2</c:v>
                </c:pt>
                <c:pt idx="354">
                  <c:v>2.9423615446912188E-2</c:v>
                </c:pt>
                <c:pt idx="355">
                  <c:v>2.9505494568455748E-2</c:v>
                </c:pt>
                <c:pt idx="356">
                  <c:v>2.9587366782567237E-2</c:v>
                </c:pt>
                <c:pt idx="357">
                  <c:v>2.9669232089829189E-2</c:v>
                </c:pt>
                <c:pt idx="358">
                  <c:v>2.9751090490824361E-2</c:v>
                </c:pt>
                <c:pt idx="359">
                  <c:v>2.9832941986135397E-2</c:v>
                </c:pt>
                <c:pt idx="360">
                  <c:v>2.9914786576344832E-2</c:v>
                </c:pt>
                <c:pt idx="361">
                  <c:v>2.999662426203531E-2</c:v>
                </c:pt>
                <c:pt idx="362">
                  <c:v>3.0078455043789032E-2</c:v>
                </c:pt>
                <c:pt idx="363">
                  <c:v>3.0160278922188644E-2</c:v>
                </c:pt>
                <c:pt idx="364">
                  <c:v>3.0242095897816568E-2</c:v>
                </c:pt>
                <c:pt idx="365">
                  <c:v>3.0323905971254894E-2</c:v>
                </c:pt>
                <c:pt idx="366">
                  <c:v>3.0405709143086157E-2</c:v>
                </c:pt>
                <c:pt idx="367">
                  <c:v>3.0487505413892335E-2</c:v>
                </c:pt>
                <c:pt idx="368">
                  <c:v>3.0569294784255852E-2</c:v>
                </c:pt>
                <c:pt idx="369">
                  <c:v>3.0651077254758685E-2</c:v>
                </c:pt>
                <c:pt idx="370">
                  <c:v>3.0732852825982926E-2</c:v>
                </c:pt>
                <c:pt idx="371">
                  <c:v>3.0814621498510664E-2</c:v>
                </c:pt>
                <c:pt idx="372">
                  <c:v>3.0896383272923877E-2</c:v>
                </c:pt>
                <c:pt idx="373">
                  <c:v>3.0978138149804546E-2</c:v>
                </c:pt>
                <c:pt idx="374">
                  <c:v>3.1059886129734315E-2</c:v>
                </c:pt>
                <c:pt idx="375">
                  <c:v>3.1141627213295386E-2</c:v>
                </c:pt>
                <c:pt idx="376">
                  <c:v>3.1223361401069183E-2</c:v>
                </c:pt>
                <c:pt idx="377">
                  <c:v>3.1305088693637684E-2</c:v>
                </c:pt>
                <c:pt idx="378">
                  <c:v>3.1386809091582535E-2</c:v>
                </c:pt>
                <c:pt idx="379">
                  <c:v>3.1468522595485271E-2</c:v>
                </c:pt>
                <c:pt idx="380">
                  <c:v>3.1550229205927649E-2</c:v>
                </c:pt>
                <c:pt idx="381">
                  <c:v>3.1631928923491093E-2</c:v>
                </c:pt>
                <c:pt idx="382">
                  <c:v>3.1713621748757137E-2</c:v>
                </c:pt>
                <c:pt idx="383">
                  <c:v>3.1795307682307095E-2</c:v>
                </c:pt>
                <c:pt idx="384">
                  <c:v>3.1876986724722611E-2</c:v>
                </c:pt>
                <c:pt idx="385">
                  <c:v>3.1958658876584889E-2</c:v>
                </c:pt>
                <c:pt idx="386">
                  <c:v>3.2040324138475129E-2</c:v>
                </c:pt>
                <c:pt idx="387">
                  <c:v>3.2121982510974756E-2</c:v>
                </c:pt>
                <c:pt idx="388">
                  <c:v>3.220363399466486E-2</c:v>
                </c:pt>
                <c:pt idx="389">
                  <c:v>3.2285278590126754E-2</c:v>
                </c:pt>
                <c:pt idx="390">
                  <c:v>3.2366916297941306E-2</c:v>
                </c:pt>
                <c:pt idx="391">
                  <c:v>3.2448547118689608E-2</c:v>
                </c:pt>
                <c:pt idx="392">
                  <c:v>3.2530171052952861E-2</c:v>
                </c:pt>
                <c:pt idx="393">
                  <c:v>3.2611788101311823E-2</c:v>
                </c:pt>
                <c:pt idx="394">
                  <c:v>3.2693398264347362E-2</c:v>
                </c:pt>
                <c:pt idx="395">
                  <c:v>3.2775001542640569E-2</c:v>
                </c:pt>
                <c:pt idx="396">
                  <c:v>3.2856597936771981E-2</c:v>
                </c:pt>
                <c:pt idx="397">
                  <c:v>3.2938187447322576E-2</c:v>
                </c:pt>
                <c:pt idx="398">
                  <c:v>3.3019770074873001E-2</c:v>
                </c:pt>
                <c:pt idx="399">
                  <c:v>3.3101345820003791E-2</c:v>
                </c:pt>
                <c:pt idx="400">
                  <c:v>3.3182914683295706E-2</c:v>
                </c:pt>
                <c:pt idx="401">
                  <c:v>3.3264476665329168E-2</c:v>
                </c:pt>
                <c:pt idx="402">
                  <c:v>3.3346031766684825E-2</c:v>
                </c:pt>
                <c:pt idx="403">
                  <c:v>3.3427579987943101E-2</c:v>
                </c:pt>
                <c:pt idx="404">
                  <c:v>3.3509121329684421E-2</c:v>
                </c:pt>
                <c:pt idx="405">
                  <c:v>3.3590655792489099E-2</c:v>
                </c:pt>
                <c:pt idx="406">
                  <c:v>3.3672183376937448E-2</c:v>
                </c:pt>
                <c:pt idx="407">
                  <c:v>3.3753704083609781E-2</c:v>
                </c:pt>
                <c:pt idx="408">
                  <c:v>3.3835217913086302E-2</c:v>
                </c:pt>
                <c:pt idx="409">
                  <c:v>3.3916724865947212E-2</c:v>
                </c:pt>
                <c:pt idx="410">
                  <c:v>3.3998224942772493E-2</c:v>
                </c:pt>
                <c:pt idx="411">
                  <c:v>3.4079718144142457E-2</c:v>
                </c:pt>
                <c:pt idx="412">
                  <c:v>3.4161204470636863E-2</c:v>
                </c:pt>
                <c:pt idx="413">
                  <c:v>3.4242683922835915E-2</c:v>
                </c:pt>
                <c:pt idx="414">
                  <c:v>3.4324156501319369E-2</c:v>
                </c:pt>
                <c:pt idx="415">
                  <c:v>3.4405622206667208E-2</c:v>
                </c:pt>
                <c:pt idx="416">
                  <c:v>3.4487081039459189E-2</c:v>
                </c:pt>
                <c:pt idx="417">
                  <c:v>3.456853300027507E-2</c:v>
                </c:pt>
                <c:pt idx="418">
                  <c:v>3.4649978089694722E-2</c:v>
                </c:pt>
                <c:pt idx="419">
                  <c:v>3.473141630829768E-2</c:v>
                </c:pt>
                <c:pt idx="420">
                  <c:v>3.4812847656663592E-2</c:v>
                </c:pt>
                <c:pt idx="421">
                  <c:v>3.4894272135372106E-2</c:v>
                </c:pt>
                <c:pt idx="422">
                  <c:v>3.4975689745002758E-2</c:v>
                </c:pt>
                <c:pt idx="423">
                  <c:v>3.5057100486134973E-2</c:v>
                </c:pt>
                <c:pt idx="424">
                  <c:v>3.5138504359348288E-2</c:v>
                </c:pt>
                <c:pt idx="425">
                  <c:v>3.5219901365221906E-2</c:v>
                </c:pt>
                <c:pt idx="426">
                  <c:v>3.5301291504335364E-2</c:v>
                </c:pt>
                <c:pt idx="427">
                  <c:v>3.5382674777267753E-2</c:v>
                </c:pt>
                <c:pt idx="428">
                  <c:v>3.54640511845985E-2</c:v>
                </c:pt>
                <c:pt idx="429">
                  <c:v>3.5545420726906696E-2</c:v>
                </c:pt>
                <c:pt idx="430">
                  <c:v>3.5626783404771545E-2</c:v>
                </c:pt>
                <c:pt idx="431">
                  <c:v>3.5708139218772028E-2</c:v>
                </c:pt>
                <c:pt idx="432">
                  <c:v>3.5789488169487349E-2</c:v>
                </c:pt>
                <c:pt idx="433">
                  <c:v>3.5870830257496378E-2</c:v>
                </c:pt>
                <c:pt idx="434">
                  <c:v>3.5952165483378096E-2</c:v>
                </c:pt>
                <c:pt idx="435">
                  <c:v>3.6033493847711373E-2</c:v>
                </c:pt>
                <c:pt idx="436">
                  <c:v>3.611481535107508E-2</c:v>
                </c:pt>
                <c:pt idx="437">
                  <c:v>3.6196129994048087E-2</c:v>
                </c:pt>
                <c:pt idx="438">
                  <c:v>3.6277437777209043E-2</c:v>
                </c:pt>
                <c:pt idx="439">
                  <c:v>3.6358738701136706E-2</c:v>
                </c:pt>
                <c:pt idx="440">
                  <c:v>3.6440032766409836E-2</c:v>
                </c:pt>
                <c:pt idx="441">
                  <c:v>3.6521319973606747E-2</c:v>
                </c:pt>
                <c:pt idx="442">
                  <c:v>3.6602600323306311E-2</c:v>
                </c:pt>
                <c:pt idx="443">
                  <c:v>3.6683873816086843E-2</c:v>
                </c:pt>
                <c:pt idx="444">
                  <c:v>3.6765140452526768E-2</c:v>
                </c:pt>
                <c:pt idx="445">
                  <c:v>3.6846400233204735E-2</c:v>
                </c:pt>
                <c:pt idx="446">
                  <c:v>3.6927653158698837E-2</c:v>
                </c:pt>
                <c:pt idx="447">
                  <c:v>3.70088992295875E-2</c:v>
                </c:pt>
                <c:pt idx="448">
                  <c:v>3.7090138446449039E-2</c:v>
                </c:pt>
                <c:pt idx="449">
                  <c:v>3.7171370809861659E-2</c:v>
                </c:pt>
                <c:pt idx="450">
                  <c:v>3.7252596320403453E-2</c:v>
                </c:pt>
                <c:pt idx="451">
                  <c:v>3.7333814978652513E-2</c:v>
                </c:pt>
                <c:pt idx="452">
                  <c:v>3.7415026785187044E-2</c:v>
                </c:pt>
                <c:pt idx="453">
                  <c:v>3.7496231740584918E-2</c:v>
                </c:pt>
                <c:pt idx="454">
                  <c:v>3.7577429845424226E-2</c:v>
                </c:pt>
                <c:pt idx="455">
                  <c:v>3.7658621100282841E-2</c:v>
                </c:pt>
                <c:pt idx="456">
                  <c:v>3.7739805505738633E-2</c:v>
                </c:pt>
                <c:pt idx="457">
                  <c:v>3.7820983062369473E-2</c:v>
                </c:pt>
                <c:pt idx="458">
                  <c:v>3.7902153770753011E-2</c:v>
                </c:pt>
                <c:pt idx="459">
                  <c:v>3.7983317631467117E-2</c:v>
                </c:pt>
                <c:pt idx="460">
                  <c:v>3.806447464508933E-2</c:v>
                </c:pt>
                <c:pt idx="461">
                  <c:v>3.814562481219741E-2</c:v>
                </c:pt>
                <c:pt idx="462">
                  <c:v>3.8226768133368894E-2</c:v>
                </c:pt>
                <c:pt idx="463">
                  <c:v>3.830790460918132E-2</c:v>
                </c:pt>
                <c:pt idx="464">
                  <c:v>3.8389034240212117E-2</c:v>
                </c:pt>
                <c:pt idx="465">
                  <c:v>3.847015702703882E-2</c:v>
                </c:pt>
                <c:pt idx="466">
                  <c:v>3.8551272970238748E-2</c:v>
                </c:pt>
                <c:pt idx="467">
                  <c:v>3.8632382070389215E-2</c:v>
                </c:pt>
                <c:pt idx="468">
                  <c:v>3.8713484328067538E-2</c:v>
                </c:pt>
                <c:pt idx="469">
                  <c:v>3.8794579743851032E-2</c:v>
                </c:pt>
                <c:pt idx="470">
                  <c:v>3.8875668318316792E-2</c:v>
                </c:pt>
                <c:pt idx="471">
                  <c:v>3.8956750052041911E-2</c:v>
                </c:pt>
                <c:pt idx="472">
                  <c:v>3.9037824945603705E-2</c:v>
                </c:pt>
                <c:pt idx="473">
                  <c:v>3.9118892999578936E-2</c:v>
                </c:pt>
                <c:pt idx="474">
                  <c:v>3.9199954214544808E-2</c:v>
                </c:pt>
                <c:pt idx="475">
                  <c:v>3.9281008591078193E-2</c:v>
                </c:pt>
                <c:pt idx="476">
                  <c:v>3.9362056129755962E-2</c:v>
                </c:pt>
                <c:pt idx="477">
                  <c:v>3.9443096831154989E-2</c:v>
                </c:pt>
                <c:pt idx="478">
                  <c:v>3.9524130695852144E-2</c:v>
                </c:pt>
                <c:pt idx="479">
                  <c:v>3.9605157724424078E-2</c:v>
                </c:pt>
                <c:pt idx="480">
                  <c:v>3.9686177917447663E-2</c:v>
                </c:pt>
                <c:pt idx="481">
                  <c:v>3.9767191275499325E-2</c:v>
                </c:pt>
                <c:pt idx="482">
                  <c:v>3.9848197799155716E-2</c:v>
                </c:pt>
                <c:pt idx="483">
                  <c:v>3.9929197488993595E-2</c:v>
                </c:pt>
                <c:pt idx="484">
                  <c:v>4.001019034558928E-2</c:v>
                </c:pt>
                <c:pt idx="485">
                  <c:v>4.009117636951931E-2</c:v>
                </c:pt>
                <c:pt idx="486">
                  <c:v>4.0172155561360001E-2</c:v>
                </c:pt>
                <c:pt idx="487">
                  <c:v>4.0253127921687892E-2</c:v>
                </c:pt>
                <c:pt idx="488">
                  <c:v>4.0334093451079078E-2</c:v>
                </c:pt>
                <c:pt idx="489">
                  <c:v>4.0415052150110098E-2</c:v>
                </c:pt>
                <c:pt idx="490">
                  <c:v>4.0496004019356935E-2</c:v>
                </c:pt>
                <c:pt idx="491">
                  <c:v>4.0576949059395795E-2</c:v>
                </c:pt>
                <c:pt idx="492">
                  <c:v>4.0657887270802884E-2</c:v>
                </c:pt>
                <c:pt idx="493">
                  <c:v>4.0738818654154296E-2</c:v>
                </c:pt>
                <c:pt idx="494">
                  <c:v>4.0819743210025905E-2</c:v>
                </c:pt>
                <c:pt idx="495">
                  <c:v>4.0900660938993916E-2</c:v>
                </c:pt>
                <c:pt idx="496">
                  <c:v>4.0981571841633979E-2</c:v>
                </c:pt>
                <c:pt idx="497">
                  <c:v>4.106247591852219E-2</c:v>
                </c:pt>
                <c:pt idx="498">
                  <c:v>4.1143373170234199E-2</c:v>
                </c:pt>
                <c:pt idx="499">
                  <c:v>4.1224263597345989E-2</c:v>
                </c:pt>
                <c:pt idx="500">
                  <c:v>4.1305147200433212E-2</c:v>
                </c:pt>
                <c:pt idx="501">
                  <c:v>4.1386023980071407E-2</c:v>
                </c:pt>
                <c:pt idx="502">
                  <c:v>4.1466893936836446E-2</c:v>
                </c:pt>
                <c:pt idx="503">
                  <c:v>4.1547757071303759E-2</c:v>
                </c:pt>
                <c:pt idx="504">
                  <c:v>4.1628613384048885E-2</c:v>
                </c:pt>
                <c:pt idx="505">
                  <c:v>4.1709462875647363E-2</c:v>
                </c:pt>
                <c:pt idx="506">
                  <c:v>4.1790305546674733E-2</c:v>
                </c:pt>
                <c:pt idx="507">
                  <c:v>4.1871141397706202E-2</c:v>
                </c:pt>
                <c:pt idx="508">
                  <c:v>4.1951970429317198E-2</c:v>
                </c:pt>
                <c:pt idx="509">
                  <c:v>4.2032792642083039E-2</c:v>
                </c:pt>
                <c:pt idx="510">
                  <c:v>4.2113608036578931E-2</c:v>
                </c:pt>
                <c:pt idx="511">
                  <c:v>4.2194416613380081E-2</c:v>
                </c:pt>
                <c:pt idx="512">
                  <c:v>4.2275218373061585E-2</c:v>
                </c:pt>
                <c:pt idx="513">
                  <c:v>4.2356013316198649E-2</c:v>
                </c:pt>
                <c:pt idx="514">
                  <c:v>4.2436801443366257E-2</c:v>
                </c:pt>
                <c:pt idx="515">
                  <c:v>4.2517582755139505E-2</c:v>
                </c:pt>
                <c:pt idx="516">
                  <c:v>4.2598357252093266E-2</c:v>
                </c:pt>
                <c:pt idx="517">
                  <c:v>4.2679124934802415E-2</c:v>
                </c:pt>
                <c:pt idx="518">
                  <c:v>4.2759885803841935E-2</c:v>
                </c:pt>
                <c:pt idx="519">
                  <c:v>4.2840639859786478E-2</c:v>
                </c:pt>
                <c:pt idx="520">
                  <c:v>4.2921387103210917E-2</c:v>
                </c:pt>
                <c:pt idx="521">
                  <c:v>4.3002127534689905E-2</c:v>
                </c:pt>
                <c:pt idx="522">
                  <c:v>4.3082861154798202E-2</c:v>
                </c:pt>
                <c:pt idx="523">
                  <c:v>4.316358796411035E-2</c:v>
                </c:pt>
                <c:pt idx="524">
                  <c:v>4.324430796320089E-2</c:v>
                </c:pt>
                <c:pt idx="525">
                  <c:v>4.3325021152644361E-2</c:v>
                </c:pt>
                <c:pt idx="526">
                  <c:v>4.3405727533015304E-2</c:v>
                </c:pt>
                <c:pt idx="527">
                  <c:v>4.3486427104888037E-2</c:v>
                </c:pt>
                <c:pt idx="528">
                  <c:v>4.356711986883699E-2</c:v>
                </c:pt>
                <c:pt idx="529">
                  <c:v>4.3647805825436481E-2</c:v>
                </c:pt>
                <c:pt idx="530">
                  <c:v>4.3728484975260828E-2</c:v>
                </c:pt>
                <c:pt idx="531">
                  <c:v>4.380915731888424E-2</c:v>
                </c:pt>
                <c:pt idx="532">
                  <c:v>4.3889822856880811E-2</c:v>
                </c:pt>
                <c:pt idx="533">
                  <c:v>4.397048158982475E-2</c:v>
                </c:pt>
                <c:pt idx="534">
                  <c:v>4.4051133518290153E-2</c:v>
                </c:pt>
                <c:pt idx="535">
                  <c:v>4.4131778642851005E-2</c:v>
                </c:pt>
                <c:pt idx="536">
                  <c:v>4.4212416964081402E-2</c:v>
                </c:pt>
                <c:pt idx="537">
                  <c:v>4.4293048482555109E-2</c:v>
                </c:pt>
                <c:pt idx="538">
                  <c:v>4.4373673198846109E-2</c:v>
                </c:pt>
                <c:pt idx="539">
                  <c:v>4.4454291113528277E-2</c:v>
                </c:pt>
                <c:pt idx="540">
                  <c:v>4.4534902227175377E-2</c:v>
                </c:pt>
                <c:pt idx="541">
                  <c:v>4.4615506540361061E-2</c:v>
                </c:pt>
                <c:pt idx="542">
                  <c:v>4.4696104053659202E-2</c:v>
                </c:pt>
                <c:pt idx="543">
                  <c:v>4.4776694767643344E-2</c:v>
                </c:pt>
                <c:pt idx="544">
                  <c:v>4.4857278682887136E-2</c:v>
                </c:pt>
                <c:pt idx="545">
                  <c:v>4.493785579996401E-2</c:v>
                </c:pt>
                <c:pt idx="546">
                  <c:v>4.5018426119447619E-2</c:v>
                </c:pt>
                <c:pt idx="547">
                  <c:v>4.509898964191128E-2</c:v>
                </c:pt>
                <c:pt idx="548">
                  <c:v>4.5179546367928536E-2</c:v>
                </c:pt>
                <c:pt idx="549">
                  <c:v>4.5260096298072594E-2</c:v>
                </c:pt>
                <c:pt idx="550">
                  <c:v>4.5340639432916885E-2</c:v>
                </c:pt>
                <c:pt idx="551">
                  <c:v>4.5421175773034617E-2</c:v>
                </c:pt>
                <c:pt idx="552">
                  <c:v>4.5501705318998997E-2</c:v>
                </c:pt>
                <c:pt idx="553">
                  <c:v>4.5582228071383235E-2</c:v>
                </c:pt>
                <c:pt idx="554">
                  <c:v>4.5662744030760427E-2</c:v>
                </c:pt>
                <c:pt idx="555">
                  <c:v>4.5743253197703559E-2</c:v>
                </c:pt>
                <c:pt idx="556">
                  <c:v>4.582375557278584E-2</c:v>
                </c:pt>
                <c:pt idx="557">
                  <c:v>4.5904251156580034E-2</c:v>
                </c:pt>
                <c:pt idx="558">
                  <c:v>4.5984739949659126E-2</c:v>
                </c:pt>
                <c:pt idx="559">
                  <c:v>4.6065221952596103E-2</c:v>
                </c:pt>
                <c:pt idx="560">
                  <c:v>4.6145697165963617E-2</c:v>
                </c:pt>
                <c:pt idx="561">
                  <c:v>4.6226165590334545E-2</c:v>
                </c:pt>
                <c:pt idx="562">
                  <c:v>4.6306627226281649E-2</c:v>
                </c:pt>
                <c:pt idx="563">
                  <c:v>4.6387082074377473E-2</c:v>
                </c:pt>
                <c:pt idx="564">
                  <c:v>4.646753013519489E-2</c:v>
                </c:pt>
                <c:pt idx="565">
                  <c:v>4.6547971409306221E-2</c:v>
                </c:pt>
                <c:pt idx="566">
                  <c:v>4.662840589728412E-2</c:v>
                </c:pt>
                <c:pt idx="567">
                  <c:v>4.6708833599701016E-2</c:v>
                </c:pt>
                <c:pt idx="568">
                  <c:v>4.6789254517129453E-2</c:v>
                </c:pt>
                <c:pt idx="569">
                  <c:v>4.6869668650141749E-2</c:v>
                </c:pt>
                <c:pt idx="570">
                  <c:v>4.6950075999310337E-2</c:v>
                </c:pt>
                <c:pt idx="571">
                  <c:v>4.7030476565207424E-2</c:v>
                </c:pt>
                <c:pt idx="572">
                  <c:v>4.711087034840522E-2</c:v>
                </c:pt>
                <c:pt idx="573">
                  <c:v>4.7191257349475935E-2</c:v>
                </c:pt>
                <c:pt idx="574">
                  <c:v>4.7271637568991776E-2</c:v>
                </c:pt>
                <c:pt idx="575">
                  <c:v>4.7352011007524841E-2</c:v>
                </c:pt>
                <c:pt idx="576">
                  <c:v>4.743237766564723E-2</c:v>
                </c:pt>
                <c:pt idx="577">
                  <c:v>4.7512737543930816E-2</c:v>
                </c:pt>
                <c:pt idx="578">
                  <c:v>4.7593090642947589E-2</c:v>
                </c:pt>
                <c:pt idx="579">
                  <c:v>4.7673436963269533E-2</c:v>
                </c:pt>
                <c:pt idx="580">
                  <c:v>4.7753776505468526E-2</c:v>
                </c:pt>
                <c:pt idx="581">
                  <c:v>4.7834109270116221E-2</c:v>
                </c:pt>
                <c:pt idx="582">
                  <c:v>4.7914435257784493E-2</c:v>
                </c:pt>
                <c:pt idx="583">
                  <c:v>4.7994754469045109E-2</c:v>
                </c:pt>
                <c:pt idx="584">
                  <c:v>4.807506690446961E-2</c:v>
                </c:pt>
                <c:pt idx="585">
                  <c:v>4.815537256462965E-2</c:v>
                </c:pt>
                <c:pt idx="586">
                  <c:v>4.8235671450096884E-2</c:v>
                </c:pt>
                <c:pt idx="587">
                  <c:v>4.8315963561442743E-2</c:v>
                </c:pt>
                <c:pt idx="588">
                  <c:v>4.839624889923877E-2</c:v>
                </c:pt>
                <c:pt idx="589">
                  <c:v>4.8476527464056285E-2</c:v>
                </c:pt>
                <c:pt idx="590">
                  <c:v>4.8556799256466721E-2</c:v>
                </c:pt>
                <c:pt idx="591">
                  <c:v>4.8637064277041508E-2</c:v>
                </c:pt>
                <c:pt idx="592">
                  <c:v>4.8717322526351747E-2</c:v>
                </c:pt>
                <c:pt idx="593">
                  <c:v>4.8797574004968869E-2</c:v>
                </c:pt>
                <c:pt idx="594">
                  <c:v>4.8877818713463861E-2</c:v>
                </c:pt>
                <c:pt idx="595">
                  <c:v>4.8958056652408044E-2</c:v>
                </c:pt>
                <c:pt idx="596">
                  <c:v>4.9038287822372295E-2</c:v>
                </c:pt>
                <c:pt idx="597">
                  <c:v>4.9118512223927824E-2</c:v>
                </c:pt>
                <c:pt idx="598">
                  <c:v>4.9198729857645618E-2</c:v>
                </c:pt>
                <c:pt idx="599">
                  <c:v>4.9278940724096554E-2</c:v>
                </c:pt>
                <c:pt idx="600">
                  <c:v>4.9359144823851508E-2</c:v>
                </c:pt>
                <c:pt idx="601">
                  <c:v>4.9439342157481359E-2</c:v>
                </c:pt>
                <c:pt idx="602">
                  <c:v>4.9519532725556981E-2</c:v>
                </c:pt>
                <c:pt idx="603">
                  <c:v>4.9599716528649029E-2</c:v>
                </c:pt>
                <c:pt idx="604">
                  <c:v>4.9679893567328159E-2</c:v>
                </c:pt>
                <c:pt idx="605">
                  <c:v>4.9760063842165136E-2</c:v>
                </c:pt>
                <c:pt idx="606">
                  <c:v>4.9840227353730615E-2</c:v>
                </c:pt>
                <c:pt idx="607">
                  <c:v>4.9920384102595028E-2</c:v>
                </c:pt>
                <c:pt idx="608">
                  <c:v>5.0000534089328919E-2</c:v>
                </c:pt>
                <c:pt idx="609">
                  <c:v>5.008067731450272E-2</c:v>
                </c:pt>
                <c:pt idx="610">
                  <c:v>5.0160813778686975E-2</c:v>
                </c:pt>
                <c:pt idx="611">
                  <c:v>5.0240943482451894E-2</c:v>
                </c:pt>
                <c:pt idx="612">
                  <c:v>5.0321066426367911E-2</c:v>
                </c:pt>
                <c:pt idx="613">
                  <c:v>5.0401182611005235E-2</c:v>
                </c:pt>
                <c:pt idx="614">
                  <c:v>5.0481292036934078E-2</c:v>
                </c:pt>
                <c:pt idx="615">
                  <c:v>5.0561394704724649E-2</c:v>
                </c:pt>
                <c:pt idx="616">
                  <c:v>5.0641490614947049E-2</c:v>
                </c:pt>
                <c:pt idx="617">
                  <c:v>5.0721579768171376E-2</c:v>
                </c:pt>
                <c:pt idx="618">
                  <c:v>5.0801662164967731E-2</c:v>
                </c:pt>
                <c:pt idx="619">
                  <c:v>5.088173780590588E-2</c:v>
                </c:pt>
                <c:pt idx="620">
                  <c:v>5.0961806691556033E-2</c:v>
                </c:pt>
                <c:pt idx="621">
                  <c:v>5.1041868822487846E-2</c:v>
                </c:pt>
                <c:pt idx="622">
                  <c:v>5.1121924199271196E-2</c:v>
                </c:pt>
                <c:pt idx="623">
                  <c:v>5.1201972822475961E-2</c:v>
                </c:pt>
                <c:pt idx="624">
                  <c:v>5.1282014692671907E-2</c:v>
                </c:pt>
                <c:pt idx="625">
                  <c:v>5.1362049810428578E-2</c:v>
                </c:pt>
                <c:pt idx="626">
                  <c:v>5.1442078176315742E-2</c:v>
                </c:pt>
                <c:pt idx="627">
                  <c:v>5.1522099790902942E-2</c:v>
                </c:pt>
                <c:pt idx="628">
                  <c:v>5.1602114654759723E-2</c:v>
                </c:pt>
                <c:pt idx="629">
                  <c:v>5.1682122768455629E-2</c:v>
                </c:pt>
                <c:pt idx="630">
                  <c:v>5.1762124132560094E-2</c:v>
                </c:pt>
                <c:pt idx="631">
                  <c:v>5.1842118747642552E-2</c:v>
                </c:pt>
                <c:pt idx="632">
                  <c:v>5.1922106614272212E-2</c:v>
                </c:pt>
                <c:pt idx="633">
                  <c:v>5.200208773301862E-2</c:v>
                </c:pt>
                <c:pt idx="634">
                  <c:v>5.2082062104450766E-2</c:v>
                </c:pt>
                <c:pt idx="635">
                  <c:v>5.2162029729138082E-2</c:v>
                </c:pt>
                <c:pt idx="636">
                  <c:v>5.2241990607649669E-2</c:v>
                </c:pt>
                <c:pt idx="637">
                  <c:v>5.2321944740554627E-2</c:v>
                </c:pt>
                <c:pt idx="638">
                  <c:v>5.2401892128422056E-2</c:v>
                </c:pt>
                <c:pt idx="639">
                  <c:v>5.2481832771820836E-2</c:v>
                </c:pt>
                <c:pt idx="640">
                  <c:v>5.2561766671320176E-2</c:v>
                </c:pt>
                <c:pt idx="641">
                  <c:v>5.2641693827488845E-2</c:v>
                </c:pt>
                <c:pt idx="642">
                  <c:v>5.272161424089572E-2</c:v>
                </c:pt>
                <c:pt idx="643">
                  <c:v>5.280152791210968E-2</c:v>
                </c:pt>
                <c:pt idx="644">
                  <c:v>5.2881434841699493E-2</c:v>
                </c:pt>
                <c:pt idx="645">
                  <c:v>5.2961335030233814E-2</c:v>
                </c:pt>
                <c:pt idx="646">
                  <c:v>5.304122847828141E-2</c:v>
                </c:pt>
                <c:pt idx="647">
                  <c:v>5.3121115186410939E-2</c:v>
                </c:pt>
                <c:pt idx="648">
                  <c:v>5.3200995155191055E-2</c:v>
                </c:pt>
                <c:pt idx="649">
                  <c:v>5.3280868385190083E-2</c:v>
                </c:pt>
                <c:pt idx="650">
                  <c:v>5.3360734876976568E-2</c:v>
                </c:pt>
                <c:pt idx="651">
                  <c:v>5.3440594631119165E-2</c:v>
                </c:pt>
                <c:pt idx="652">
                  <c:v>5.3520447648186087E-2</c:v>
                </c:pt>
                <c:pt idx="653">
                  <c:v>5.3600293928745657E-2</c:v>
                </c:pt>
                <c:pt idx="654">
                  <c:v>5.3680133473366198E-2</c:v>
                </c:pt>
                <c:pt idx="655">
                  <c:v>5.3759966282616145E-2</c:v>
                </c:pt>
                <c:pt idx="656">
                  <c:v>5.3839792357063487E-2</c:v>
                </c:pt>
                <c:pt idx="657">
                  <c:v>5.3919611697276437E-2</c:v>
                </c:pt>
                <c:pt idx="658">
                  <c:v>5.3999424303823096E-2</c:v>
                </c:pt>
                <c:pt idx="659">
                  <c:v>5.4079230177271675E-2</c:v>
                </c:pt>
                <c:pt idx="660">
                  <c:v>5.4159029318189944E-2</c:v>
                </c:pt>
                <c:pt idx="661">
                  <c:v>5.4238821727146003E-2</c:v>
                </c:pt>
                <c:pt idx="662">
                  <c:v>5.4318607404707842E-2</c:v>
                </c:pt>
                <c:pt idx="663">
                  <c:v>5.4398386351443118E-2</c:v>
                </c:pt>
                <c:pt idx="664">
                  <c:v>5.4478158567919821E-2</c:v>
                </c:pt>
                <c:pt idx="665">
                  <c:v>5.455792405470572E-2</c:v>
                </c:pt>
                <c:pt idx="666">
                  <c:v>5.4637682812368471E-2</c:v>
                </c:pt>
                <c:pt idx="667">
                  <c:v>5.4717434841475843E-2</c:v>
                </c:pt>
                <c:pt idx="668">
                  <c:v>5.479718014259527E-2</c:v>
                </c:pt>
                <c:pt idx="669">
                  <c:v>5.4876918716294631E-2</c:v>
                </c:pt>
                <c:pt idx="670">
                  <c:v>5.4956650563141141E-2</c:v>
                </c:pt>
                <c:pt idx="671">
                  <c:v>5.5036375683702565E-2</c:v>
                </c:pt>
                <c:pt idx="672">
                  <c:v>5.5116094078546118E-2</c:v>
                </c:pt>
                <c:pt idx="673">
                  <c:v>5.5195805748239346E-2</c:v>
                </c:pt>
                <c:pt idx="674">
                  <c:v>5.5275510693349572E-2</c:v>
                </c:pt>
                <c:pt idx="675">
                  <c:v>5.535520891444401E-2</c:v>
                </c:pt>
                <c:pt idx="676">
                  <c:v>5.5434900412089982E-2</c:v>
                </c:pt>
                <c:pt idx="677">
                  <c:v>5.5514585186854593E-2</c:v>
                </c:pt>
                <c:pt idx="678">
                  <c:v>5.5594263239305053E-2</c:v>
                </c:pt>
                <c:pt idx="679">
                  <c:v>5.5673934570008576E-2</c:v>
                </c:pt>
                <c:pt idx="680">
                  <c:v>5.5753599179532043E-2</c:v>
                </c:pt>
                <c:pt idx="681">
                  <c:v>5.5833257068442554E-2</c:v>
                </c:pt>
                <c:pt idx="682">
                  <c:v>5.5912908237307102E-2</c:v>
                </c:pt>
                <c:pt idx="683">
                  <c:v>5.5992552686692454E-2</c:v>
                </c:pt>
                <c:pt idx="684">
                  <c:v>5.6072190417165602E-2</c:v>
                </c:pt>
                <c:pt idx="685">
                  <c:v>5.6151821429293314E-2</c:v>
                </c:pt>
                <c:pt idx="686">
                  <c:v>5.6231445723642359E-2</c:v>
                </c:pt>
                <c:pt idx="687">
                  <c:v>5.6311063300779507E-2</c:v>
                </c:pt>
                <c:pt idx="688">
                  <c:v>5.6390674161271304E-2</c:v>
                </c:pt>
                <c:pt idx="689">
                  <c:v>5.6470278305684518E-2</c:v>
                </c:pt>
                <c:pt idx="690">
                  <c:v>5.6549875734585697E-2</c:v>
                </c:pt>
                <c:pt idx="691">
                  <c:v>5.6629466448541388E-2</c:v>
                </c:pt>
                <c:pt idx="692">
                  <c:v>5.6709050448117915E-2</c:v>
                </c:pt>
                <c:pt idx="693">
                  <c:v>5.6788627733881936E-2</c:v>
                </c:pt>
                <c:pt idx="694">
                  <c:v>5.6868198306399664E-2</c:v>
                </c:pt>
                <c:pt idx="695">
                  <c:v>5.6947762166237537E-2</c:v>
                </c:pt>
                <c:pt idx="696">
                  <c:v>5.7027319313961766E-2</c:v>
                </c:pt>
                <c:pt idx="697">
                  <c:v>5.7106869750138678E-2</c:v>
                </c:pt>
                <c:pt idx="698">
                  <c:v>5.7186413475334374E-2</c:v>
                </c:pt>
                <c:pt idx="699">
                  <c:v>5.726595049011507E-2</c:v>
                </c:pt>
                <c:pt idx="700">
                  <c:v>5.7345480795046866E-2</c:v>
                </c:pt>
                <c:pt idx="701">
                  <c:v>5.7425004390695866E-2</c:v>
                </c:pt>
                <c:pt idx="702">
                  <c:v>5.7504521277627951E-2</c:v>
                </c:pt>
                <c:pt idx="703">
                  <c:v>5.7584031456409113E-2</c:v>
                </c:pt>
                <c:pt idx="704">
                  <c:v>5.7663534927605231E-2</c:v>
                </c:pt>
                <c:pt idx="705">
                  <c:v>5.7743031691782298E-2</c:v>
                </c:pt>
                <c:pt idx="706">
                  <c:v>5.7822521749506084E-2</c:v>
                </c:pt>
                <c:pt idx="707">
                  <c:v>5.7902005101342247E-2</c:v>
                </c:pt>
                <c:pt idx="708">
                  <c:v>5.7981481747856556E-2</c:v>
                </c:pt>
                <c:pt idx="709">
                  <c:v>5.8060951689614781E-2</c:v>
                </c:pt>
                <c:pt idx="710">
                  <c:v>5.814041492718236E-2</c:v>
                </c:pt>
                <c:pt idx="711">
                  <c:v>5.8219871461125061E-2</c:v>
                </c:pt>
                <c:pt idx="712">
                  <c:v>5.829932129200821E-2</c:v>
                </c:pt>
                <c:pt idx="713">
                  <c:v>5.8378764420397466E-2</c:v>
                </c:pt>
                <c:pt idx="714">
                  <c:v>5.8458200846858266E-2</c:v>
                </c:pt>
                <c:pt idx="715">
                  <c:v>5.8537630571955823E-2</c:v>
                </c:pt>
                <c:pt idx="716">
                  <c:v>5.8617053596255575E-2</c:v>
                </c:pt>
                <c:pt idx="717">
                  <c:v>5.8696469920322736E-2</c:v>
                </c:pt>
                <c:pt idx="718">
                  <c:v>5.8775879544722742E-2</c:v>
                </c:pt>
                <c:pt idx="719">
                  <c:v>5.8855282470020587E-2</c:v>
                </c:pt>
                <c:pt idx="720">
                  <c:v>5.8934678696781484E-2</c:v>
                </c:pt>
                <c:pt idx="721">
                  <c:v>5.9014068225570537E-2</c:v>
                </c:pt>
                <c:pt idx="722">
                  <c:v>5.9093451056952739E-2</c:v>
                </c:pt>
                <c:pt idx="723">
                  <c:v>5.9172827191493305E-2</c:v>
                </c:pt>
                <c:pt idx="724">
                  <c:v>5.9252196629756892E-2</c:v>
                </c:pt>
                <c:pt idx="725">
                  <c:v>5.9331559372308496E-2</c:v>
                </c:pt>
                <c:pt idx="726">
                  <c:v>5.9410915419713106E-2</c:v>
                </c:pt>
                <c:pt idx="727">
                  <c:v>5.9490264772535495E-2</c:v>
                </c:pt>
                <c:pt idx="728">
                  <c:v>5.9569607431340321E-2</c:v>
                </c:pt>
                <c:pt idx="729">
                  <c:v>5.9648943396692355E-2</c:v>
                </c:pt>
                <c:pt idx="730">
                  <c:v>5.9728272669156368E-2</c:v>
                </c:pt>
                <c:pt idx="731">
                  <c:v>5.9807595249296797E-2</c:v>
                </c:pt>
                <c:pt idx="732">
                  <c:v>5.98869111376783E-2</c:v>
                </c:pt>
                <c:pt idx="733">
                  <c:v>5.9966220334865428E-2</c:v>
                </c:pt>
                <c:pt idx="734">
                  <c:v>6.0045522841422616E-2</c:v>
                </c:pt>
                <c:pt idx="735">
                  <c:v>6.0124818657914414E-2</c:v>
                </c:pt>
                <c:pt idx="736">
                  <c:v>6.0204107784905037E-2</c:v>
                </c:pt>
                <c:pt idx="737">
                  <c:v>6.028339022295881E-2</c:v>
                </c:pt>
                <c:pt idx="738">
                  <c:v>6.0362665972640173E-2</c:v>
                </c:pt>
                <c:pt idx="739">
                  <c:v>6.0441935034513339E-2</c:v>
                </c:pt>
                <c:pt idx="740">
                  <c:v>6.0521197409142413E-2</c:v>
                </c:pt>
                <c:pt idx="741">
                  <c:v>6.0600453097091611E-2</c:v>
                </c:pt>
                <c:pt idx="742">
                  <c:v>6.0679702098924926E-2</c:v>
                </c:pt>
                <c:pt idx="743">
                  <c:v>6.0758944415206573E-2</c:v>
                </c:pt>
                <c:pt idx="744">
                  <c:v>6.0838180046500434E-2</c:v>
                </c:pt>
                <c:pt idx="745">
                  <c:v>6.0917408993370503E-2</c:v>
                </c:pt>
                <c:pt idx="746">
                  <c:v>6.0996631256380662E-2</c:v>
                </c:pt>
                <c:pt idx="747">
                  <c:v>6.1075846836094794E-2</c:v>
                </c:pt>
                <c:pt idx="748">
                  <c:v>6.1155055733076669E-2</c:v>
                </c:pt>
                <c:pt idx="749">
                  <c:v>6.1234257947890058E-2</c:v>
                </c:pt>
                <c:pt idx="750">
                  <c:v>6.1313453481098845E-2</c:v>
                </c:pt>
                <c:pt idx="751">
                  <c:v>6.1392642333266467E-2</c:v>
                </c:pt>
                <c:pt idx="752">
                  <c:v>6.1471824504956585E-2</c:v>
                </c:pt>
                <c:pt idx="753">
                  <c:v>6.1550999996732858E-2</c:v>
                </c:pt>
                <c:pt idx="754">
                  <c:v>6.1630168809158836E-2</c:v>
                </c:pt>
                <c:pt idx="755">
                  <c:v>6.1709330942797957E-2</c:v>
                </c:pt>
                <c:pt idx="756">
                  <c:v>6.1788486398213549E-2</c:v>
                </c:pt>
                <c:pt idx="757">
                  <c:v>6.186763517596916E-2</c:v>
                </c:pt>
                <c:pt idx="758">
                  <c:v>6.1946777276628007E-2</c:v>
                </c:pt>
                <c:pt idx="759">
                  <c:v>6.2025912700753416E-2</c:v>
                </c:pt>
                <c:pt idx="760">
                  <c:v>6.2105041448908715E-2</c:v>
                </c:pt>
                <c:pt idx="761">
                  <c:v>6.2184163521656899E-2</c:v>
                </c:pt>
                <c:pt idx="762">
                  <c:v>6.2263278919561293E-2</c:v>
                </c:pt>
                <c:pt idx="763">
                  <c:v>6.2342387643185004E-2</c:v>
                </c:pt>
                <c:pt idx="764">
                  <c:v>6.2421489693090915E-2</c:v>
                </c:pt>
                <c:pt idx="765">
                  <c:v>6.2500585069842129E-2</c:v>
                </c:pt>
                <c:pt idx="766">
                  <c:v>6.2579673774001643E-2</c:v>
                </c:pt>
                <c:pt idx="767">
                  <c:v>6.2658755806132338E-2</c:v>
                </c:pt>
                <c:pt idx="768">
                  <c:v>6.2737831166797098E-2</c:v>
                </c:pt>
                <c:pt idx="769">
                  <c:v>6.2816899856558583E-2</c:v>
                </c:pt>
                <c:pt idx="770">
                  <c:v>6.2895961875979789E-2</c:v>
                </c:pt>
                <c:pt idx="771">
                  <c:v>6.2975017225623264E-2</c:v>
                </c:pt>
                <c:pt idx="772">
                  <c:v>6.3054065906051782E-2</c:v>
                </c:pt>
                <c:pt idx="773">
                  <c:v>6.3133107917827891E-2</c:v>
                </c:pt>
                <c:pt idx="774">
                  <c:v>6.3212143261514142E-2</c:v>
                </c:pt>
                <c:pt idx="775">
                  <c:v>6.3291171937673196E-2</c:v>
                </c:pt>
                <c:pt idx="776">
                  <c:v>6.3370193946867492E-2</c:v>
                </c:pt>
                <c:pt idx="777">
                  <c:v>6.3449209289659358E-2</c:v>
                </c:pt>
                <c:pt idx="778">
                  <c:v>6.3528217966611344E-2</c:v>
                </c:pt>
                <c:pt idx="779">
                  <c:v>6.3607219978285667E-2</c:v>
                </c:pt>
                <c:pt idx="780">
                  <c:v>6.3686215325244655E-2</c:v>
                </c:pt>
                <c:pt idx="781">
                  <c:v>6.3765204008050524E-2</c:v>
                </c:pt>
                <c:pt idx="782">
                  <c:v>6.3844186027265493E-2</c:v>
                </c:pt>
                <c:pt idx="783">
                  <c:v>6.3923161383451665E-2</c:v>
                </c:pt>
                <c:pt idx="784">
                  <c:v>6.400213007717126E-2</c:v>
                </c:pt>
                <c:pt idx="785">
                  <c:v>6.4081092108986271E-2</c:v>
                </c:pt>
                <c:pt idx="786">
                  <c:v>6.4160047479458693E-2</c:v>
                </c:pt>
                <c:pt idx="787">
                  <c:v>6.4238996189150521E-2</c:v>
                </c:pt>
                <c:pt idx="788">
                  <c:v>6.4317938238623529E-2</c:v>
                </c:pt>
                <c:pt idx="789">
                  <c:v>6.4396873628439821E-2</c:v>
                </c:pt>
                <c:pt idx="790">
                  <c:v>6.447580235916095E-2</c:v>
                </c:pt>
                <c:pt idx="791">
                  <c:v>6.4554724431348909E-2</c:v>
                </c:pt>
                <c:pt idx="792">
                  <c:v>6.463363984556536E-2</c:v>
                </c:pt>
                <c:pt idx="793">
                  <c:v>6.4712548602371966E-2</c:v>
                </c:pt>
                <c:pt idx="794">
                  <c:v>6.4791450702330278E-2</c:v>
                </c:pt>
                <c:pt idx="795">
                  <c:v>6.4870346146001845E-2</c:v>
                </c:pt>
                <c:pt idx="796">
                  <c:v>6.4949234933948441E-2</c:v>
                </c:pt>
                <c:pt idx="797">
                  <c:v>6.5028117066731395E-2</c:v>
                </c:pt>
                <c:pt idx="798">
                  <c:v>6.5106992544912146E-2</c:v>
                </c:pt>
                <c:pt idx="799">
                  <c:v>6.5185861369052023E-2</c:v>
                </c:pt>
                <c:pt idx="800">
                  <c:v>6.5264723539712466E-2</c:v>
                </c:pt>
                <c:pt idx="801">
                  <c:v>6.5343579057454804E-2</c:v>
                </c:pt>
                <c:pt idx="802">
                  <c:v>6.5422427922840143E-2</c:v>
                </c:pt>
                <c:pt idx="803">
                  <c:v>6.5501270136429812E-2</c:v>
                </c:pt>
                <c:pt idx="804">
                  <c:v>6.5580105698784918E-2</c:v>
                </c:pt>
                <c:pt idx="805">
                  <c:v>6.5658934610466679E-2</c:v>
                </c:pt>
                <c:pt idx="806">
                  <c:v>6.573775687203598E-2</c:v>
                </c:pt>
                <c:pt idx="807">
                  <c:v>6.5816572484053815E-2</c:v>
                </c:pt>
                <c:pt idx="808">
                  <c:v>6.5895381447081292E-2</c:v>
                </c:pt>
                <c:pt idx="809">
                  <c:v>6.5974183761679295E-2</c:v>
                </c:pt>
                <c:pt idx="810">
                  <c:v>6.6052979428408709E-2</c:v>
                </c:pt>
                <c:pt idx="811">
                  <c:v>6.6131768447830197E-2</c:v>
                </c:pt>
                <c:pt idx="812">
                  <c:v>6.6210550820504754E-2</c:v>
                </c:pt>
                <c:pt idx="813">
                  <c:v>6.6289326546993044E-2</c:v>
                </c:pt>
                <c:pt idx="814">
                  <c:v>6.6368095627855617E-2</c:v>
                </c:pt>
                <c:pt idx="815">
                  <c:v>6.6446858063653358E-2</c:v>
                </c:pt>
                <c:pt idx="816">
                  <c:v>6.6525613854946597E-2</c:v>
                </c:pt>
                <c:pt idx="817">
                  <c:v>6.6604363002295996E-2</c:v>
                </c:pt>
                <c:pt idx="818">
                  <c:v>6.6683105506261997E-2</c:v>
                </c:pt>
                <c:pt idx="819">
                  <c:v>6.6761841367405039E-2</c:v>
                </c:pt>
                <c:pt idx="820">
                  <c:v>6.6840570586285675E-2</c:v>
                </c:pt>
                <c:pt idx="821">
                  <c:v>6.6919293163464122E-2</c:v>
                </c:pt>
                <c:pt idx="822">
                  <c:v>6.6998009099500599E-2</c:v>
                </c:pt>
                <c:pt idx="823">
                  <c:v>6.7076718394955548E-2</c:v>
                </c:pt>
                <c:pt idx="824">
                  <c:v>6.7155421050389075E-2</c:v>
                </c:pt>
                <c:pt idx="825">
                  <c:v>6.7234117066361399E-2</c:v>
                </c:pt>
                <c:pt idx="826">
                  <c:v>6.7312806443432516E-2</c:v>
                </c:pt>
                <c:pt idx="827">
                  <c:v>6.7391489182162645E-2</c:v>
                </c:pt>
                <c:pt idx="828">
                  <c:v>6.7470165283111672E-2</c:v>
                </c:pt>
                <c:pt idx="829">
                  <c:v>6.7548834746839592E-2</c:v>
                </c:pt>
                <c:pt idx="830">
                  <c:v>6.7627497573906403E-2</c:v>
                </c:pt>
                <c:pt idx="831">
                  <c:v>6.770615376487199E-2</c:v>
                </c:pt>
                <c:pt idx="832">
                  <c:v>6.7784803320296128E-2</c:v>
                </c:pt>
                <c:pt idx="833">
                  <c:v>6.786344624073859E-2</c:v>
                </c:pt>
                <c:pt idx="834">
                  <c:v>6.794208252675904E-2</c:v>
                </c:pt>
                <c:pt idx="835">
                  <c:v>6.8020712178917364E-2</c:v>
                </c:pt>
                <c:pt idx="836">
                  <c:v>6.8099335197773114E-2</c:v>
                </c:pt>
                <c:pt idx="837">
                  <c:v>6.8177951583885843E-2</c:v>
                </c:pt>
                <c:pt idx="838">
                  <c:v>6.8256561337815103E-2</c:v>
                </c:pt>
                <c:pt idx="839">
                  <c:v>6.8335164460120335E-2</c:v>
                </c:pt>
                <c:pt idx="840">
                  <c:v>6.8413760951361202E-2</c:v>
                </c:pt>
                <c:pt idx="841">
                  <c:v>6.8492350812096925E-2</c:v>
                </c:pt>
                <c:pt idx="842">
                  <c:v>6.8570934042886944E-2</c:v>
                </c:pt>
                <c:pt idx="843">
                  <c:v>6.8649510644290479E-2</c:v>
                </c:pt>
                <c:pt idx="844">
                  <c:v>6.872808061686686E-2</c:v>
                </c:pt>
                <c:pt idx="845">
                  <c:v>6.8806643961175418E-2</c:v>
                </c:pt>
                <c:pt idx="846">
                  <c:v>6.8885200677775038E-2</c:v>
                </c:pt>
                <c:pt idx="847">
                  <c:v>6.8963750767225163E-2</c:v>
                </c:pt>
                <c:pt idx="848">
                  <c:v>6.9042294230084567E-2</c:v>
                </c:pt>
                <c:pt idx="849">
                  <c:v>6.9120831066912469E-2</c:v>
                </c:pt>
                <c:pt idx="850">
                  <c:v>6.9199361278267868E-2</c:v>
                </c:pt>
                <c:pt idx="851">
                  <c:v>6.9277884864709649E-2</c:v>
                </c:pt>
                <c:pt idx="852">
                  <c:v>6.9356401826796588E-2</c:v>
                </c:pt>
                <c:pt idx="853">
                  <c:v>6.9434912165087681E-2</c:v>
                </c:pt>
                <c:pt idx="854">
                  <c:v>6.9513415880141705E-2</c:v>
                </c:pt>
                <c:pt idx="855">
                  <c:v>6.9591912972517322E-2</c:v>
                </c:pt>
                <c:pt idx="856">
                  <c:v>6.9670403442773199E-2</c:v>
                </c:pt>
                <c:pt idx="857">
                  <c:v>6.9748887291468109E-2</c:v>
                </c:pt>
                <c:pt idx="858">
                  <c:v>6.9827364519160606E-2</c:v>
                </c:pt>
                <c:pt idx="859">
                  <c:v>6.9905835126409244E-2</c:v>
                </c:pt>
                <c:pt idx="860">
                  <c:v>6.9984299113772575E-2</c:v>
                </c:pt>
                <c:pt idx="861">
                  <c:v>7.006275648180893E-2</c:v>
                </c:pt>
                <c:pt idx="862">
                  <c:v>7.0141207231076863E-2</c:v>
                </c:pt>
                <c:pt idx="863">
                  <c:v>7.0219651362134705E-2</c:v>
                </c:pt>
                <c:pt idx="864">
                  <c:v>7.0298088875540787E-2</c:v>
                </c:pt>
                <c:pt idx="865">
                  <c:v>7.037651977185333E-2</c:v>
                </c:pt>
                <c:pt idx="866">
                  <c:v>7.0454944051630553E-2</c:v>
                </c:pt>
                <c:pt idx="867">
                  <c:v>7.0533361715430676E-2</c:v>
                </c:pt>
                <c:pt idx="868">
                  <c:v>7.061177276381192E-2</c:v>
                </c:pt>
                <c:pt idx="869">
                  <c:v>7.0690177197332171E-2</c:v>
                </c:pt>
                <c:pt idx="870">
                  <c:v>7.0768575016549651E-2</c:v>
                </c:pt>
                <c:pt idx="871">
                  <c:v>7.0846966222022245E-2</c:v>
                </c:pt>
                <c:pt idx="872">
                  <c:v>7.0925350814307953E-2</c:v>
                </c:pt>
                <c:pt idx="873">
                  <c:v>7.100372879396466E-2</c:v>
                </c:pt>
                <c:pt idx="874">
                  <c:v>7.1082100161550144E-2</c:v>
                </c:pt>
                <c:pt idx="875">
                  <c:v>7.116046491762229E-2</c:v>
                </c:pt>
                <c:pt idx="876">
                  <c:v>7.1238823062738876E-2</c:v>
                </c:pt>
                <c:pt idx="877">
                  <c:v>7.1317174597457567E-2</c:v>
                </c:pt>
                <c:pt idx="878">
                  <c:v>7.1395519522335915E-2</c:v>
                </c:pt>
                <c:pt idx="879">
                  <c:v>7.1473857837931809E-2</c:v>
                </c:pt>
                <c:pt idx="880">
                  <c:v>7.155218954480258E-2</c:v>
                </c:pt>
                <c:pt idx="881">
                  <c:v>7.1630514643505783E-2</c:v>
                </c:pt>
                <c:pt idx="882">
                  <c:v>7.170883313459897E-2</c:v>
                </c:pt>
                <c:pt idx="883">
                  <c:v>7.1787145018639587E-2</c:v>
                </c:pt>
                <c:pt idx="884">
                  <c:v>7.1865450296184852E-2</c:v>
                </c:pt>
                <c:pt idx="885">
                  <c:v>7.1943748967792209E-2</c:v>
                </c:pt>
                <c:pt idx="886">
                  <c:v>7.2022041034018991E-2</c:v>
                </c:pt>
                <c:pt idx="887">
                  <c:v>7.2100326495422418E-2</c:v>
                </c:pt>
                <c:pt idx="888">
                  <c:v>7.2178605352559599E-2</c:v>
                </c:pt>
                <c:pt idx="889">
                  <c:v>7.2256877605987646E-2</c:v>
                </c:pt>
                <c:pt idx="890">
                  <c:v>7.233514325626389E-2</c:v>
                </c:pt>
                <c:pt idx="891">
                  <c:v>7.2413402303945107E-2</c:v>
                </c:pt>
                <c:pt idx="892">
                  <c:v>7.2491654749588519E-2</c:v>
                </c:pt>
                <c:pt idx="893">
                  <c:v>7.2569900593750902E-2</c:v>
                </c:pt>
                <c:pt idx="894">
                  <c:v>7.2648139836989256E-2</c:v>
                </c:pt>
                <c:pt idx="895">
                  <c:v>7.2726372479860468E-2</c:v>
                </c:pt>
                <c:pt idx="896">
                  <c:v>7.2804598522921427E-2</c:v>
                </c:pt>
                <c:pt idx="897">
                  <c:v>7.2882817966728686E-2</c:v>
                </c:pt>
                <c:pt idx="898">
                  <c:v>7.2961030811839023E-2</c:v>
                </c:pt>
                <c:pt idx="899">
                  <c:v>7.3039237058809214E-2</c:v>
                </c:pt>
                <c:pt idx="900">
                  <c:v>7.3117436708195926E-2</c:v>
                </c:pt>
                <c:pt idx="901">
                  <c:v>7.3195629760555603E-2</c:v>
                </c:pt>
                <c:pt idx="902">
                  <c:v>7.3273816216444798E-2</c:v>
                </c:pt>
                <c:pt idx="903">
                  <c:v>7.3351996076420067E-2</c:v>
                </c:pt>
                <c:pt idx="904">
                  <c:v>7.3430169341037743E-2</c:v>
                </c:pt>
                <c:pt idx="905">
                  <c:v>7.350833601085438E-2</c:v>
                </c:pt>
                <c:pt idx="906">
                  <c:v>7.3586496086426201E-2</c:v>
                </c:pt>
                <c:pt idx="907">
                  <c:v>7.3664649568309537E-2</c:v>
                </c:pt>
                <c:pt idx="908">
                  <c:v>7.3742796457060722E-2</c:v>
                </c:pt>
                <c:pt idx="909">
                  <c:v>7.3820936753235755E-2</c:v>
                </c:pt>
                <c:pt idx="910">
                  <c:v>7.389907045739097E-2</c:v>
                </c:pt>
                <c:pt idx="911">
                  <c:v>7.3977197570082476E-2</c:v>
                </c:pt>
                <c:pt idx="912">
                  <c:v>7.4055318091866273E-2</c:v>
                </c:pt>
                <c:pt idx="913">
                  <c:v>7.4133432023298362E-2</c:v>
                </c:pt>
                <c:pt idx="914">
                  <c:v>7.4211539364934853E-2</c:v>
                </c:pt>
                <c:pt idx="915">
                  <c:v>7.4289640117331412E-2</c:v>
                </c:pt>
                <c:pt idx="916">
                  <c:v>7.4367734281044151E-2</c:v>
                </c:pt>
                <c:pt idx="917">
                  <c:v>7.4445821856628847E-2</c:v>
                </c:pt>
                <c:pt idx="918">
                  <c:v>7.4523902844641277E-2</c:v>
                </c:pt>
                <c:pt idx="919">
                  <c:v>7.4601977245637108E-2</c:v>
                </c:pt>
                <c:pt idx="920">
                  <c:v>7.4680045060172007E-2</c:v>
                </c:pt>
                <c:pt idx="921">
                  <c:v>7.4758106288801751E-2</c:v>
                </c:pt>
                <c:pt idx="922">
                  <c:v>7.4836160932081897E-2</c:v>
                </c:pt>
                <c:pt idx="923">
                  <c:v>7.4914208990567999E-2</c:v>
                </c:pt>
                <c:pt idx="924">
                  <c:v>7.4992250464815502E-2</c:v>
                </c:pt>
                <c:pt idx="925">
                  <c:v>7.5070285355379851E-2</c:v>
                </c:pt>
                <c:pt idx="926">
                  <c:v>7.514831366281649E-2</c:v>
                </c:pt>
                <c:pt idx="927">
                  <c:v>7.5226335387680865E-2</c:v>
                </c:pt>
                <c:pt idx="928">
                  <c:v>7.5304350530528197E-2</c:v>
                </c:pt>
                <c:pt idx="929">
                  <c:v>7.5382359091913709E-2</c:v>
                </c:pt>
                <c:pt idx="930">
                  <c:v>7.5460361072392623E-2</c:v>
                </c:pt>
                <c:pt idx="931">
                  <c:v>7.5538356472520274E-2</c:v>
                </c:pt>
                <c:pt idx="932">
                  <c:v>7.5616345292851661E-2</c:v>
                </c:pt>
                <c:pt idx="933">
                  <c:v>7.5694327533941896E-2</c:v>
                </c:pt>
                <c:pt idx="934">
                  <c:v>7.577230319634598E-2</c:v>
                </c:pt>
                <c:pt idx="935">
                  <c:v>7.5850272280618913E-2</c:v>
                </c:pt>
                <c:pt idx="936">
                  <c:v>7.5928234787315585E-2</c:v>
                </c:pt>
                <c:pt idx="937">
                  <c:v>7.6006190716991107E-2</c:v>
                </c:pt>
                <c:pt idx="938">
                  <c:v>7.6084140070200035E-2</c:v>
                </c:pt>
                <c:pt idx="939">
                  <c:v>7.616208284749737E-2</c:v>
                </c:pt>
                <c:pt idx="940">
                  <c:v>7.6240019049437779E-2</c:v>
                </c:pt>
                <c:pt idx="941">
                  <c:v>7.6317948676576042E-2</c:v>
                </c:pt>
                <c:pt idx="942">
                  <c:v>7.6395871729466602E-2</c:v>
                </c:pt>
                <c:pt idx="943">
                  <c:v>7.6473788208664351E-2</c:v>
                </c:pt>
                <c:pt idx="944">
                  <c:v>7.6551698114723732E-2</c:v>
                </c:pt>
                <c:pt idx="945">
                  <c:v>7.6629601448199192E-2</c:v>
                </c:pt>
                <c:pt idx="946">
                  <c:v>7.6707498209645397E-2</c:v>
                </c:pt>
                <c:pt idx="947">
                  <c:v>7.6785388399616572E-2</c:v>
                </c:pt>
                <c:pt idx="948">
                  <c:v>7.6863272018667161E-2</c:v>
                </c:pt>
                <c:pt idx="949">
                  <c:v>7.6941149067351611E-2</c:v>
                </c:pt>
                <c:pt idx="950">
                  <c:v>7.7019019546224032E-2</c:v>
                </c:pt>
                <c:pt idx="951">
                  <c:v>7.709688345583865E-2</c:v>
                </c:pt>
                <c:pt idx="952">
                  <c:v>7.7174740796749908E-2</c:v>
                </c:pt>
                <c:pt idx="953">
                  <c:v>7.7252591569511697E-2</c:v>
                </c:pt>
                <c:pt idx="954">
                  <c:v>7.7330435774678241E-2</c:v>
                </c:pt>
                <c:pt idx="955">
                  <c:v>7.740827341280343E-2</c:v>
                </c:pt>
                <c:pt idx="956">
                  <c:v>7.7486104484441487E-2</c:v>
                </c:pt>
                <c:pt idx="957">
                  <c:v>7.7563928990146302E-2</c:v>
                </c:pt>
                <c:pt idx="958">
                  <c:v>7.7641746930471767E-2</c:v>
                </c:pt>
                <c:pt idx="959">
                  <c:v>7.7719558305971659E-2</c:v>
                </c:pt>
                <c:pt idx="960">
                  <c:v>7.7797363117199869E-2</c:v>
                </c:pt>
                <c:pt idx="961">
                  <c:v>7.7875161364710288E-2</c:v>
                </c:pt>
                <c:pt idx="962">
                  <c:v>7.7952953049056473E-2</c:v>
                </c:pt>
                <c:pt idx="963">
                  <c:v>7.8030738170792091E-2</c:v>
                </c:pt>
                <c:pt idx="964">
                  <c:v>7.8108516730470923E-2</c:v>
                </c:pt>
                <c:pt idx="965">
                  <c:v>7.8186288728646414E-2</c:v>
                </c:pt>
                <c:pt idx="966">
                  <c:v>7.8264054165872121E-2</c:v>
                </c:pt>
                <c:pt idx="967">
                  <c:v>7.8341813042701602E-2</c:v>
                </c:pt>
                <c:pt idx="968">
                  <c:v>7.8419565359688304E-2</c:v>
                </c:pt>
                <c:pt idx="969">
                  <c:v>7.8497311117385449E-2</c:v>
                </c:pt>
                <c:pt idx="970">
                  <c:v>7.8575050316346595E-2</c:v>
                </c:pt>
                <c:pt idx="971">
                  <c:v>7.8652782957125078E-2</c:v>
                </c:pt>
                <c:pt idx="972">
                  <c:v>7.8730509040273899E-2</c:v>
                </c:pt>
                <c:pt idx="973">
                  <c:v>7.8808228566346505E-2</c:v>
                </c:pt>
                <c:pt idx="974">
                  <c:v>7.8885941535895898E-2</c:v>
                </c:pt>
                <c:pt idx="975">
                  <c:v>7.8963647949475413E-2</c:v>
                </c:pt>
                <c:pt idx="976">
                  <c:v>7.904134780763783E-2</c:v>
                </c:pt>
                <c:pt idx="977">
                  <c:v>7.9119041110936372E-2</c:v>
                </c:pt>
                <c:pt idx="978">
                  <c:v>7.9196727859924043E-2</c:v>
                </c:pt>
                <c:pt idx="979">
                  <c:v>7.9274408055153622E-2</c:v>
                </c:pt>
                <c:pt idx="980">
                  <c:v>7.9352081697178001E-2</c:v>
                </c:pt>
                <c:pt idx="981">
                  <c:v>7.9429748786550181E-2</c:v>
                </c:pt>
                <c:pt idx="982">
                  <c:v>7.9507409323822831E-2</c:v>
                </c:pt>
                <c:pt idx="983">
                  <c:v>7.9585063309548731E-2</c:v>
                </c:pt>
                <c:pt idx="984">
                  <c:v>7.9662710744280552E-2</c:v>
                </c:pt>
                <c:pt idx="985">
                  <c:v>7.974035162857096E-2</c:v>
                </c:pt>
                <c:pt idx="986">
                  <c:v>7.9817985962972515E-2</c:v>
                </c:pt>
                <c:pt idx="987">
                  <c:v>7.9895613748037886E-2</c:v>
                </c:pt>
                <c:pt idx="988">
                  <c:v>7.9973234984319408E-2</c:v>
                </c:pt>
                <c:pt idx="989">
                  <c:v>8.005084967236975E-2</c:v>
                </c:pt>
                <c:pt idx="990">
                  <c:v>8.0128457812741138E-2</c:v>
                </c:pt>
                <c:pt idx="991">
                  <c:v>8.020605940598613E-2</c:v>
                </c:pt>
                <c:pt idx="992">
                  <c:v>8.028365445265695E-2</c:v>
                </c:pt>
                <c:pt idx="993">
                  <c:v>8.0361242953305823E-2</c:v>
                </c:pt>
                <c:pt idx="994">
                  <c:v>8.0438824908485085E-2</c:v>
                </c:pt>
                <c:pt idx="995">
                  <c:v>8.051640031874685E-2</c:v>
                </c:pt>
                <c:pt idx="996">
                  <c:v>8.0593969184643344E-2</c:v>
                </c:pt>
                <c:pt idx="997">
                  <c:v>8.0671531506726568E-2</c:v>
                </c:pt>
                <c:pt idx="998">
                  <c:v>8.0749087285548526E-2</c:v>
                </c:pt>
                <c:pt idx="999">
                  <c:v>8.0826636521661333E-2</c:v>
                </c:pt>
                <c:pt idx="1000">
                  <c:v>8.0904179215616878E-2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FC1-410A-88C6-5145C07C044E}"/>
            </c:ext>
          </c:extLst>
        </c:ser>
        <c:ser>
          <c:idx val="1"/>
          <c:order val="1"/>
          <c:tx>
            <c:v>Обогащённый бор</c:v>
          </c:tx>
          <c:spPr>
            <a:ln w="22000">
              <a:solidFill>
                <a:srgbClr val="D62728"/>
              </a:solidFill>
              <a:prstDash val="solid"/>
            </a:ln>
          </c:spPr>
          <c:marker>
            <c:symbol val="none"/>
          </c:marker>
          <c:xVal>
            <c:numRef>
              <c:f>Расчет!$A$2:$A$1053</c:f>
              <c:numCache>
                <c:formatCode>0</c:formatCode>
                <c:ptCount val="1052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  <c:pt idx="577">
                  <c:v>5770</c:v>
                </c:pt>
                <c:pt idx="578">
                  <c:v>5780</c:v>
                </c:pt>
                <c:pt idx="579">
                  <c:v>5790</c:v>
                </c:pt>
                <c:pt idx="580">
                  <c:v>5800</c:v>
                </c:pt>
                <c:pt idx="581">
                  <c:v>5810</c:v>
                </c:pt>
                <c:pt idx="582">
                  <c:v>5820</c:v>
                </c:pt>
                <c:pt idx="583">
                  <c:v>5830</c:v>
                </c:pt>
                <c:pt idx="584">
                  <c:v>5840</c:v>
                </c:pt>
                <c:pt idx="585">
                  <c:v>5850</c:v>
                </c:pt>
                <c:pt idx="586">
                  <c:v>5860</c:v>
                </c:pt>
                <c:pt idx="587">
                  <c:v>5870</c:v>
                </c:pt>
                <c:pt idx="588">
                  <c:v>5880</c:v>
                </c:pt>
                <c:pt idx="589">
                  <c:v>5890</c:v>
                </c:pt>
                <c:pt idx="590">
                  <c:v>5900</c:v>
                </c:pt>
                <c:pt idx="591">
                  <c:v>5910</c:v>
                </c:pt>
                <c:pt idx="592">
                  <c:v>5920</c:v>
                </c:pt>
                <c:pt idx="593">
                  <c:v>5930</c:v>
                </c:pt>
                <c:pt idx="594">
                  <c:v>5940</c:v>
                </c:pt>
                <c:pt idx="595">
                  <c:v>5950</c:v>
                </c:pt>
                <c:pt idx="596">
                  <c:v>5960</c:v>
                </c:pt>
                <c:pt idx="597">
                  <c:v>5970</c:v>
                </c:pt>
                <c:pt idx="598">
                  <c:v>5980</c:v>
                </c:pt>
                <c:pt idx="599">
                  <c:v>5990</c:v>
                </c:pt>
                <c:pt idx="600">
                  <c:v>6000</c:v>
                </c:pt>
                <c:pt idx="601">
                  <c:v>6010</c:v>
                </c:pt>
                <c:pt idx="602">
                  <c:v>6020</c:v>
                </c:pt>
                <c:pt idx="603">
                  <c:v>6030</c:v>
                </c:pt>
                <c:pt idx="604">
                  <c:v>6040</c:v>
                </c:pt>
                <c:pt idx="605">
                  <c:v>6050</c:v>
                </c:pt>
                <c:pt idx="606">
                  <c:v>6060</c:v>
                </c:pt>
                <c:pt idx="607">
                  <c:v>6070</c:v>
                </c:pt>
                <c:pt idx="608">
                  <c:v>6080</c:v>
                </c:pt>
                <c:pt idx="609">
                  <c:v>6090</c:v>
                </c:pt>
                <c:pt idx="610">
                  <c:v>6100</c:v>
                </c:pt>
                <c:pt idx="611">
                  <c:v>6110</c:v>
                </c:pt>
                <c:pt idx="612">
                  <c:v>6120</c:v>
                </c:pt>
                <c:pt idx="613">
                  <c:v>6130</c:v>
                </c:pt>
                <c:pt idx="614">
                  <c:v>6140</c:v>
                </c:pt>
                <c:pt idx="615">
                  <c:v>6150</c:v>
                </c:pt>
                <c:pt idx="616">
                  <c:v>6160</c:v>
                </c:pt>
                <c:pt idx="617">
                  <c:v>6170</c:v>
                </c:pt>
                <c:pt idx="618">
                  <c:v>6180</c:v>
                </c:pt>
                <c:pt idx="619">
                  <c:v>6190</c:v>
                </c:pt>
                <c:pt idx="620">
                  <c:v>6200</c:v>
                </c:pt>
                <c:pt idx="621">
                  <c:v>6210</c:v>
                </c:pt>
                <c:pt idx="622">
                  <c:v>6220</c:v>
                </c:pt>
                <c:pt idx="623">
                  <c:v>6230</c:v>
                </c:pt>
                <c:pt idx="624">
                  <c:v>6240</c:v>
                </c:pt>
                <c:pt idx="625">
                  <c:v>6250</c:v>
                </c:pt>
                <c:pt idx="626">
                  <c:v>6260</c:v>
                </c:pt>
                <c:pt idx="627">
                  <c:v>6270</c:v>
                </c:pt>
                <c:pt idx="628">
                  <c:v>6280</c:v>
                </c:pt>
                <c:pt idx="629">
                  <c:v>6290</c:v>
                </c:pt>
                <c:pt idx="630">
                  <c:v>6300</c:v>
                </c:pt>
                <c:pt idx="631">
                  <c:v>6310</c:v>
                </c:pt>
                <c:pt idx="632">
                  <c:v>6320</c:v>
                </c:pt>
                <c:pt idx="633">
                  <c:v>6330</c:v>
                </c:pt>
                <c:pt idx="634">
                  <c:v>6340</c:v>
                </c:pt>
                <c:pt idx="635">
                  <c:v>6350</c:v>
                </c:pt>
                <c:pt idx="636">
                  <c:v>6360</c:v>
                </c:pt>
                <c:pt idx="637">
                  <c:v>6370</c:v>
                </c:pt>
                <c:pt idx="638">
                  <c:v>6380</c:v>
                </c:pt>
                <c:pt idx="639">
                  <c:v>6390</c:v>
                </c:pt>
                <c:pt idx="640">
                  <c:v>6400</c:v>
                </c:pt>
                <c:pt idx="641">
                  <c:v>6410</c:v>
                </c:pt>
                <c:pt idx="642">
                  <c:v>6420</c:v>
                </c:pt>
                <c:pt idx="643">
                  <c:v>6430</c:v>
                </c:pt>
                <c:pt idx="644">
                  <c:v>6440</c:v>
                </c:pt>
                <c:pt idx="645">
                  <c:v>6450</c:v>
                </c:pt>
                <c:pt idx="646">
                  <c:v>6460</c:v>
                </c:pt>
                <c:pt idx="647">
                  <c:v>6470</c:v>
                </c:pt>
                <c:pt idx="648">
                  <c:v>6480</c:v>
                </c:pt>
                <c:pt idx="649">
                  <c:v>6490</c:v>
                </c:pt>
                <c:pt idx="650">
                  <c:v>6500</c:v>
                </c:pt>
                <c:pt idx="651">
                  <c:v>6510</c:v>
                </c:pt>
                <c:pt idx="652">
                  <c:v>6520</c:v>
                </c:pt>
                <c:pt idx="653">
                  <c:v>6530</c:v>
                </c:pt>
                <c:pt idx="654">
                  <c:v>6540</c:v>
                </c:pt>
                <c:pt idx="655">
                  <c:v>6550</c:v>
                </c:pt>
                <c:pt idx="656">
                  <c:v>6560</c:v>
                </c:pt>
                <c:pt idx="657">
                  <c:v>6570</c:v>
                </c:pt>
                <c:pt idx="658">
                  <c:v>6580</c:v>
                </c:pt>
                <c:pt idx="659">
                  <c:v>6590</c:v>
                </c:pt>
                <c:pt idx="660">
                  <c:v>6600</c:v>
                </c:pt>
                <c:pt idx="661">
                  <c:v>6610</c:v>
                </c:pt>
                <c:pt idx="662">
                  <c:v>6620</c:v>
                </c:pt>
                <c:pt idx="663">
                  <c:v>6630</c:v>
                </c:pt>
                <c:pt idx="664">
                  <c:v>6640</c:v>
                </c:pt>
                <c:pt idx="665">
                  <c:v>6650</c:v>
                </c:pt>
                <c:pt idx="666">
                  <c:v>6660</c:v>
                </c:pt>
                <c:pt idx="667">
                  <c:v>6670</c:v>
                </c:pt>
                <c:pt idx="668">
                  <c:v>6680</c:v>
                </c:pt>
                <c:pt idx="669">
                  <c:v>6690</c:v>
                </c:pt>
                <c:pt idx="670">
                  <c:v>6700</c:v>
                </c:pt>
                <c:pt idx="671">
                  <c:v>6710</c:v>
                </c:pt>
                <c:pt idx="672">
                  <c:v>6720</c:v>
                </c:pt>
                <c:pt idx="673">
                  <c:v>6730</c:v>
                </c:pt>
                <c:pt idx="674">
                  <c:v>6740</c:v>
                </c:pt>
                <c:pt idx="675">
                  <c:v>6750</c:v>
                </c:pt>
                <c:pt idx="676">
                  <c:v>6760</c:v>
                </c:pt>
                <c:pt idx="677">
                  <c:v>6770</c:v>
                </c:pt>
                <c:pt idx="678">
                  <c:v>6780</c:v>
                </c:pt>
                <c:pt idx="679">
                  <c:v>6790</c:v>
                </c:pt>
                <c:pt idx="680">
                  <c:v>6800</c:v>
                </c:pt>
                <c:pt idx="681">
                  <c:v>6810</c:v>
                </c:pt>
                <c:pt idx="682">
                  <c:v>6820</c:v>
                </c:pt>
                <c:pt idx="683">
                  <c:v>6830</c:v>
                </c:pt>
                <c:pt idx="684">
                  <c:v>6840</c:v>
                </c:pt>
                <c:pt idx="685">
                  <c:v>6850</c:v>
                </c:pt>
                <c:pt idx="686">
                  <c:v>6860</c:v>
                </c:pt>
                <c:pt idx="687">
                  <c:v>6870</c:v>
                </c:pt>
                <c:pt idx="688">
                  <c:v>6880</c:v>
                </c:pt>
                <c:pt idx="689">
                  <c:v>6890</c:v>
                </c:pt>
                <c:pt idx="690">
                  <c:v>6900</c:v>
                </c:pt>
                <c:pt idx="691">
                  <c:v>6910</c:v>
                </c:pt>
                <c:pt idx="692">
                  <c:v>6920</c:v>
                </c:pt>
                <c:pt idx="693">
                  <c:v>6930</c:v>
                </c:pt>
                <c:pt idx="694">
                  <c:v>6940</c:v>
                </c:pt>
                <c:pt idx="695">
                  <c:v>6950</c:v>
                </c:pt>
                <c:pt idx="696">
                  <c:v>6960</c:v>
                </c:pt>
                <c:pt idx="697">
                  <c:v>6970</c:v>
                </c:pt>
                <c:pt idx="698">
                  <c:v>6980</c:v>
                </c:pt>
                <c:pt idx="699">
                  <c:v>6990</c:v>
                </c:pt>
                <c:pt idx="700">
                  <c:v>7000</c:v>
                </c:pt>
                <c:pt idx="701">
                  <c:v>7010</c:v>
                </c:pt>
                <c:pt idx="702">
                  <c:v>7020</c:v>
                </c:pt>
                <c:pt idx="703">
                  <c:v>7030</c:v>
                </c:pt>
                <c:pt idx="704">
                  <c:v>7040</c:v>
                </c:pt>
                <c:pt idx="705">
                  <c:v>7050</c:v>
                </c:pt>
                <c:pt idx="706">
                  <c:v>7060</c:v>
                </c:pt>
                <c:pt idx="707">
                  <c:v>7070</c:v>
                </c:pt>
                <c:pt idx="708">
                  <c:v>7080</c:v>
                </c:pt>
                <c:pt idx="709">
                  <c:v>7090</c:v>
                </c:pt>
                <c:pt idx="710">
                  <c:v>7100</c:v>
                </c:pt>
                <c:pt idx="711">
                  <c:v>7110</c:v>
                </c:pt>
                <c:pt idx="712">
                  <c:v>7120</c:v>
                </c:pt>
                <c:pt idx="713">
                  <c:v>7130</c:v>
                </c:pt>
                <c:pt idx="714">
                  <c:v>7140</c:v>
                </c:pt>
                <c:pt idx="715">
                  <c:v>7150</c:v>
                </c:pt>
                <c:pt idx="716">
                  <c:v>7160</c:v>
                </c:pt>
                <c:pt idx="717">
                  <c:v>7170</c:v>
                </c:pt>
                <c:pt idx="718">
                  <c:v>7180</c:v>
                </c:pt>
                <c:pt idx="719">
                  <c:v>7190</c:v>
                </c:pt>
                <c:pt idx="720">
                  <c:v>7200</c:v>
                </c:pt>
                <c:pt idx="721">
                  <c:v>7210</c:v>
                </c:pt>
                <c:pt idx="722">
                  <c:v>7220</c:v>
                </c:pt>
                <c:pt idx="723">
                  <c:v>7230</c:v>
                </c:pt>
                <c:pt idx="724">
                  <c:v>7240</c:v>
                </c:pt>
                <c:pt idx="725">
                  <c:v>7250</c:v>
                </c:pt>
                <c:pt idx="726">
                  <c:v>7260</c:v>
                </c:pt>
                <c:pt idx="727">
                  <c:v>7270</c:v>
                </c:pt>
                <c:pt idx="728">
                  <c:v>7280</c:v>
                </c:pt>
                <c:pt idx="729">
                  <c:v>7290</c:v>
                </c:pt>
                <c:pt idx="730">
                  <c:v>7300</c:v>
                </c:pt>
                <c:pt idx="731">
                  <c:v>7310</c:v>
                </c:pt>
                <c:pt idx="732">
                  <c:v>7320</c:v>
                </c:pt>
                <c:pt idx="733">
                  <c:v>7330</c:v>
                </c:pt>
                <c:pt idx="734">
                  <c:v>7340</c:v>
                </c:pt>
                <c:pt idx="735">
                  <c:v>7350</c:v>
                </c:pt>
                <c:pt idx="736">
                  <c:v>7360</c:v>
                </c:pt>
                <c:pt idx="737">
                  <c:v>7370</c:v>
                </c:pt>
                <c:pt idx="738">
                  <c:v>7380</c:v>
                </c:pt>
                <c:pt idx="739">
                  <c:v>7390</c:v>
                </c:pt>
                <c:pt idx="740">
                  <c:v>7400</c:v>
                </c:pt>
                <c:pt idx="741">
                  <c:v>7410</c:v>
                </c:pt>
                <c:pt idx="742">
                  <c:v>7420</c:v>
                </c:pt>
                <c:pt idx="743">
                  <c:v>7430</c:v>
                </c:pt>
                <c:pt idx="744">
                  <c:v>7440</c:v>
                </c:pt>
                <c:pt idx="745">
                  <c:v>7450</c:v>
                </c:pt>
                <c:pt idx="746">
                  <c:v>7460</c:v>
                </c:pt>
                <c:pt idx="747">
                  <c:v>7470</c:v>
                </c:pt>
                <c:pt idx="748">
                  <c:v>7480</c:v>
                </c:pt>
                <c:pt idx="749">
                  <c:v>7490</c:v>
                </c:pt>
                <c:pt idx="750">
                  <c:v>7500</c:v>
                </c:pt>
                <c:pt idx="751">
                  <c:v>7510</c:v>
                </c:pt>
                <c:pt idx="752">
                  <c:v>7520</c:v>
                </c:pt>
                <c:pt idx="753">
                  <c:v>7530</c:v>
                </c:pt>
                <c:pt idx="754">
                  <c:v>7540</c:v>
                </c:pt>
                <c:pt idx="755">
                  <c:v>7550</c:v>
                </c:pt>
                <c:pt idx="756">
                  <c:v>7560</c:v>
                </c:pt>
                <c:pt idx="757">
                  <c:v>7570</c:v>
                </c:pt>
                <c:pt idx="758">
                  <c:v>7580</c:v>
                </c:pt>
                <c:pt idx="759">
                  <c:v>7590</c:v>
                </c:pt>
                <c:pt idx="760">
                  <c:v>7600</c:v>
                </c:pt>
                <c:pt idx="761">
                  <c:v>7610</c:v>
                </c:pt>
                <c:pt idx="762">
                  <c:v>7620</c:v>
                </c:pt>
                <c:pt idx="763">
                  <c:v>7630</c:v>
                </c:pt>
                <c:pt idx="764">
                  <c:v>7640</c:v>
                </c:pt>
                <c:pt idx="765">
                  <c:v>7650</c:v>
                </c:pt>
                <c:pt idx="766">
                  <c:v>7660</c:v>
                </c:pt>
                <c:pt idx="767">
                  <c:v>7670</c:v>
                </c:pt>
                <c:pt idx="768">
                  <c:v>7680</c:v>
                </c:pt>
                <c:pt idx="769">
                  <c:v>7690</c:v>
                </c:pt>
                <c:pt idx="770">
                  <c:v>7700</c:v>
                </c:pt>
                <c:pt idx="771">
                  <c:v>7710</c:v>
                </c:pt>
                <c:pt idx="772">
                  <c:v>7720</c:v>
                </c:pt>
                <c:pt idx="773">
                  <c:v>7730</c:v>
                </c:pt>
                <c:pt idx="774">
                  <c:v>7740</c:v>
                </c:pt>
                <c:pt idx="775">
                  <c:v>7750</c:v>
                </c:pt>
                <c:pt idx="776">
                  <c:v>7760</c:v>
                </c:pt>
                <c:pt idx="777">
                  <c:v>7770</c:v>
                </c:pt>
                <c:pt idx="778">
                  <c:v>7780</c:v>
                </c:pt>
                <c:pt idx="779">
                  <c:v>7790</c:v>
                </c:pt>
                <c:pt idx="780">
                  <c:v>7800</c:v>
                </c:pt>
                <c:pt idx="781">
                  <c:v>7810</c:v>
                </c:pt>
                <c:pt idx="782">
                  <c:v>7820</c:v>
                </c:pt>
                <c:pt idx="783">
                  <c:v>7830</c:v>
                </c:pt>
                <c:pt idx="784">
                  <c:v>7840</c:v>
                </c:pt>
                <c:pt idx="785">
                  <c:v>7850</c:v>
                </c:pt>
                <c:pt idx="786">
                  <c:v>7860</c:v>
                </c:pt>
                <c:pt idx="787">
                  <c:v>7870</c:v>
                </c:pt>
                <c:pt idx="788">
                  <c:v>7880</c:v>
                </c:pt>
                <c:pt idx="789">
                  <c:v>7890</c:v>
                </c:pt>
                <c:pt idx="790">
                  <c:v>7900</c:v>
                </c:pt>
                <c:pt idx="791">
                  <c:v>7910</c:v>
                </c:pt>
                <c:pt idx="792">
                  <c:v>7920</c:v>
                </c:pt>
                <c:pt idx="793">
                  <c:v>7930</c:v>
                </c:pt>
                <c:pt idx="794">
                  <c:v>7940</c:v>
                </c:pt>
                <c:pt idx="795">
                  <c:v>7950</c:v>
                </c:pt>
                <c:pt idx="796">
                  <c:v>7960</c:v>
                </c:pt>
                <c:pt idx="797">
                  <c:v>7970</c:v>
                </c:pt>
                <c:pt idx="798">
                  <c:v>7980</c:v>
                </c:pt>
                <c:pt idx="799">
                  <c:v>7990</c:v>
                </c:pt>
                <c:pt idx="800">
                  <c:v>8000</c:v>
                </c:pt>
                <c:pt idx="801">
                  <c:v>8010</c:v>
                </c:pt>
                <c:pt idx="802">
                  <c:v>8020</c:v>
                </c:pt>
                <c:pt idx="803">
                  <c:v>8030</c:v>
                </c:pt>
                <c:pt idx="804">
                  <c:v>8040</c:v>
                </c:pt>
                <c:pt idx="805">
                  <c:v>8050</c:v>
                </c:pt>
                <c:pt idx="806">
                  <c:v>8060</c:v>
                </c:pt>
                <c:pt idx="807">
                  <c:v>8070</c:v>
                </c:pt>
                <c:pt idx="808">
                  <c:v>8080</c:v>
                </c:pt>
                <c:pt idx="809">
                  <c:v>8090</c:v>
                </c:pt>
                <c:pt idx="810">
                  <c:v>8100</c:v>
                </c:pt>
                <c:pt idx="811">
                  <c:v>8110</c:v>
                </c:pt>
                <c:pt idx="812">
                  <c:v>8120</c:v>
                </c:pt>
                <c:pt idx="813">
                  <c:v>8130</c:v>
                </c:pt>
                <c:pt idx="814">
                  <c:v>8140</c:v>
                </c:pt>
                <c:pt idx="815">
                  <c:v>8150</c:v>
                </c:pt>
                <c:pt idx="816">
                  <c:v>8160</c:v>
                </c:pt>
                <c:pt idx="817">
                  <c:v>8170</c:v>
                </c:pt>
                <c:pt idx="818">
                  <c:v>8180</c:v>
                </c:pt>
                <c:pt idx="819">
                  <c:v>8190</c:v>
                </c:pt>
                <c:pt idx="820">
                  <c:v>8200</c:v>
                </c:pt>
                <c:pt idx="821">
                  <c:v>8210</c:v>
                </c:pt>
                <c:pt idx="822">
                  <c:v>8220</c:v>
                </c:pt>
                <c:pt idx="823">
                  <c:v>8230</c:v>
                </c:pt>
                <c:pt idx="824">
                  <c:v>8240</c:v>
                </c:pt>
                <c:pt idx="825">
                  <c:v>8250</c:v>
                </c:pt>
                <c:pt idx="826">
                  <c:v>8260</c:v>
                </c:pt>
                <c:pt idx="827">
                  <c:v>8270</c:v>
                </c:pt>
                <c:pt idx="828">
                  <c:v>8280</c:v>
                </c:pt>
                <c:pt idx="829">
                  <c:v>8290</c:v>
                </c:pt>
                <c:pt idx="830">
                  <c:v>8300</c:v>
                </c:pt>
                <c:pt idx="831">
                  <c:v>8310</c:v>
                </c:pt>
                <c:pt idx="832">
                  <c:v>8320</c:v>
                </c:pt>
                <c:pt idx="833">
                  <c:v>8330</c:v>
                </c:pt>
                <c:pt idx="834">
                  <c:v>8340</c:v>
                </c:pt>
                <c:pt idx="835">
                  <c:v>8350</c:v>
                </c:pt>
                <c:pt idx="836">
                  <c:v>8360</c:v>
                </c:pt>
                <c:pt idx="837">
                  <c:v>8370</c:v>
                </c:pt>
                <c:pt idx="838">
                  <c:v>8380</c:v>
                </c:pt>
                <c:pt idx="839">
                  <c:v>8390</c:v>
                </c:pt>
                <c:pt idx="840">
                  <c:v>8400</c:v>
                </c:pt>
                <c:pt idx="841">
                  <c:v>8410</c:v>
                </c:pt>
                <c:pt idx="842">
                  <c:v>8420</c:v>
                </c:pt>
                <c:pt idx="843">
                  <c:v>8430</c:v>
                </c:pt>
                <c:pt idx="844">
                  <c:v>8440</c:v>
                </c:pt>
                <c:pt idx="845">
                  <c:v>8450</c:v>
                </c:pt>
                <c:pt idx="846">
                  <c:v>8460</c:v>
                </c:pt>
                <c:pt idx="847">
                  <c:v>8470</c:v>
                </c:pt>
                <c:pt idx="848">
                  <c:v>8480</c:v>
                </c:pt>
                <c:pt idx="849">
                  <c:v>8490</c:v>
                </c:pt>
                <c:pt idx="850">
                  <c:v>8500</c:v>
                </c:pt>
                <c:pt idx="851">
                  <c:v>8510</c:v>
                </c:pt>
                <c:pt idx="852">
                  <c:v>8520</c:v>
                </c:pt>
                <c:pt idx="853">
                  <c:v>8530</c:v>
                </c:pt>
                <c:pt idx="854">
                  <c:v>8540</c:v>
                </c:pt>
                <c:pt idx="855">
                  <c:v>8550</c:v>
                </c:pt>
                <c:pt idx="856">
                  <c:v>8560</c:v>
                </c:pt>
                <c:pt idx="857">
                  <c:v>8570</c:v>
                </c:pt>
                <c:pt idx="858">
                  <c:v>8580</c:v>
                </c:pt>
                <c:pt idx="859">
                  <c:v>8590</c:v>
                </c:pt>
                <c:pt idx="860">
                  <c:v>8600</c:v>
                </c:pt>
                <c:pt idx="861">
                  <c:v>8610</c:v>
                </c:pt>
                <c:pt idx="862">
                  <c:v>8620</c:v>
                </c:pt>
                <c:pt idx="863">
                  <c:v>8630</c:v>
                </c:pt>
                <c:pt idx="864">
                  <c:v>8640</c:v>
                </c:pt>
                <c:pt idx="865">
                  <c:v>8650</c:v>
                </c:pt>
                <c:pt idx="866">
                  <c:v>8660</c:v>
                </c:pt>
                <c:pt idx="867">
                  <c:v>8670</c:v>
                </c:pt>
                <c:pt idx="868">
                  <c:v>8680</c:v>
                </c:pt>
                <c:pt idx="869">
                  <c:v>8690</c:v>
                </c:pt>
                <c:pt idx="870">
                  <c:v>8700</c:v>
                </c:pt>
                <c:pt idx="871">
                  <c:v>8710</c:v>
                </c:pt>
                <c:pt idx="872">
                  <c:v>8720</c:v>
                </c:pt>
                <c:pt idx="873">
                  <c:v>8730</c:v>
                </c:pt>
                <c:pt idx="874">
                  <c:v>8740</c:v>
                </c:pt>
                <c:pt idx="875">
                  <c:v>8750</c:v>
                </c:pt>
                <c:pt idx="876">
                  <c:v>8760</c:v>
                </c:pt>
                <c:pt idx="877">
                  <c:v>8770</c:v>
                </c:pt>
                <c:pt idx="878">
                  <c:v>8780</c:v>
                </c:pt>
                <c:pt idx="879">
                  <c:v>8790</c:v>
                </c:pt>
                <c:pt idx="880">
                  <c:v>8800</c:v>
                </c:pt>
                <c:pt idx="881">
                  <c:v>8810</c:v>
                </c:pt>
                <c:pt idx="882">
                  <c:v>8820</c:v>
                </c:pt>
                <c:pt idx="883">
                  <c:v>8830</c:v>
                </c:pt>
                <c:pt idx="884">
                  <c:v>8840</c:v>
                </c:pt>
                <c:pt idx="885">
                  <c:v>8850</c:v>
                </c:pt>
                <c:pt idx="886">
                  <c:v>8860</c:v>
                </c:pt>
                <c:pt idx="887">
                  <c:v>8870</c:v>
                </c:pt>
                <c:pt idx="888">
                  <c:v>8880</c:v>
                </c:pt>
                <c:pt idx="889">
                  <c:v>8890</c:v>
                </c:pt>
                <c:pt idx="890">
                  <c:v>8900</c:v>
                </c:pt>
                <c:pt idx="891">
                  <c:v>8910</c:v>
                </c:pt>
                <c:pt idx="892">
                  <c:v>8920</c:v>
                </c:pt>
                <c:pt idx="893">
                  <c:v>8930</c:v>
                </c:pt>
                <c:pt idx="894">
                  <c:v>8940</c:v>
                </c:pt>
                <c:pt idx="895">
                  <c:v>8950</c:v>
                </c:pt>
                <c:pt idx="896">
                  <c:v>8960</c:v>
                </c:pt>
                <c:pt idx="897">
                  <c:v>8970</c:v>
                </c:pt>
                <c:pt idx="898">
                  <c:v>8980</c:v>
                </c:pt>
                <c:pt idx="899">
                  <c:v>8990</c:v>
                </c:pt>
                <c:pt idx="900">
                  <c:v>9000</c:v>
                </c:pt>
                <c:pt idx="901">
                  <c:v>9010</c:v>
                </c:pt>
                <c:pt idx="902">
                  <c:v>9020</c:v>
                </c:pt>
                <c:pt idx="903">
                  <c:v>9030</c:v>
                </c:pt>
                <c:pt idx="904">
                  <c:v>9040</c:v>
                </c:pt>
                <c:pt idx="905">
                  <c:v>9050</c:v>
                </c:pt>
                <c:pt idx="906">
                  <c:v>9060</c:v>
                </c:pt>
                <c:pt idx="907">
                  <c:v>9070</c:v>
                </c:pt>
                <c:pt idx="908">
                  <c:v>9080</c:v>
                </c:pt>
                <c:pt idx="909">
                  <c:v>9090</c:v>
                </c:pt>
                <c:pt idx="910">
                  <c:v>9100</c:v>
                </c:pt>
                <c:pt idx="911">
                  <c:v>9110</c:v>
                </c:pt>
                <c:pt idx="912">
                  <c:v>9120</c:v>
                </c:pt>
                <c:pt idx="913">
                  <c:v>9130</c:v>
                </c:pt>
                <c:pt idx="914">
                  <c:v>9140</c:v>
                </c:pt>
                <c:pt idx="915">
                  <c:v>9150</c:v>
                </c:pt>
                <c:pt idx="916">
                  <c:v>9160</c:v>
                </c:pt>
                <c:pt idx="917">
                  <c:v>9170</c:v>
                </c:pt>
                <c:pt idx="918">
                  <c:v>9180</c:v>
                </c:pt>
                <c:pt idx="919">
                  <c:v>9190</c:v>
                </c:pt>
                <c:pt idx="920">
                  <c:v>9200</c:v>
                </c:pt>
                <c:pt idx="921">
                  <c:v>9210</c:v>
                </c:pt>
                <c:pt idx="922">
                  <c:v>9220</c:v>
                </c:pt>
                <c:pt idx="923">
                  <c:v>9230</c:v>
                </c:pt>
                <c:pt idx="924">
                  <c:v>9240</c:v>
                </c:pt>
                <c:pt idx="925">
                  <c:v>9250</c:v>
                </c:pt>
                <c:pt idx="926">
                  <c:v>9260</c:v>
                </c:pt>
                <c:pt idx="927">
                  <c:v>9270</c:v>
                </c:pt>
                <c:pt idx="928">
                  <c:v>9280</c:v>
                </c:pt>
                <c:pt idx="929">
                  <c:v>9290</c:v>
                </c:pt>
                <c:pt idx="930">
                  <c:v>9300</c:v>
                </c:pt>
                <c:pt idx="931">
                  <c:v>9310</c:v>
                </c:pt>
                <c:pt idx="932">
                  <c:v>9320</c:v>
                </c:pt>
                <c:pt idx="933">
                  <c:v>9330</c:v>
                </c:pt>
                <c:pt idx="934">
                  <c:v>9340</c:v>
                </c:pt>
                <c:pt idx="935">
                  <c:v>9350</c:v>
                </c:pt>
                <c:pt idx="936">
                  <c:v>9360</c:v>
                </c:pt>
                <c:pt idx="937">
                  <c:v>9370</c:v>
                </c:pt>
                <c:pt idx="938">
                  <c:v>9380</c:v>
                </c:pt>
                <c:pt idx="939">
                  <c:v>9390</c:v>
                </c:pt>
                <c:pt idx="940">
                  <c:v>9400</c:v>
                </c:pt>
                <c:pt idx="941">
                  <c:v>9410</c:v>
                </c:pt>
                <c:pt idx="942">
                  <c:v>9420</c:v>
                </c:pt>
                <c:pt idx="943">
                  <c:v>9430</c:v>
                </c:pt>
                <c:pt idx="944">
                  <c:v>9440</c:v>
                </c:pt>
                <c:pt idx="945">
                  <c:v>9450</c:v>
                </c:pt>
                <c:pt idx="946">
                  <c:v>9460</c:v>
                </c:pt>
                <c:pt idx="947">
                  <c:v>9470</c:v>
                </c:pt>
                <c:pt idx="948">
                  <c:v>9480</c:v>
                </c:pt>
                <c:pt idx="949">
                  <c:v>9490</c:v>
                </c:pt>
                <c:pt idx="950">
                  <c:v>9500</c:v>
                </c:pt>
                <c:pt idx="951">
                  <c:v>9510</c:v>
                </c:pt>
                <c:pt idx="952">
                  <c:v>9520</c:v>
                </c:pt>
                <c:pt idx="953">
                  <c:v>9530</c:v>
                </c:pt>
                <c:pt idx="954">
                  <c:v>9540</c:v>
                </c:pt>
                <c:pt idx="955">
                  <c:v>9550</c:v>
                </c:pt>
                <c:pt idx="956">
                  <c:v>9560</c:v>
                </c:pt>
                <c:pt idx="957">
                  <c:v>9570</c:v>
                </c:pt>
                <c:pt idx="958">
                  <c:v>9580</c:v>
                </c:pt>
                <c:pt idx="959">
                  <c:v>9590</c:v>
                </c:pt>
                <c:pt idx="960">
                  <c:v>9600</c:v>
                </c:pt>
                <c:pt idx="961">
                  <c:v>9610</c:v>
                </c:pt>
                <c:pt idx="962">
                  <c:v>9620</c:v>
                </c:pt>
                <c:pt idx="963">
                  <c:v>9630</c:v>
                </c:pt>
                <c:pt idx="964">
                  <c:v>9640</c:v>
                </c:pt>
                <c:pt idx="965">
                  <c:v>9650</c:v>
                </c:pt>
                <c:pt idx="966">
                  <c:v>9660</c:v>
                </c:pt>
                <c:pt idx="967">
                  <c:v>9670</c:v>
                </c:pt>
                <c:pt idx="968">
                  <c:v>9680</c:v>
                </c:pt>
                <c:pt idx="969">
                  <c:v>9690</c:v>
                </c:pt>
                <c:pt idx="970">
                  <c:v>9700</c:v>
                </c:pt>
                <c:pt idx="971">
                  <c:v>9710</c:v>
                </c:pt>
                <c:pt idx="972">
                  <c:v>9720</c:v>
                </c:pt>
                <c:pt idx="973">
                  <c:v>9730</c:v>
                </c:pt>
                <c:pt idx="974">
                  <c:v>9740</c:v>
                </c:pt>
                <c:pt idx="975">
                  <c:v>9750</c:v>
                </c:pt>
                <c:pt idx="976">
                  <c:v>9760</c:v>
                </c:pt>
                <c:pt idx="977">
                  <c:v>9770</c:v>
                </c:pt>
                <c:pt idx="978">
                  <c:v>9780</c:v>
                </c:pt>
                <c:pt idx="979">
                  <c:v>9790</c:v>
                </c:pt>
                <c:pt idx="980">
                  <c:v>9800</c:v>
                </c:pt>
                <c:pt idx="981">
                  <c:v>9810</c:v>
                </c:pt>
                <c:pt idx="982">
                  <c:v>9820</c:v>
                </c:pt>
                <c:pt idx="983">
                  <c:v>9830</c:v>
                </c:pt>
                <c:pt idx="984">
                  <c:v>9840</c:v>
                </c:pt>
                <c:pt idx="985">
                  <c:v>9850</c:v>
                </c:pt>
                <c:pt idx="986">
                  <c:v>9860</c:v>
                </c:pt>
                <c:pt idx="987">
                  <c:v>9870</c:v>
                </c:pt>
                <c:pt idx="988">
                  <c:v>9880</c:v>
                </c:pt>
                <c:pt idx="989">
                  <c:v>9890</c:v>
                </c:pt>
                <c:pt idx="990">
                  <c:v>9900</c:v>
                </c:pt>
                <c:pt idx="991">
                  <c:v>9910</c:v>
                </c:pt>
                <c:pt idx="992">
                  <c:v>9920</c:v>
                </c:pt>
                <c:pt idx="993">
                  <c:v>9930</c:v>
                </c:pt>
                <c:pt idx="994">
                  <c:v>9940</c:v>
                </c:pt>
                <c:pt idx="995">
                  <c:v>9950</c:v>
                </c:pt>
                <c:pt idx="996">
                  <c:v>9960</c:v>
                </c:pt>
                <c:pt idx="997">
                  <c:v>9970</c:v>
                </c:pt>
                <c:pt idx="998">
                  <c:v>9980</c:v>
                </c:pt>
                <c:pt idx="999">
                  <c:v>9990</c:v>
                </c:pt>
                <c:pt idx="1000">
                  <c:v>10000</c:v>
                </c:pt>
              </c:numCache>
            </c:numRef>
          </c:xVal>
          <c:yVal>
            <c:numRef>
              <c:f>Расчет!$C$2:$C$1053</c:f>
              <c:numCache>
                <c:formatCode>0.0000</c:formatCode>
                <c:ptCount val="1052"/>
                <c:pt idx="0">
                  <c:v>0</c:v>
                </c:pt>
                <c:pt idx="1">
                  <c:v>3.7956997574328799E-4</c:v>
                </c:pt>
                <c:pt idx="2">
                  <c:v>7.5899587812011671E-4</c:v>
                </c:pt>
                <c:pt idx="3">
                  <c:v>1.1382777618164086E-3</c:v>
                </c:pt>
                <c:pt idx="4">
                  <c:v>1.517415681497214E-3</c:v>
                </c:pt>
                <c:pt idx="5">
                  <c:v>1.8964096918071549E-3</c:v>
                </c:pt>
                <c:pt idx="6">
                  <c:v>2.2752598473697594E-3</c:v>
                </c:pt>
                <c:pt idx="7">
                  <c:v>2.6539662027879052E-3</c:v>
                </c:pt>
                <c:pt idx="8">
                  <c:v>3.0325288126440419E-3</c:v>
                </c:pt>
                <c:pt idx="9">
                  <c:v>3.4109477314994141E-3</c:v>
                </c:pt>
                <c:pt idx="10">
                  <c:v>3.78922301389506E-3</c:v>
                </c:pt>
                <c:pt idx="11">
                  <c:v>4.1673547143509238E-3</c:v>
                </c:pt>
                <c:pt idx="12">
                  <c:v>4.5453428873664103E-3</c:v>
                </c:pt>
                <c:pt idx="13">
                  <c:v>4.9231875874201636E-3</c:v>
                </c:pt>
                <c:pt idx="14">
                  <c:v>5.3008888689702882E-3</c:v>
                </c:pt>
                <c:pt idx="15">
                  <c:v>5.6784467864542387E-3</c:v>
                </c:pt>
                <c:pt idx="16">
                  <c:v>6.0558613942884865E-3</c:v>
                </c:pt>
                <c:pt idx="17">
                  <c:v>6.4331327468692967E-3</c:v>
                </c:pt>
                <c:pt idx="18">
                  <c:v>6.8102608985719515E-3</c:v>
                </c:pt>
                <c:pt idx="19">
                  <c:v>7.1872459037510827E-3</c:v>
                </c:pt>
                <c:pt idx="20">
                  <c:v>7.5640878167411163E-3</c:v>
                </c:pt>
                <c:pt idx="21">
                  <c:v>7.9407866918552727E-3</c:v>
                </c:pt>
                <c:pt idx="22">
                  <c:v>8.3173425833865666E-3</c:v>
                </c:pt>
                <c:pt idx="23">
                  <c:v>8.6937555456072513E-3</c:v>
                </c:pt>
                <c:pt idx="24">
                  <c:v>9.0700256327689299E-3</c:v>
                </c:pt>
                <c:pt idx="25">
                  <c:v>9.4461528991028887E-3</c:v>
                </c:pt>
                <c:pt idx="26">
                  <c:v>9.8221373988194305E-3</c:v>
                </c:pt>
                <c:pt idx="27">
                  <c:v>1.019797918610843E-2</c:v>
                </c:pt>
                <c:pt idx="28">
                  <c:v>1.0573678315139445E-2</c:v>
                </c:pt>
                <c:pt idx="29">
                  <c:v>1.0949234840061162E-2</c:v>
                </c:pt>
                <c:pt idx="30">
                  <c:v>1.1324648815001837E-2</c:v>
                </c:pt>
                <c:pt idx="31">
                  <c:v>1.1699920294069077E-2</c:v>
                </c:pt>
                <c:pt idx="32">
                  <c:v>1.2075049331350174E-2</c:v>
                </c:pt>
                <c:pt idx="33">
                  <c:v>1.2450035980911656E-2</c:v>
                </c:pt>
                <c:pt idx="34">
                  <c:v>1.2824880296799734E-2</c:v>
                </c:pt>
                <c:pt idx="35">
                  <c:v>1.3199582333039861E-2</c:v>
                </c:pt>
                <c:pt idx="36">
                  <c:v>1.3574142143637169E-2</c:v>
                </c:pt>
                <c:pt idx="37">
                  <c:v>1.3948559782576253E-2</c:v>
                </c:pt>
                <c:pt idx="38">
                  <c:v>1.432283530382128E-2</c:v>
                </c:pt>
                <c:pt idx="39">
                  <c:v>1.4696968761315765E-2</c:v>
                </c:pt>
                <c:pt idx="40">
                  <c:v>1.5070960208982798E-2</c:v>
                </c:pt>
                <c:pt idx="41">
                  <c:v>1.5444809700725148E-2</c:v>
                </c:pt>
                <c:pt idx="42">
                  <c:v>1.5818517290425049E-2</c:v>
                </c:pt>
                <c:pt idx="43">
                  <c:v>1.6192083031944082E-2</c:v>
                </c:pt>
                <c:pt idx="44">
                  <c:v>1.6565506979123734E-2</c:v>
                </c:pt>
                <c:pt idx="45">
                  <c:v>1.6938789185784731E-2</c:v>
                </c:pt>
                <c:pt idx="46">
                  <c:v>1.7311929705727702E-2</c:v>
                </c:pt>
                <c:pt idx="47">
                  <c:v>1.7684928592732518E-2</c:v>
                </c:pt>
                <c:pt idx="48">
                  <c:v>1.8057785900558843E-2</c:v>
                </c:pt>
                <c:pt idx="49">
                  <c:v>1.843050168294591E-2</c:v>
                </c:pt>
                <c:pt idx="50">
                  <c:v>1.8803075993612528E-2</c:v>
                </c:pt>
                <c:pt idx="51">
                  <c:v>1.9175508886256964E-2</c:v>
                </c:pt>
                <c:pt idx="52">
                  <c:v>1.9547800414557504E-2</c:v>
                </c:pt>
                <c:pt idx="53">
                  <c:v>1.9919950632171557E-2</c:v>
                </c:pt>
                <c:pt idx="54">
                  <c:v>2.0291959592736664E-2</c:v>
                </c:pt>
                <c:pt idx="55">
                  <c:v>2.066382734986949E-2</c:v>
                </c:pt>
                <c:pt idx="56">
                  <c:v>2.1035553957166941E-2</c:v>
                </c:pt>
                <c:pt idx="57">
                  <c:v>2.1407139468204939E-2</c:v>
                </c:pt>
                <c:pt idx="58">
                  <c:v>2.1778583936539531E-2</c:v>
                </c:pt>
                <c:pt idx="59">
                  <c:v>2.2149887415706337E-2</c:v>
                </c:pt>
                <c:pt idx="60">
                  <c:v>2.2521049959220552E-2</c:v>
                </c:pt>
                <c:pt idx="61">
                  <c:v>2.2892071620577159E-2</c:v>
                </c:pt>
                <c:pt idx="62">
                  <c:v>2.3262952453250718E-2</c:v>
                </c:pt>
                <c:pt idx="63">
                  <c:v>2.3633692510695581E-2</c:v>
                </c:pt>
                <c:pt idx="64">
                  <c:v>2.4004291846345893E-2</c:v>
                </c:pt>
                <c:pt idx="65">
                  <c:v>2.4374750513615373E-2</c:v>
                </c:pt>
                <c:pt idx="66">
                  <c:v>2.4745068565897421E-2</c:v>
                </c:pt>
                <c:pt idx="67">
                  <c:v>2.5115246056565455E-2</c:v>
                </c:pt>
                <c:pt idx="68">
                  <c:v>2.548528303897224E-2</c:v>
                </c:pt>
                <c:pt idx="69">
                  <c:v>2.5855179566450559E-2</c:v>
                </c:pt>
                <c:pt idx="70">
                  <c:v>2.6224935692312989E-2</c:v>
                </c:pt>
                <c:pt idx="71">
                  <c:v>2.659455146985179E-2</c:v>
                </c:pt>
                <c:pt idx="72">
                  <c:v>2.6964026952338682E-2</c:v>
                </c:pt>
                <c:pt idx="73">
                  <c:v>2.7333362193025845E-2</c:v>
                </c:pt>
                <c:pt idx="74">
                  <c:v>2.7702557245144477E-2</c:v>
                </c:pt>
                <c:pt idx="75">
                  <c:v>2.8071612161906234E-2</c:v>
                </c:pt>
                <c:pt idx="76">
                  <c:v>2.8440526996502125E-2</c:v>
                </c:pt>
                <c:pt idx="77">
                  <c:v>2.8809301802103282E-2</c:v>
                </c:pt>
                <c:pt idx="78">
                  <c:v>2.9177936631860413E-2</c:v>
                </c:pt>
                <c:pt idx="79">
                  <c:v>2.9546431538904128E-2</c:v>
                </c:pt>
                <c:pt idx="80">
                  <c:v>2.9914786576344832E-2</c:v>
                </c:pt>
                <c:pt idx="81">
                  <c:v>3.0283001797273057E-2</c:v>
                </c:pt>
                <c:pt idx="82">
                  <c:v>3.0651077254758685E-2</c:v>
                </c:pt>
                <c:pt idx="83">
                  <c:v>3.1019013001851947E-2</c:v>
                </c:pt>
                <c:pt idx="84">
                  <c:v>3.1386809091582535E-2</c:v>
                </c:pt>
                <c:pt idx="85">
                  <c:v>3.1754465576960267E-2</c:v>
                </c:pt>
                <c:pt idx="86">
                  <c:v>3.2121982510974756E-2</c:v>
                </c:pt>
                <c:pt idx="87">
                  <c:v>3.248935994659552E-2</c:v>
                </c:pt>
                <c:pt idx="88">
                  <c:v>3.2856597936771981E-2</c:v>
                </c:pt>
                <c:pt idx="89">
                  <c:v>3.3223696534433467E-2</c:v>
                </c:pt>
                <c:pt idx="90">
                  <c:v>3.3590655792489099E-2</c:v>
                </c:pt>
                <c:pt idx="91">
                  <c:v>3.3957475763828016E-2</c:v>
                </c:pt>
                <c:pt idx="92">
                  <c:v>3.4324156501319369E-2</c:v>
                </c:pt>
                <c:pt idx="93">
                  <c:v>3.4690698057811997E-2</c:v>
                </c:pt>
                <c:pt idx="94">
                  <c:v>3.5057100486134973E-2</c:v>
                </c:pt>
                <c:pt idx="95">
                  <c:v>3.5423363839097166E-2</c:v>
                </c:pt>
                <c:pt idx="96">
                  <c:v>3.5789488169487349E-2</c:v>
                </c:pt>
                <c:pt idx="97">
                  <c:v>3.6155473530074311E-2</c:v>
                </c:pt>
                <c:pt idx="98">
                  <c:v>3.6521319973606747E-2</c:v>
                </c:pt>
                <c:pt idx="99">
                  <c:v>3.6887027552813589E-2</c:v>
                </c:pt>
                <c:pt idx="100">
                  <c:v>3.7252596320403453E-2</c:v>
                </c:pt>
                <c:pt idx="101">
                  <c:v>3.7618026329064969E-2</c:v>
                </c:pt>
                <c:pt idx="102">
                  <c:v>3.7983317631467117E-2</c:v>
                </c:pt>
                <c:pt idx="103">
                  <c:v>3.834847028025834E-2</c:v>
                </c:pt>
                <c:pt idx="104">
                  <c:v>3.8713484328067538E-2</c:v>
                </c:pt>
                <c:pt idx="105">
                  <c:v>3.9078359827503517E-2</c:v>
                </c:pt>
                <c:pt idx="106">
                  <c:v>3.9443096831154989E-2</c:v>
                </c:pt>
                <c:pt idx="107">
                  <c:v>3.9807695391590903E-2</c:v>
                </c:pt>
                <c:pt idx="108">
                  <c:v>4.0172155561360001E-2</c:v>
                </c:pt>
                <c:pt idx="109">
                  <c:v>4.0536477392991377E-2</c:v>
                </c:pt>
                <c:pt idx="110">
                  <c:v>4.0900660938993916E-2</c:v>
                </c:pt>
                <c:pt idx="111">
                  <c:v>4.1264706251856631E-2</c:v>
                </c:pt>
                <c:pt idx="112">
                  <c:v>4.1628613384048885E-2</c:v>
                </c:pt>
                <c:pt idx="113">
                  <c:v>4.1992382388019833E-2</c:v>
                </c:pt>
                <c:pt idx="114">
                  <c:v>4.2356013316198649E-2</c:v>
                </c:pt>
                <c:pt idx="115">
                  <c:v>4.2719506220994963E-2</c:v>
                </c:pt>
                <c:pt idx="116">
                  <c:v>4.3082861154798202E-2</c:v>
                </c:pt>
                <c:pt idx="117">
                  <c:v>4.3446078169978031E-2</c:v>
                </c:pt>
                <c:pt idx="118">
                  <c:v>4.380915731888424E-2</c:v>
                </c:pt>
                <c:pt idx="119">
                  <c:v>4.4172098653846636E-2</c:v>
                </c:pt>
                <c:pt idx="120">
                  <c:v>4.4534902227175377E-2</c:v>
                </c:pt>
                <c:pt idx="121">
                  <c:v>4.4897568091160522E-2</c:v>
                </c:pt>
                <c:pt idx="122">
                  <c:v>4.5260096298072594E-2</c:v>
                </c:pt>
                <c:pt idx="123">
                  <c:v>4.5622486900161907E-2</c:v>
                </c:pt>
                <c:pt idx="124">
                  <c:v>4.5984739949659126E-2</c:v>
                </c:pt>
                <c:pt idx="125">
                  <c:v>4.6346855498775152E-2</c:v>
                </c:pt>
                <c:pt idx="126">
                  <c:v>4.6708833599701016E-2</c:v>
                </c:pt>
                <c:pt idx="127">
                  <c:v>4.7070674304607873E-2</c:v>
                </c:pt>
                <c:pt idx="128">
                  <c:v>4.743237766564723E-2</c:v>
                </c:pt>
                <c:pt idx="129">
                  <c:v>4.7793943734950495E-2</c:v>
                </c:pt>
                <c:pt idx="130">
                  <c:v>4.815537256462965E-2</c:v>
                </c:pt>
                <c:pt idx="131">
                  <c:v>4.8516664206776694E-2</c:v>
                </c:pt>
                <c:pt idx="132">
                  <c:v>4.8877818713463861E-2</c:v>
                </c:pt>
                <c:pt idx="133">
                  <c:v>4.9238836136743735E-2</c:v>
                </c:pt>
                <c:pt idx="134">
                  <c:v>4.9599716528649029E-2</c:v>
                </c:pt>
                <c:pt idx="135">
                  <c:v>4.9960459941192581E-2</c:v>
                </c:pt>
                <c:pt idx="136">
                  <c:v>5.0321066426367911E-2</c:v>
                </c:pt>
                <c:pt idx="137">
                  <c:v>5.0681536036148445E-2</c:v>
                </c:pt>
                <c:pt idx="138">
                  <c:v>5.1041868822487846E-2</c:v>
                </c:pt>
                <c:pt idx="139">
                  <c:v>5.1402064837320238E-2</c:v>
                </c:pt>
                <c:pt idx="140">
                  <c:v>5.1762124132560094E-2</c:v>
                </c:pt>
                <c:pt idx="141">
                  <c:v>5.2122046760102014E-2</c:v>
                </c:pt>
                <c:pt idx="142">
                  <c:v>5.2481832771820836E-2</c:v>
                </c:pt>
                <c:pt idx="143">
                  <c:v>5.2841482219572078E-2</c:v>
                </c:pt>
                <c:pt idx="144">
                  <c:v>5.3200995155191055E-2</c:v>
                </c:pt>
                <c:pt idx="145">
                  <c:v>5.3560371630493764E-2</c:v>
                </c:pt>
                <c:pt idx="146">
                  <c:v>5.3919611697276437E-2</c:v>
                </c:pt>
                <c:pt idx="147">
                  <c:v>5.427871540731577E-2</c:v>
                </c:pt>
                <c:pt idx="148">
                  <c:v>5.4637682812368471E-2</c:v>
                </c:pt>
                <c:pt idx="149">
                  <c:v>5.4996513964172045E-2</c:v>
                </c:pt>
                <c:pt idx="150">
                  <c:v>5.535520891444401E-2</c:v>
                </c:pt>
                <c:pt idx="151">
                  <c:v>5.5713767714882345E-2</c:v>
                </c:pt>
                <c:pt idx="152">
                  <c:v>5.6072190417165602E-2</c:v>
                </c:pt>
                <c:pt idx="153">
                  <c:v>5.6430477072952345E-2</c:v>
                </c:pt>
                <c:pt idx="154">
                  <c:v>5.6788627733881936E-2</c:v>
                </c:pt>
                <c:pt idx="155">
                  <c:v>5.7146642451573748E-2</c:v>
                </c:pt>
                <c:pt idx="156">
                  <c:v>5.7504521277627951E-2</c:v>
                </c:pt>
                <c:pt idx="157">
                  <c:v>5.786226426362473E-2</c:v>
                </c:pt>
                <c:pt idx="158">
                  <c:v>5.8219871461125061E-2</c:v>
                </c:pt>
                <c:pt idx="159">
                  <c:v>5.857734292167005E-2</c:v>
                </c:pt>
                <c:pt idx="160">
                  <c:v>5.8934678696781484E-2</c:v>
                </c:pt>
                <c:pt idx="161">
                  <c:v>5.9291878837961387E-2</c:v>
                </c:pt>
                <c:pt idx="162">
                  <c:v>5.9648943396692355E-2</c:v>
                </c:pt>
                <c:pt idx="163">
                  <c:v>6.0005872424437556E-2</c:v>
                </c:pt>
                <c:pt idx="164">
                  <c:v>6.0362665972640173E-2</c:v>
                </c:pt>
                <c:pt idx="165">
                  <c:v>6.0719324092724514E-2</c:v>
                </c:pt>
                <c:pt idx="166">
                  <c:v>6.1075846836094794E-2</c:v>
                </c:pt>
                <c:pt idx="167">
                  <c:v>6.143223425413602E-2</c:v>
                </c:pt>
                <c:pt idx="168">
                  <c:v>6.1788486398213549E-2</c:v>
                </c:pt>
                <c:pt idx="169">
                  <c:v>6.214460331967353E-2</c:v>
                </c:pt>
                <c:pt idx="170">
                  <c:v>6.250058506984224E-2</c:v>
                </c:pt>
                <c:pt idx="171">
                  <c:v>6.2856431700026638E-2</c:v>
                </c:pt>
                <c:pt idx="172">
                  <c:v>6.3212143261514253E-2</c:v>
                </c:pt>
                <c:pt idx="173">
                  <c:v>6.3567719805573075E-2</c:v>
                </c:pt>
                <c:pt idx="174">
                  <c:v>6.3923161383451665E-2</c:v>
                </c:pt>
                <c:pt idx="175">
                  <c:v>6.4278468046379267E-2</c:v>
                </c:pt>
                <c:pt idx="176">
                  <c:v>6.463363984556536E-2</c:v>
                </c:pt>
                <c:pt idx="177">
                  <c:v>6.4988676832200332E-2</c:v>
                </c:pt>
                <c:pt idx="178">
                  <c:v>6.5343579057454804E-2</c:v>
                </c:pt>
                <c:pt idx="179">
                  <c:v>6.5698346572480304E-2</c:v>
                </c:pt>
                <c:pt idx="180">
                  <c:v>6.6052979428408709E-2</c:v>
                </c:pt>
                <c:pt idx="181">
                  <c:v>6.6407477676352578E-2</c:v>
                </c:pt>
                <c:pt idx="182">
                  <c:v>6.676184136740515E-2</c:v>
                </c:pt>
                <c:pt idx="183">
                  <c:v>6.7116070552640017E-2</c:v>
                </c:pt>
                <c:pt idx="184">
                  <c:v>6.7470165283111672E-2</c:v>
                </c:pt>
                <c:pt idx="185">
                  <c:v>6.7824125609855068E-2</c:v>
                </c:pt>
                <c:pt idx="186">
                  <c:v>6.8177951583885843E-2</c:v>
                </c:pt>
                <c:pt idx="187">
                  <c:v>6.8531643256200203E-2</c:v>
                </c:pt>
                <c:pt idx="188">
                  <c:v>6.8885200677775038E-2</c:v>
                </c:pt>
                <c:pt idx="189">
                  <c:v>6.923862389956803E-2</c:v>
                </c:pt>
                <c:pt idx="190">
                  <c:v>6.9591912972517322E-2</c:v>
                </c:pt>
                <c:pt idx="191">
                  <c:v>6.9945067947541739E-2</c:v>
                </c:pt>
                <c:pt idx="192">
                  <c:v>7.0298088875540787E-2</c:v>
                </c:pt>
                <c:pt idx="193">
                  <c:v>7.0650975807394767E-2</c:v>
                </c:pt>
                <c:pt idx="194">
                  <c:v>7.100372879396466E-2</c:v>
                </c:pt>
                <c:pt idx="195">
                  <c:v>7.1356347886091909E-2</c:v>
                </c:pt>
                <c:pt idx="196">
                  <c:v>7.170883313459897E-2</c:v>
                </c:pt>
                <c:pt idx="197">
                  <c:v>7.2061184590288763E-2</c:v>
                </c:pt>
                <c:pt idx="198">
                  <c:v>7.2413402303945107E-2</c:v>
                </c:pt>
                <c:pt idx="199">
                  <c:v>7.2765486326332396E-2</c:v>
                </c:pt>
                <c:pt idx="200">
                  <c:v>7.3117436708195926E-2</c:v>
                </c:pt>
                <c:pt idx="201">
                  <c:v>7.3469253500261456E-2</c:v>
                </c:pt>
                <c:pt idx="202">
                  <c:v>7.3820936753235755E-2</c:v>
                </c:pt>
                <c:pt idx="203">
                  <c:v>7.417248651780628E-2</c:v>
                </c:pt>
                <c:pt idx="204">
                  <c:v>7.4523902844641277E-2</c:v>
                </c:pt>
                <c:pt idx="205">
                  <c:v>7.4875185784389453E-2</c:v>
                </c:pt>
                <c:pt idx="206">
                  <c:v>7.5226335387680865E-2</c:v>
                </c:pt>
                <c:pt idx="207">
                  <c:v>7.5577351705125806E-2</c:v>
                </c:pt>
                <c:pt idx="208">
                  <c:v>7.5928234787315585E-2</c:v>
                </c:pt>
                <c:pt idx="209">
                  <c:v>7.6278984684822526E-2</c:v>
                </c:pt>
                <c:pt idx="210">
                  <c:v>7.6629601448199303E-2</c:v>
                </c:pt>
                <c:pt idx="211">
                  <c:v>7.6980085127979603E-2</c:v>
                </c:pt>
                <c:pt idx="212">
                  <c:v>7.7330435774678241E-2</c:v>
                </c:pt>
                <c:pt idx="213">
                  <c:v>7.768065343879027E-2</c:v>
                </c:pt>
                <c:pt idx="214">
                  <c:v>7.8030738170792091E-2</c:v>
                </c:pt>
                <c:pt idx="215">
                  <c:v>7.8380690021140675E-2</c:v>
                </c:pt>
                <c:pt idx="216">
                  <c:v>7.8730509040273899E-2</c:v>
                </c:pt>
                <c:pt idx="217">
                  <c:v>7.9080195278610543E-2</c:v>
                </c:pt>
                <c:pt idx="218">
                  <c:v>7.9429748786550181E-2</c:v>
                </c:pt>
                <c:pt idx="219">
                  <c:v>7.9779169614473289E-2</c:v>
                </c:pt>
                <c:pt idx="220">
                  <c:v>8.0128457812741138E-2</c:v>
                </c:pt>
                <c:pt idx="221">
                  <c:v>8.0477613431696127E-2</c:v>
                </c:pt>
                <c:pt idx="222">
                  <c:v>8.0826636521661333E-2</c:v>
                </c:pt>
                <c:pt idx="223">
                  <c:v>8.1175527132940739E-2</c:v>
                </c:pt>
                <c:pt idx="224">
                  <c:v>8.1524285315819234E-2</c:v>
                </c:pt>
                <c:pt idx="225">
                  <c:v>8.1872911120562719E-2</c:v>
                </c:pt>
                <c:pt idx="226">
                  <c:v>8.2221404597417891E-2</c:v>
                </c:pt>
                <c:pt idx="227">
                  <c:v>8.2569765796612571E-2</c:v>
                </c:pt>
                <c:pt idx="228">
                  <c:v>8.2917994768355374E-2</c:v>
                </c:pt>
                <c:pt idx="229">
                  <c:v>8.3266091562835709E-2</c:v>
                </c:pt>
                <c:pt idx="230">
                  <c:v>8.3614056230224332E-2</c:v>
                </c:pt>
                <c:pt idx="231">
                  <c:v>8.3961888820672459E-2</c:v>
                </c:pt>
                <c:pt idx="232">
                  <c:v>8.4309589384312766E-2</c:v>
                </c:pt>
                <c:pt idx="233">
                  <c:v>8.4657157971258501E-2</c:v>
                </c:pt>
                <c:pt idx="234">
                  <c:v>8.5004594631604147E-2</c:v>
                </c:pt>
                <c:pt idx="235">
                  <c:v>8.5351899415425092E-2</c:v>
                </c:pt>
                <c:pt idx="236">
                  <c:v>8.5699072372777629E-2</c:v>
                </c:pt>
                <c:pt idx="237">
                  <c:v>8.6046113553699177E-2</c:v>
                </c:pt>
                <c:pt idx="238">
                  <c:v>8.639302300820817E-2</c:v>
                </c:pt>
                <c:pt idx="239">
                  <c:v>8.6739800786303833E-2</c:v>
                </c:pt>
                <c:pt idx="240">
                  <c:v>8.7086446937966633E-2</c:v>
                </c:pt>
                <c:pt idx="241">
                  <c:v>8.7432961513158158E-2</c:v>
                </c:pt>
                <c:pt idx="242">
                  <c:v>8.7779344561820793E-2</c:v>
                </c:pt>
                <c:pt idx="243">
                  <c:v>8.8125596133877937E-2</c:v>
                </c:pt>
                <c:pt idx="244">
                  <c:v>8.8471716279234336E-2</c:v>
                </c:pt>
                <c:pt idx="245">
                  <c:v>8.8817705047775641E-2</c:v>
                </c:pt>
                <c:pt idx="246">
                  <c:v>8.9163562489368298E-2</c:v>
                </c:pt>
                <c:pt idx="247">
                  <c:v>8.9509288653860319E-2</c:v>
                </c:pt>
                <c:pt idx="248">
                  <c:v>8.9854883591080514E-2</c:v>
                </c:pt>
                <c:pt idx="249">
                  <c:v>9.0200347350838705E-2</c:v>
                </c:pt>
                <c:pt idx="250">
                  <c:v>9.0545679982926064E-2</c:v>
                </c:pt>
                <c:pt idx="251">
                  <c:v>9.0890881537114554E-2</c:v>
                </c:pt>
                <c:pt idx="252">
                  <c:v>9.1235952063157488E-2</c:v>
                </c:pt>
                <c:pt idx="253">
                  <c:v>9.1580891610789306E-2</c:v>
                </c:pt>
                <c:pt idx="254">
                  <c:v>9.1925700229725349E-2</c:v>
                </c:pt>
                <c:pt idx="255">
                  <c:v>9.2270377969662309E-2</c:v>
                </c:pt>
                <c:pt idx="256">
                  <c:v>9.2614924880277782E-2</c:v>
                </c:pt>
                <c:pt idx="257">
                  <c:v>9.2959341011230823E-2</c:v>
                </c:pt>
                <c:pt idx="258">
                  <c:v>9.3303626412161389E-2</c:v>
                </c:pt>
                <c:pt idx="259">
                  <c:v>9.3647781132690677E-2</c:v>
                </c:pt>
                <c:pt idx="260">
                  <c:v>9.399180522242101E-2</c:v>
                </c:pt>
                <c:pt idx="261">
                  <c:v>9.4335698730935946E-2</c:v>
                </c:pt>
                <c:pt idx="262">
                  <c:v>9.4679461707800283E-2</c:v>
                </c:pt>
                <c:pt idx="263">
                  <c:v>9.5023094202559721E-2</c:v>
                </c:pt>
                <c:pt idx="264">
                  <c:v>9.5366596264741532E-2</c:v>
                </c:pt>
                <c:pt idx="265">
                  <c:v>9.5709967943853891E-2</c:v>
                </c:pt>
                <c:pt idx="266">
                  <c:v>9.6053209289386321E-2</c:v>
                </c:pt>
                <c:pt idx="267">
                  <c:v>9.6396320350809583E-2</c:v>
                </c:pt>
                <c:pt idx="268">
                  <c:v>9.6739301177575676E-2</c:v>
                </c:pt>
                <c:pt idx="269">
                  <c:v>9.7082151819117501E-2</c:v>
                </c:pt>
                <c:pt idx="270">
                  <c:v>9.7424872324849754E-2</c:v>
                </c:pt>
                <c:pt idx="271">
                  <c:v>9.7767462744167921E-2</c:v>
                </c:pt>
                <c:pt idx="272">
                  <c:v>9.810992312644895E-2</c:v>
                </c:pt>
                <c:pt idx="273">
                  <c:v>9.8452253521050914E-2</c:v>
                </c:pt>
                <c:pt idx="274">
                  <c:v>9.8794453977313346E-2</c:v>
                </c:pt>
                <c:pt idx="275">
                  <c:v>9.9136524544556903E-2</c:v>
                </c:pt>
                <c:pt idx="276">
                  <c:v>9.9478465272083594E-2</c:v>
                </c:pt>
                <c:pt idx="277">
                  <c:v>9.9820276209176551E-2</c:v>
                </c:pt>
                <c:pt idx="278">
                  <c:v>0.10016195740510048</c:v>
                </c:pt>
                <c:pt idx="279">
                  <c:v>0.10050350890910109</c:v>
                </c:pt>
                <c:pt idx="280">
                  <c:v>0.10084493077040568</c:v>
                </c:pt>
                <c:pt idx="281">
                  <c:v>0.10118622303822267</c:v>
                </c:pt>
                <c:pt idx="282">
                  <c:v>0.10152738576174181</c:v>
                </c:pt>
                <c:pt idx="283">
                  <c:v>0.10186841899013421</c:v>
                </c:pt>
                <c:pt idx="284">
                  <c:v>0.10220932277255235</c:v>
                </c:pt>
                <c:pt idx="285">
                  <c:v>0.10255009715813024</c:v>
                </c:pt>
                <c:pt idx="286">
                  <c:v>0.10289074219598271</c:v>
                </c:pt>
                <c:pt idx="287">
                  <c:v>0.10323125793520649</c:v>
                </c:pt>
                <c:pt idx="288">
                  <c:v>0.10357164442487943</c:v>
                </c:pt>
                <c:pt idx="289">
                  <c:v>0.10391190171406062</c:v>
                </c:pt>
                <c:pt idx="290">
                  <c:v>0.10425202985179083</c:v>
                </c:pt>
                <c:pt idx="291">
                  <c:v>0.10459202888709218</c:v>
                </c:pt>
                <c:pt idx="292">
                  <c:v>0.10493189886896781</c:v>
                </c:pt>
                <c:pt idx="293">
                  <c:v>0.10527163984640275</c:v>
                </c:pt>
                <c:pt idx="294">
                  <c:v>0.10561125186836307</c:v>
                </c:pt>
                <c:pt idx="295">
                  <c:v>0.10595073498379648</c:v>
                </c:pt>
                <c:pt idx="296">
                  <c:v>0.10629008924163197</c:v>
                </c:pt>
                <c:pt idx="297">
                  <c:v>0.10662931469078007</c:v>
                </c:pt>
                <c:pt idx="298">
                  <c:v>0.10696841138013269</c:v>
                </c:pt>
                <c:pt idx="299">
                  <c:v>0.10730737935856316</c:v>
                </c:pt>
                <c:pt idx="300">
                  <c:v>0.1076462186749263</c:v>
                </c:pt>
                <c:pt idx="301">
                  <c:v>0.10798492937805826</c:v>
                </c:pt>
                <c:pt idx="302">
                  <c:v>0.10832351151677688</c:v>
                </c:pt>
                <c:pt idx="303">
                  <c:v>0.10866196513988136</c:v>
                </c:pt>
                <c:pt idx="304">
                  <c:v>0.10900029029615221</c:v>
                </c:pt>
                <c:pt idx="305">
                  <c:v>0.10933848703435189</c:v>
                </c:pt>
                <c:pt idx="306">
                  <c:v>0.10967655540322374</c:v>
                </c:pt>
                <c:pt idx="307">
                  <c:v>0.110014495451493</c:v>
                </c:pt>
                <c:pt idx="308">
                  <c:v>0.11035230722786638</c:v>
                </c:pt>
                <c:pt idx="309">
                  <c:v>0.11068999078103203</c:v>
                </c:pt>
                <c:pt idx="310">
                  <c:v>0.11102754615965948</c:v>
                </c:pt>
                <c:pt idx="311">
                  <c:v>0.11136497341240015</c:v>
                </c:pt>
                <c:pt idx="312">
                  <c:v>0.11170227258788668</c:v>
                </c:pt>
                <c:pt idx="313">
                  <c:v>0.11203944373473329</c:v>
                </c:pt>
                <c:pt idx="314">
                  <c:v>0.1123764869015359</c:v>
                </c:pt>
                <c:pt idx="315">
                  <c:v>0.11271340213687187</c:v>
                </c:pt>
                <c:pt idx="316">
                  <c:v>0.11305018948930012</c:v>
                </c:pt>
                <c:pt idx="317">
                  <c:v>0.11338684900736129</c:v>
                </c:pt>
                <c:pt idx="318">
                  <c:v>0.11372338073957722</c:v>
                </c:pt>
                <c:pt idx="319">
                  <c:v>0.11405978473445177</c:v>
                </c:pt>
                <c:pt idx="320">
                  <c:v>0.11439606104047007</c:v>
                </c:pt>
                <c:pt idx="321">
                  <c:v>0.1147322097060991</c:v>
                </c:pt>
                <c:pt idx="322">
                  <c:v>0.11506823077978734</c:v>
                </c:pt>
                <c:pt idx="323">
                  <c:v>0.11540412430996472</c:v>
                </c:pt>
                <c:pt idx="324">
                  <c:v>0.11573989034504295</c:v>
                </c:pt>
                <c:pt idx="325">
                  <c:v>0.11607552893341555</c:v>
                </c:pt>
                <c:pt idx="326">
                  <c:v>0.11641104012345715</c:v>
                </c:pt>
                <c:pt idx="327">
                  <c:v>0.11674642396352453</c:v>
                </c:pt>
                <c:pt idx="328">
                  <c:v>0.11708168050195589</c:v>
                </c:pt>
                <c:pt idx="329">
                  <c:v>0.11741680978707103</c:v>
                </c:pt>
                <c:pt idx="330">
                  <c:v>0.11775181186717165</c:v>
                </c:pt>
                <c:pt idx="331">
                  <c:v>0.1180866867905408</c:v>
                </c:pt>
                <c:pt idx="332">
                  <c:v>0.11842143460544341</c:v>
                </c:pt>
                <c:pt idx="333">
                  <c:v>0.11875605536012601</c:v>
                </c:pt>
                <c:pt idx="334">
                  <c:v>0.11909054910281691</c:v>
                </c:pt>
                <c:pt idx="335">
                  <c:v>0.11942491588172599</c:v>
                </c:pt>
                <c:pt idx="336">
                  <c:v>0.11975915574504492</c:v>
                </c:pt>
                <c:pt idx="337">
                  <c:v>0.12009326874094706</c:v>
                </c:pt>
                <c:pt idx="338">
                  <c:v>0.12042725491758743</c:v>
                </c:pt>
                <c:pt idx="339">
                  <c:v>0.12076111432310288</c:v>
                </c:pt>
                <c:pt idx="340">
                  <c:v>0.12109484700561179</c:v>
                </c:pt>
                <c:pt idx="341">
                  <c:v>0.12142845301321459</c:v>
                </c:pt>
                <c:pt idx="342">
                  <c:v>0.12176193239399302</c:v>
                </c:pt>
                <c:pt idx="343">
                  <c:v>0.12209528519601109</c:v>
                </c:pt>
                <c:pt idx="344">
                  <c:v>0.12242851146731415</c:v>
                </c:pt>
                <c:pt idx="345">
                  <c:v>0.12276161125592955</c:v>
                </c:pt>
                <c:pt idx="346">
                  <c:v>0.12309458460986622</c:v>
                </c:pt>
                <c:pt idx="347">
                  <c:v>0.123427431577115</c:v>
                </c:pt>
                <c:pt idx="348">
                  <c:v>0.12376015220564862</c:v>
                </c:pt>
                <c:pt idx="349">
                  <c:v>0.12409274654342117</c:v>
                </c:pt>
                <c:pt idx="350">
                  <c:v>0.12442521463836909</c:v>
                </c:pt>
                <c:pt idx="351">
                  <c:v>0.12475755653841025</c:v>
                </c:pt>
                <c:pt idx="352">
                  <c:v>0.12508977229144447</c:v>
                </c:pt>
                <c:pt idx="353">
                  <c:v>0.12542186194535332</c:v>
                </c:pt>
                <c:pt idx="354">
                  <c:v>0.12575382554800041</c:v>
                </c:pt>
                <c:pt idx="355">
                  <c:v>0.1260856631472308</c:v>
                </c:pt>
                <c:pt idx="356">
                  <c:v>0.12641737479087178</c:v>
                </c:pt>
                <c:pt idx="357">
                  <c:v>0.12674896052673212</c:v>
                </c:pt>
                <c:pt idx="358">
                  <c:v>0.12708042040260281</c:v>
                </c:pt>
                <c:pt idx="359">
                  <c:v>0.12741175446625652</c:v>
                </c:pt>
                <c:pt idx="360">
                  <c:v>0.12774296276544761</c:v>
                </c:pt>
                <c:pt idx="361">
                  <c:v>0.12807404534791267</c:v>
                </c:pt>
                <c:pt idx="362">
                  <c:v>0.12840500226136986</c:v>
                </c:pt>
                <c:pt idx="363">
                  <c:v>0.12873583355351959</c:v>
                </c:pt>
                <c:pt idx="364">
                  <c:v>0.12906653927204359</c:v>
                </c:pt>
                <c:pt idx="365">
                  <c:v>0.12939711946460619</c:v>
                </c:pt>
                <c:pt idx="366">
                  <c:v>0.12972757417885306</c:v>
                </c:pt>
                <c:pt idx="367">
                  <c:v>0.13005790346241208</c:v>
                </c:pt>
                <c:pt idx="368">
                  <c:v>0.13038810736289286</c:v>
                </c:pt>
                <c:pt idx="369">
                  <c:v>0.1307181859278872</c:v>
                </c:pt>
                <c:pt idx="370">
                  <c:v>0.13104813920496872</c:v>
                </c:pt>
                <c:pt idx="371">
                  <c:v>0.13137796724169271</c:v>
                </c:pt>
                <c:pt idx="372">
                  <c:v>0.13170767008559692</c:v>
                </c:pt>
                <c:pt idx="373">
                  <c:v>0.13203724778420067</c:v>
                </c:pt>
                <c:pt idx="374">
                  <c:v>0.13236670038500531</c:v>
                </c:pt>
                <c:pt idx="375">
                  <c:v>0.13269602793549429</c:v>
                </c:pt>
                <c:pt idx="376">
                  <c:v>0.13302523048313286</c:v>
                </c:pt>
                <c:pt idx="377">
                  <c:v>0.13335430807536841</c:v>
                </c:pt>
                <c:pt idx="378">
                  <c:v>0.13368326075963022</c:v>
                </c:pt>
                <c:pt idx="379">
                  <c:v>0.1340120885833298</c:v>
                </c:pt>
                <c:pt idx="380">
                  <c:v>0.13434079159386014</c:v>
                </c:pt>
                <c:pt idx="381">
                  <c:v>0.1346693698385969</c:v>
                </c:pt>
                <c:pt idx="382">
                  <c:v>0.13499782336489718</c:v>
                </c:pt>
                <c:pt idx="383">
                  <c:v>0.13532615222010047</c:v>
                </c:pt>
                <c:pt idx="384">
                  <c:v>0.13565435645152812</c:v>
                </c:pt>
                <c:pt idx="385">
                  <c:v>0.13598243610648364</c:v>
                </c:pt>
                <c:pt idx="386">
                  <c:v>0.13631039123225253</c:v>
                </c:pt>
                <c:pt idx="387">
                  <c:v>0.13663822187610219</c:v>
                </c:pt>
                <c:pt idx="388">
                  <c:v>0.13696592808528241</c:v>
                </c:pt>
                <c:pt idx="389">
                  <c:v>0.13729350990702471</c:v>
                </c:pt>
                <c:pt idx="390">
                  <c:v>0.1376209673885429</c:v>
                </c:pt>
                <c:pt idx="391">
                  <c:v>0.13794830057703278</c:v>
                </c:pt>
                <c:pt idx="392">
                  <c:v>0.13827550951967216</c:v>
                </c:pt>
                <c:pt idx="393">
                  <c:v>0.1386025942636212</c:v>
                </c:pt>
                <c:pt idx="394">
                  <c:v>0.13892955485602188</c:v>
                </c:pt>
                <c:pt idx="395">
                  <c:v>0.13925639134399848</c:v>
                </c:pt>
                <c:pt idx="396">
                  <c:v>0.13958310377465721</c:v>
                </c:pt>
                <c:pt idx="397">
                  <c:v>0.13990969219508664</c:v>
                </c:pt>
                <c:pt idx="398">
                  <c:v>0.14023615665235722</c:v>
                </c:pt>
                <c:pt idx="399">
                  <c:v>0.14056249719352165</c:v>
                </c:pt>
                <c:pt idx="400">
                  <c:v>0.14088871386561475</c:v>
                </c:pt>
                <c:pt idx="401">
                  <c:v>0.14121480671565356</c:v>
                </c:pt>
                <c:pt idx="402">
                  <c:v>0.14154077579063729</c:v>
                </c:pt>
                <c:pt idx="403">
                  <c:v>0.141866621137547</c:v>
                </c:pt>
                <c:pt idx="404">
                  <c:v>0.14219234280334636</c:v>
                </c:pt>
                <c:pt idx="405">
                  <c:v>0.14251794083498093</c:v>
                </c:pt>
                <c:pt idx="406">
                  <c:v>0.14284341527937849</c:v>
                </c:pt>
                <c:pt idx="407">
                  <c:v>0.14316876618344909</c:v>
                </c:pt>
                <c:pt idx="408">
                  <c:v>0.14349399359408499</c:v>
                </c:pt>
                <c:pt idx="409">
                  <c:v>0.14381909755816047</c:v>
                </c:pt>
                <c:pt idx="410">
                  <c:v>0.14414407812253216</c:v>
                </c:pt>
                <c:pt idx="411">
                  <c:v>0.14446893533403893</c:v>
                </c:pt>
                <c:pt idx="412">
                  <c:v>0.14479366923950188</c:v>
                </c:pt>
                <c:pt idx="413">
                  <c:v>0.14511827988572412</c:v>
                </c:pt>
                <c:pt idx="414">
                  <c:v>0.14544276731949135</c:v>
                </c:pt>
                <c:pt idx="415">
                  <c:v>0.14576713158757115</c:v>
                </c:pt>
                <c:pt idx="416">
                  <c:v>0.14609137273671358</c:v>
                </c:pt>
                <c:pt idx="417">
                  <c:v>0.14641549081365091</c:v>
                </c:pt>
                <c:pt idx="418">
                  <c:v>0.14673948586509755</c:v>
                </c:pt>
                <c:pt idx="419">
                  <c:v>0.14706335793775049</c:v>
                </c:pt>
                <c:pt idx="420">
                  <c:v>0.14738710707828862</c:v>
                </c:pt>
                <c:pt idx="421">
                  <c:v>0.14771073333337337</c:v>
                </c:pt>
                <c:pt idx="422">
                  <c:v>0.14803423674964833</c:v>
                </c:pt>
                <c:pt idx="423">
                  <c:v>0.14835761737373931</c:v>
                </c:pt>
                <c:pt idx="424">
                  <c:v>0.14868087525225482</c:v>
                </c:pt>
                <c:pt idx="425">
                  <c:v>0.14900401043178513</c:v>
                </c:pt>
                <c:pt idx="426">
                  <c:v>0.1493270229589031</c:v>
                </c:pt>
                <c:pt idx="427">
                  <c:v>0.14964991288016416</c:v>
                </c:pt>
                <c:pt idx="428">
                  <c:v>0.14997268024210553</c:v>
                </c:pt>
                <c:pt idx="429">
                  <c:v>0.1502953250912471</c:v>
                </c:pt>
                <c:pt idx="430">
                  <c:v>0.15061784747409124</c:v>
                </c:pt>
                <c:pt idx="431">
                  <c:v>0.15094024743712231</c:v>
                </c:pt>
                <c:pt idx="432">
                  <c:v>0.15126252502680715</c:v>
                </c:pt>
                <c:pt idx="433">
                  <c:v>0.15158468028959515</c:v>
                </c:pt>
                <c:pt idx="434">
                  <c:v>0.15190671327191796</c:v>
                </c:pt>
                <c:pt idx="435">
                  <c:v>0.15222862402018933</c:v>
                </c:pt>
                <c:pt idx="436">
                  <c:v>0.15255041258080593</c:v>
                </c:pt>
                <c:pt idx="437">
                  <c:v>0.15287207900014632</c:v>
                </c:pt>
                <c:pt idx="438">
                  <c:v>0.15319362332457165</c:v>
                </c:pt>
                <c:pt idx="439">
                  <c:v>0.15351504560042561</c:v>
                </c:pt>
                <c:pt idx="440">
                  <c:v>0.15383634587403416</c:v>
                </c:pt>
                <c:pt idx="441">
                  <c:v>0.15415752419170559</c:v>
                </c:pt>
                <c:pt idx="442">
                  <c:v>0.15447858059973085</c:v>
                </c:pt>
                <c:pt idx="443">
                  <c:v>0.15479951514438306</c:v>
                </c:pt>
                <c:pt idx="444">
                  <c:v>0.15512032787191787</c:v>
                </c:pt>
                <c:pt idx="445">
                  <c:v>0.15544101882857353</c:v>
                </c:pt>
                <c:pt idx="446">
                  <c:v>0.15576158806057061</c:v>
                </c:pt>
                <c:pt idx="447">
                  <c:v>0.15608203561411194</c:v>
                </c:pt>
                <c:pt idx="448">
                  <c:v>0.15640236153538323</c:v>
                </c:pt>
                <c:pt idx="449">
                  <c:v>0.15672256587055244</c:v>
                </c:pt>
                <c:pt idx="450">
                  <c:v>0.15704264866576978</c:v>
                </c:pt>
                <c:pt idx="451">
                  <c:v>0.15736260996716833</c:v>
                </c:pt>
                <c:pt idx="452">
                  <c:v>0.15768244982086355</c:v>
                </c:pt>
                <c:pt idx="453">
                  <c:v>0.15800216827295321</c:v>
                </c:pt>
                <c:pt idx="454">
                  <c:v>0.1583217653695177</c:v>
                </c:pt>
                <c:pt idx="455">
                  <c:v>0.15864124115662015</c:v>
                </c:pt>
                <c:pt idx="456">
                  <c:v>0.15896059568030563</c:v>
                </c:pt>
                <c:pt idx="457">
                  <c:v>0.15927982898660253</c:v>
                </c:pt>
                <c:pt idx="458">
                  <c:v>0.15959894112152095</c:v>
                </c:pt>
                <c:pt idx="459">
                  <c:v>0.1599179321310541</c:v>
                </c:pt>
                <c:pt idx="460">
                  <c:v>0.16023680206117752</c:v>
                </c:pt>
                <c:pt idx="461">
                  <c:v>0.16055555095784924</c:v>
                </c:pt>
                <c:pt idx="462">
                  <c:v>0.16087417886701005</c:v>
                </c:pt>
                <c:pt idx="463">
                  <c:v>0.16119268583458302</c:v>
                </c:pt>
                <c:pt idx="464">
                  <c:v>0.16151107190647407</c:v>
                </c:pt>
                <c:pt idx="465">
                  <c:v>0.16182933712857162</c:v>
                </c:pt>
                <c:pt idx="466">
                  <c:v>0.16214748154674641</c:v>
                </c:pt>
                <c:pt idx="467">
                  <c:v>0.16246550520685221</c:v>
                </c:pt>
                <c:pt idx="468">
                  <c:v>0.16278340815472503</c:v>
                </c:pt>
                <c:pt idx="469">
                  <c:v>0.16310119043618365</c:v>
                </c:pt>
                <c:pt idx="470">
                  <c:v>0.16341885209702933</c:v>
                </c:pt>
                <c:pt idx="471">
                  <c:v>0.16373639318304622</c:v>
                </c:pt>
                <c:pt idx="472">
                  <c:v>0.16405381374000072</c:v>
                </c:pt>
                <c:pt idx="473">
                  <c:v>0.16437111381364211</c:v>
                </c:pt>
                <c:pt idx="474">
                  <c:v>0.16468829344970226</c:v>
                </c:pt>
                <c:pt idx="475">
                  <c:v>0.16500535269389571</c:v>
                </c:pt>
                <c:pt idx="476">
                  <c:v>0.16532229159191947</c:v>
                </c:pt>
                <c:pt idx="477">
                  <c:v>0.16563911018945343</c:v>
                </c:pt>
                <c:pt idx="478">
                  <c:v>0.16595580853215997</c:v>
                </c:pt>
                <c:pt idx="479">
                  <c:v>0.16627238666568422</c:v>
                </c:pt>
                <c:pt idx="480">
                  <c:v>0.16658884463565404</c:v>
                </c:pt>
                <c:pt idx="481">
                  <c:v>0.16690518248767994</c:v>
                </c:pt>
                <c:pt idx="482">
                  <c:v>0.16722140026735488</c:v>
                </c:pt>
                <c:pt idx="483">
                  <c:v>0.16753749802025497</c:v>
                </c:pt>
                <c:pt idx="484">
                  <c:v>0.16785347579193866</c:v>
                </c:pt>
                <c:pt idx="485">
                  <c:v>0.16816933362794717</c:v>
                </c:pt>
                <c:pt idx="486">
                  <c:v>0.16848507157380455</c:v>
                </c:pt>
                <c:pt idx="487">
                  <c:v>0.16880068967501749</c:v>
                </c:pt>
                <c:pt idx="488">
                  <c:v>0.16911618797707539</c:v>
                </c:pt>
                <c:pt idx="489">
                  <c:v>0.16943156652545044</c:v>
                </c:pt>
                <c:pt idx="490">
                  <c:v>0.16974682536559749</c:v>
                </c:pt>
                <c:pt idx="491">
                  <c:v>0.1700619645429543</c:v>
                </c:pt>
                <c:pt idx="492">
                  <c:v>0.17037698410294122</c:v>
                </c:pt>
                <c:pt idx="493">
                  <c:v>0.17069188409096125</c:v>
                </c:pt>
                <c:pt idx="494">
                  <c:v>0.17100666455240066</c:v>
                </c:pt>
                <c:pt idx="495">
                  <c:v>0.1713213255326278</c:v>
                </c:pt>
                <c:pt idx="496">
                  <c:v>0.17163586707699441</c:v>
                </c:pt>
                <c:pt idx="497">
                  <c:v>0.17195028923083455</c:v>
                </c:pt>
                <c:pt idx="498">
                  <c:v>0.17226459203946554</c:v>
                </c:pt>
                <c:pt idx="499">
                  <c:v>0.17257877554818701</c:v>
                </c:pt>
                <c:pt idx="500">
                  <c:v>0.17289283980228165</c:v>
                </c:pt>
                <c:pt idx="501">
                  <c:v>0.17320678484701502</c:v>
                </c:pt>
                <c:pt idx="502">
                  <c:v>0.17352061072763536</c:v>
                </c:pt>
                <c:pt idx="503">
                  <c:v>0.17383431748937384</c:v>
                </c:pt>
                <c:pt idx="504">
                  <c:v>0.17414790517744427</c:v>
                </c:pt>
                <c:pt idx="505">
                  <c:v>0.17446137383704363</c:v>
                </c:pt>
                <c:pt idx="506">
                  <c:v>0.17477472351335144</c:v>
                </c:pt>
                <c:pt idx="507">
                  <c:v>0.17508795425153023</c:v>
                </c:pt>
                <c:pt idx="508">
                  <c:v>0.17540106609672534</c:v>
                </c:pt>
                <c:pt idx="509">
                  <c:v>0.17571405909406501</c:v>
                </c:pt>
                <c:pt idx="510">
                  <c:v>0.17602693328866026</c:v>
                </c:pt>
                <c:pt idx="511">
                  <c:v>0.17633968872560501</c:v>
                </c:pt>
                <c:pt idx="512">
                  <c:v>0.17665232544997611</c:v>
                </c:pt>
                <c:pt idx="513">
                  <c:v>0.17696484350683339</c:v>
                </c:pt>
                <c:pt idx="514">
                  <c:v>0.17727724294121938</c:v>
                </c:pt>
                <c:pt idx="515">
                  <c:v>0.17758952379815962</c:v>
                </c:pt>
                <c:pt idx="516">
                  <c:v>0.17790168612266255</c:v>
                </c:pt>
                <c:pt idx="517">
                  <c:v>0.17821372995971962</c:v>
                </c:pt>
                <c:pt idx="518">
                  <c:v>0.17852565535430498</c:v>
                </c:pt>
                <c:pt idx="519">
                  <c:v>0.17883746235137588</c:v>
                </c:pt>
                <c:pt idx="520">
                  <c:v>0.17914915099587247</c:v>
                </c:pt>
                <c:pt idx="521">
                  <c:v>0.17946072133271784</c:v>
                </c:pt>
                <c:pt idx="522">
                  <c:v>0.17977217340681806</c:v>
                </c:pt>
                <c:pt idx="523">
                  <c:v>0.18008350726306199</c:v>
                </c:pt>
                <c:pt idx="524">
                  <c:v>0.18039472294632164</c:v>
                </c:pt>
                <c:pt idx="525">
                  <c:v>0.18070582050145201</c:v>
                </c:pt>
                <c:pt idx="526">
                  <c:v>0.1810167999732909</c:v>
                </c:pt>
                <c:pt idx="527">
                  <c:v>0.18132766140665924</c:v>
                </c:pt>
                <c:pt idx="528">
                  <c:v>0.18163840484636085</c:v>
                </c:pt>
                <c:pt idx="529">
                  <c:v>0.18194903033718257</c:v>
                </c:pt>
                <c:pt idx="530">
                  <c:v>0.18225953792389427</c:v>
                </c:pt>
                <c:pt idx="531">
                  <c:v>0.1825699276512488</c:v>
                </c:pt>
                <c:pt idx="532">
                  <c:v>0.18288019956398205</c:v>
                </c:pt>
                <c:pt idx="533">
                  <c:v>0.18319035370681291</c:v>
                </c:pt>
                <c:pt idx="534">
                  <c:v>0.1835003901244433</c:v>
                </c:pt>
                <c:pt idx="535">
                  <c:v>0.18381030886155825</c:v>
                </c:pt>
                <c:pt idx="536">
                  <c:v>0.18412010996282557</c:v>
                </c:pt>
                <c:pt idx="537">
                  <c:v>0.18442979347289645</c:v>
                </c:pt>
                <c:pt idx="538">
                  <c:v>0.18473935943640485</c:v>
                </c:pt>
                <c:pt idx="539">
                  <c:v>0.18504880789796807</c:v>
                </c:pt>
                <c:pt idx="540">
                  <c:v>0.18535813890218622</c:v>
                </c:pt>
                <c:pt idx="541">
                  <c:v>0.18566735249364252</c:v>
                </c:pt>
                <c:pt idx="542">
                  <c:v>0.18597644871690355</c:v>
                </c:pt>
                <c:pt idx="543">
                  <c:v>0.18628542761651856</c:v>
                </c:pt>
                <c:pt idx="544">
                  <c:v>0.18659428923702015</c:v>
                </c:pt>
                <c:pt idx="545">
                  <c:v>0.18690303362292393</c:v>
                </c:pt>
                <c:pt idx="546">
                  <c:v>0.18721166081872853</c:v>
                </c:pt>
                <c:pt idx="547">
                  <c:v>0.18752017086891604</c:v>
                </c:pt>
                <c:pt idx="548">
                  <c:v>0.18782856381795132</c:v>
                </c:pt>
                <c:pt idx="549">
                  <c:v>0.18813683971028228</c:v>
                </c:pt>
                <c:pt idx="550">
                  <c:v>0.18844499859034036</c:v>
                </c:pt>
                <c:pt idx="551">
                  <c:v>0.18875304050253972</c:v>
                </c:pt>
                <c:pt idx="552">
                  <c:v>0.18906096549127804</c:v>
                </c:pt>
                <c:pt idx="553">
                  <c:v>0.18936877360093585</c:v>
                </c:pt>
                <c:pt idx="554">
                  <c:v>0.18967646487587686</c:v>
                </c:pt>
                <c:pt idx="555">
                  <c:v>0.18998403936044816</c:v>
                </c:pt>
                <c:pt idx="556">
                  <c:v>0.19029149709897986</c:v>
                </c:pt>
                <c:pt idx="557">
                  <c:v>0.19059883813578515</c:v>
                </c:pt>
                <c:pt idx="558">
                  <c:v>0.19090606251516051</c:v>
                </c:pt>
                <c:pt idx="559">
                  <c:v>0.19121317028138562</c:v>
                </c:pt>
                <c:pt idx="560">
                  <c:v>0.19152016147872342</c:v>
                </c:pt>
                <c:pt idx="561">
                  <c:v>0.19182703615141994</c:v>
                </c:pt>
                <c:pt idx="562">
                  <c:v>0.19213379434370437</c:v>
                </c:pt>
                <c:pt idx="563">
                  <c:v>0.19244043609978911</c:v>
                </c:pt>
                <c:pt idx="564">
                  <c:v>0.19274696146386994</c:v>
                </c:pt>
                <c:pt idx="565">
                  <c:v>0.19305337048012583</c:v>
                </c:pt>
                <c:pt idx="566">
                  <c:v>0.19335966319271891</c:v>
                </c:pt>
                <c:pt idx="567">
                  <c:v>0.19366583964579442</c:v>
                </c:pt>
                <c:pt idx="568">
                  <c:v>0.19397189988348096</c:v>
                </c:pt>
                <c:pt idx="569">
                  <c:v>0.19427784394989067</c:v>
                </c:pt>
                <c:pt idx="570">
                  <c:v>0.1945836718891184</c:v>
                </c:pt>
                <c:pt idx="571">
                  <c:v>0.19488938374524278</c:v>
                </c:pt>
                <c:pt idx="572">
                  <c:v>0.19519497956232523</c:v>
                </c:pt>
                <c:pt idx="573">
                  <c:v>0.19550045938441085</c:v>
                </c:pt>
                <c:pt idx="574">
                  <c:v>0.19580582325552787</c:v>
                </c:pt>
                <c:pt idx="575">
                  <c:v>0.19611107121968763</c:v>
                </c:pt>
                <c:pt idx="576">
                  <c:v>0.19641620332088505</c:v>
                </c:pt>
                <c:pt idx="577">
                  <c:v>0.1967212196030983</c:v>
                </c:pt>
                <c:pt idx="578">
                  <c:v>0.19702612011028864</c:v>
                </c:pt>
                <c:pt idx="579">
                  <c:v>0.19733090488640093</c:v>
                </c:pt>
                <c:pt idx="580">
                  <c:v>0.19763557397536302</c:v>
                </c:pt>
                <c:pt idx="581">
                  <c:v>0.19794012742108658</c:v>
                </c:pt>
                <c:pt idx="582">
                  <c:v>0.19824456526746592</c:v>
                </c:pt>
                <c:pt idx="583">
                  <c:v>0.19854888755837952</c:v>
                </c:pt>
                <c:pt idx="584">
                  <c:v>0.19885309433768839</c:v>
                </c:pt>
                <c:pt idx="585">
                  <c:v>0.19915718564923746</c:v>
                </c:pt>
                <c:pt idx="586">
                  <c:v>0.19946116153685478</c:v>
                </c:pt>
                <c:pt idx="587">
                  <c:v>0.19976502204435176</c:v>
                </c:pt>
                <c:pt idx="588">
                  <c:v>0.20006876721552336</c:v>
                </c:pt>
                <c:pt idx="589">
                  <c:v>0.20037239709414767</c:v>
                </c:pt>
                <c:pt idx="590">
                  <c:v>0.20067591172398624</c:v>
                </c:pt>
                <c:pt idx="591">
                  <c:v>0.20097931114878431</c:v>
                </c:pt>
                <c:pt idx="592">
                  <c:v>0.20128259541226989</c:v>
                </c:pt>
                <c:pt idx="593">
                  <c:v>0.20158576455815502</c:v>
                </c:pt>
                <c:pt idx="594">
                  <c:v>0.20188881863013486</c:v>
                </c:pt>
                <c:pt idx="595">
                  <c:v>0.2021917576718878</c:v>
                </c:pt>
                <c:pt idx="596">
                  <c:v>0.20249458172707613</c:v>
                </c:pt>
                <c:pt idx="597">
                  <c:v>0.20279729083934517</c:v>
                </c:pt>
                <c:pt idx="598">
                  <c:v>0.20309988505232379</c:v>
                </c:pt>
                <c:pt idx="599">
                  <c:v>0.20340236440962423</c:v>
                </c:pt>
                <c:pt idx="600">
                  <c:v>0.20370472895484248</c:v>
                </c:pt>
                <c:pt idx="601">
                  <c:v>0.2040069787315576</c:v>
                </c:pt>
                <c:pt idx="602">
                  <c:v>0.20430911378333227</c:v>
                </c:pt>
                <c:pt idx="603">
                  <c:v>0.20461113415371268</c:v>
                </c:pt>
                <c:pt idx="604">
                  <c:v>0.20491303988622844</c:v>
                </c:pt>
                <c:pt idx="605">
                  <c:v>0.20521483102439264</c:v>
                </c:pt>
                <c:pt idx="606">
                  <c:v>0.20551650761170193</c:v>
                </c:pt>
                <c:pt idx="607">
                  <c:v>0.20581806969163619</c:v>
                </c:pt>
                <c:pt idx="608">
                  <c:v>0.20611951730765909</c:v>
                </c:pt>
                <c:pt idx="609">
                  <c:v>0.20642085050321768</c:v>
                </c:pt>
                <c:pt idx="610">
                  <c:v>0.20672206932174264</c:v>
                </c:pt>
                <c:pt idx="611">
                  <c:v>0.20702317380664781</c:v>
                </c:pt>
                <c:pt idx="612">
                  <c:v>0.20732416400133102</c:v>
                </c:pt>
                <c:pt idx="613">
                  <c:v>0.20762503994917336</c:v>
                </c:pt>
                <c:pt idx="614">
                  <c:v>0.20792580169353947</c:v>
                </c:pt>
                <c:pt idx="615">
                  <c:v>0.20822644927777756</c:v>
                </c:pt>
                <c:pt idx="616">
                  <c:v>0.20852698274521941</c:v>
                </c:pt>
                <c:pt idx="617">
                  <c:v>0.20882740213918027</c:v>
                </c:pt>
                <c:pt idx="618">
                  <c:v>0.20912770750295906</c:v>
                </c:pt>
                <c:pt idx="619">
                  <c:v>0.20942789887983815</c:v>
                </c:pt>
                <c:pt idx="620">
                  <c:v>0.20972797631308371</c:v>
                </c:pt>
                <c:pt idx="621">
                  <c:v>0.21002793984594514</c:v>
                </c:pt>
                <c:pt idx="622">
                  <c:v>0.21032778952165565</c:v>
                </c:pt>
                <c:pt idx="623">
                  <c:v>0.2106275253834321</c:v>
                </c:pt>
                <c:pt idx="624">
                  <c:v>0.21092714747447483</c:v>
                </c:pt>
                <c:pt idx="625">
                  <c:v>0.21122665583796763</c:v>
                </c:pt>
                <c:pt idx="626">
                  <c:v>0.21152605051707807</c:v>
                </c:pt>
                <c:pt idx="627">
                  <c:v>0.21182533155495764</c:v>
                </c:pt>
                <c:pt idx="628">
                  <c:v>0.21212449899474073</c:v>
                </c:pt>
                <c:pt idx="629">
                  <c:v>0.21242355287954606</c:v>
                </c:pt>
                <c:pt idx="630">
                  <c:v>0.21272249325247561</c:v>
                </c:pt>
                <c:pt idx="631">
                  <c:v>0.21302132015661501</c:v>
                </c:pt>
                <c:pt idx="632">
                  <c:v>0.2133200336350336</c:v>
                </c:pt>
                <c:pt idx="633">
                  <c:v>0.21361863373078449</c:v>
                </c:pt>
                <c:pt idx="634">
                  <c:v>0.21391712048690437</c:v>
                </c:pt>
                <c:pt idx="635">
                  <c:v>0.21421549394641337</c:v>
                </c:pt>
                <c:pt idx="636">
                  <c:v>0.21451375415231555</c:v>
                </c:pt>
                <c:pt idx="637">
                  <c:v>0.21481190114759863</c:v>
                </c:pt>
                <c:pt idx="638">
                  <c:v>0.21510993497523401</c:v>
                </c:pt>
                <c:pt idx="639">
                  <c:v>0.21540785567817655</c:v>
                </c:pt>
                <c:pt idx="640">
                  <c:v>0.21570566329936525</c:v>
                </c:pt>
                <c:pt idx="641">
                  <c:v>0.21600335788172231</c:v>
                </c:pt>
                <c:pt idx="642">
                  <c:v>0.21630093946815399</c:v>
                </c:pt>
                <c:pt idx="643">
                  <c:v>0.21659840810155007</c:v>
                </c:pt>
                <c:pt idx="644">
                  <c:v>0.21689576382478426</c:v>
                </c:pt>
                <c:pt idx="645">
                  <c:v>0.21719300668071373</c:v>
                </c:pt>
                <c:pt idx="646">
                  <c:v>0.21749013671217965</c:v>
                </c:pt>
                <c:pt idx="647">
                  <c:v>0.21778715396200665</c:v>
                </c:pt>
                <c:pt idx="648">
                  <c:v>0.21808405847300338</c:v>
                </c:pt>
                <c:pt idx="649">
                  <c:v>0.21838085028796217</c:v>
                </c:pt>
                <c:pt idx="650">
                  <c:v>0.21867752944965879</c:v>
                </c:pt>
                <c:pt idx="651">
                  <c:v>0.21897409600085338</c:v>
                </c:pt>
                <c:pt idx="652">
                  <c:v>0.21927054998428919</c:v>
                </c:pt>
                <c:pt idx="653">
                  <c:v>0.2195668914426937</c:v>
                </c:pt>
                <c:pt idx="654">
                  <c:v>0.21986312041877809</c:v>
                </c:pt>
                <c:pt idx="655">
                  <c:v>0.2201592369552372</c:v>
                </c:pt>
                <c:pt idx="656">
                  <c:v>0.22045524109474979</c:v>
                </c:pt>
                <c:pt idx="657">
                  <c:v>0.22075113287997816</c:v>
                </c:pt>
                <c:pt idx="658">
                  <c:v>0.22104691235356899</c:v>
                </c:pt>
                <c:pt idx="659">
                  <c:v>0.22134257955815206</c:v>
                </c:pt>
                <c:pt idx="660">
                  <c:v>0.22163813453634151</c:v>
                </c:pt>
                <c:pt idx="661">
                  <c:v>0.22193357733073515</c:v>
                </c:pt>
                <c:pt idx="662">
                  <c:v>0.22222890798391437</c:v>
                </c:pt>
                <c:pt idx="663">
                  <c:v>0.22252412653844467</c:v>
                </c:pt>
                <c:pt idx="664">
                  <c:v>0.22281923303687556</c:v>
                </c:pt>
                <c:pt idx="665">
                  <c:v>0.22311422752173993</c:v>
                </c:pt>
                <c:pt idx="666">
                  <c:v>0.22340911003555475</c:v>
                </c:pt>
                <c:pt idx="667">
                  <c:v>0.22370388062082103</c:v>
                </c:pt>
                <c:pt idx="668">
                  <c:v>0.22399853932002345</c:v>
                </c:pt>
                <c:pt idx="669">
                  <c:v>0.22429308617563049</c:v>
                </c:pt>
                <c:pt idx="670">
                  <c:v>0.22458752123009473</c:v>
                </c:pt>
                <c:pt idx="671">
                  <c:v>0.22488184452585247</c:v>
                </c:pt>
                <c:pt idx="672">
                  <c:v>0.22517605610532399</c:v>
                </c:pt>
                <c:pt idx="673">
                  <c:v>0.22547015601091347</c:v>
                </c:pt>
                <c:pt idx="674">
                  <c:v>0.22576414428500879</c:v>
                </c:pt>
                <c:pt idx="675">
                  <c:v>0.22605802096998207</c:v>
                </c:pt>
                <c:pt idx="676">
                  <c:v>0.22635178610818929</c:v>
                </c:pt>
                <c:pt idx="677">
                  <c:v>0.22664543974197005</c:v>
                </c:pt>
                <c:pt idx="678">
                  <c:v>0.22693898191364814</c:v>
                </c:pt>
                <c:pt idx="679">
                  <c:v>0.22723241266553129</c:v>
                </c:pt>
                <c:pt idx="680">
                  <c:v>0.22752573203991111</c:v>
                </c:pt>
                <c:pt idx="681">
                  <c:v>0.227818940079063</c:v>
                </c:pt>
                <c:pt idx="682">
                  <c:v>0.22811203682524661</c:v>
                </c:pt>
                <c:pt idx="683">
                  <c:v>0.22840502232070536</c:v>
                </c:pt>
                <c:pt idx="684">
                  <c:v>0.22869789660766682</c:v>
                </c:pt>
                <c:pt idx="685">
                  <c:v>0.22899065972834221</c:v>
                </c:pt>
                <c:pt idx="686">
                  <c:v>0.229283311724927</c:v>
                </c:pt>
                <c:pt idx="687">
                  <c:v>0.22957585263960045</c:v>
                </c:pt>
                <c:pt idx="688">
                  <c:v>0.22986828251452607</c:v>
                </c:pt>
                <c:pt idx="689">
                  <c:v>0.23016060139185124</c:v>
                </c:pt>
                <c:pt idx="690">
                  <c:v>0.23045280931370715</c:v>
                </c:pt>
                <c:pt idx="691">
                  <c:v>0.23074490632220923</c:v>
                </c:pt>
                <c:pt idx="692">
                  <c:v>0.23103689245945702</c:v>
                </c:pt>
                <c:pt idx="693">
                  <c:v>0.23132876776753364</c:v>
                </c:pt>
                <c:pt idx="694">
                  <c:v>0.23162053228850665</c:v>
                </c:pt>
                <c:pt idx="695">
                  <c:v>0.23191218606442754</c:v>
                </c:pt>
                <c:pt idx="696">
                  <c:v>0.23220372913733178</c:v>
                </c:pt>
                <c:pt idx="697">
                  <c:v>0.23249516154923899</c:v>
                </c:pt>
                <c:pt idx="698">
                  <c:v>0.23278648334215257</c:v>
                </c:pt>
                <c:pt idx="699">
                  <c:v>0.23307769455806038</c:v>
                </c:pt>
                <c:pt idx="700">
                  <c:v>0.23336879523893395</c:v>
                </c:pt>
                <c:pt idx="701">
                  <c:v>0.23365978542672916</c:v>
                </c:pt>
                <c:pt idx="702">
                  <c:v>0.23395066516338581</c:v>
                </c:pt>
                <c:pt idx="703">
                  <c:v>0.2342414344908279</c:v>
                </c:pt>
                <c:pt idx="704">
                  <c:v>0.23453209345096349</c:v>
                </c:pt>
                <c:pt idx="705">
                  <c:v>0.2348226420856846</c:v>
                </c:pt>
                <c:pt idx="706">
                  <c:v>0.23511308043686741</c:v>
                </c:pt>
                <c:pt idx="707">
                  <c:v>0.23540340854637243</c:v>
                </c:pt>
                <c:pt idx="708">
                  <c:v>0.23569362645604386</c:v>
                </c:pt>
                <c:pt idx="709">
                  <c:v>0.23598373420771046</c:v>
                </c:pt>
                <c:pt idx="710">
                  <c:v>0.23627373184318468</c:v>
                </c:pt>
                <c:pt idx="711">
                  <c:v>0.23656361940426351</c:v>
                </c:pt>
                <c:pt idx="712">
                  <c:v>0.23685339693272778</c:v>
                </c:pt>
                <c:pt idx="713">
                  <c:v>0.23714306447034261</c:v>
                </c:pt>
                <c:pt idx="714">
                  <c:v>0.23743262205885718</c:v>
                </c:pt>
                <c:pt idx="715">
                  <c:v>0.23772206974000487</c:v>
                </c:pt>
                <c:pt idx="716">
                  <c:v>0.23801140755550343</c:v>
                </c:pt>
                <c:pt idx="717">
                  <c:v>0.23830063554705427</c:v>
                </c:pt>
                <c:pt idx="718">
                  <c:v>0.23858975375634328</c:v>
                </c:pt>
                <c:pt idx="719">
                  <c:v>0.23887876222504079</c:v>
                </c:pt>
                <c:pt idx="720">
                  <c:v>0.23916766099480069</c:v>
                </c:pt>
                <c:pt idx="721">
                  <c:v>0.23945645010726158</c:v>
                </c:pt>
                <c:pt idx="722">
                  <c:v>0.23974512960404615</c:v>
                </c:pt>
                <c:pt idx="723">
                  <c:v>0.24003369952676101</c:v>
                </c:pt>
                <c:pt idx="724">
                  <c:v>0.24032215991699735</c:v>
                </c:pt>
                <c:pt idx="725">
                  <c:v>0.24061051081633045</c:v>
                </c:pt>
                <c:pt idx="726">
                  <c:v>0.24089875226631963</c:v>
                </c:pt>
                <c:pt idx="727">
                  <c:v>0.24118688430850854</c:v>
                </c:pt>
                <c:pt idx="728">
                  <c:v>0.24147490698442531</c:v>
                </c:pt>
                <c:pt idx="729">
                  <c:v>0.24176282033558194</c:v>
                </c:pt>
                <c:pt idx="730">
                  <c:v>0.2420506244034748</c:v>
                </c:pt>
                <c:pt idx="731">
                  <c:v>0.2423383192295846</c:v>
                </c:pt>
                <c:pt idx="732">
                  <c:v>0.24262590485537627</c:v>
                </c:pt>
                <c:pt idx="733">
                  <c:v>0.24291338132229889</c:v>
                </c:pt>
                <c:pt idx="734">
                  <c:v>0.24320074867178598</c:v>
                </c:pt>
                <c:pt idx="735">
                  <c:v>0.24348800694525519</c:v>
                </c:pt>
                <c:pt idx="736">
                  <c:v>0.2437751561841085</c:v>
                </c:pt>
                <c:pt idx="737">
                  <c:v>0.24406219642973215</c:v>
                </c:pt>
                <c:pt idx="738">
                  <c:v>0.24434912772349682</c:v>
                </c:pt>
                <c:pt idx="739">
                  <c:v>0.24463595010675721</c:v>
                </c:pt>
                <c:pt idx="740">
                  <c:v>0.24492266362085247</c:v>
                </c:pt>
                <c:pt idx="741">
                  <c:v>0.24520926830710632</c:v>
                </c:pt>
                <c:pt idx="742">
                  <c:v>0.24549576420682617</c:v>
                </c:pt>
                <c:pt idx="743">
                  <c:v>0.24578215136130444</c:v>
                </c:pt>
                <c:pt idx="744">
                  <c:v>0.24606842981181742</c:v>
                </c:pt>
                <c:pt idx="745">
                  <c:v>0.24635459959962591</c:v>
                </c:pt>
                <c:pt idx="746">
                  <c:v>0.24664066076597491</c:v>
                </c:pt>
                <c:pt idx="747">
                  <c:v>0.24692661335209387</c:v>
                </c:pt>
                <c:pt idx="748">
                  <c:v>0.24721245739919673</c:v>
                </c:pt>
                <c:pt idx="749">
                  <c:v>0.24749819294848163</c:v>
                </c:pt>
                <c:pt idx="750">
                  <c:v>0.24778382004113098</c:v>
                </c:pt>
                <c:pt idx="751">
                  <c:v>0.24806933871831172</c:v>
                </c:pt>
                <c:pt idx="752">
                  <c:v>0.24835474902117505</c:v>
                </c:pt>
                <c:pt idx="753">
                  <c:v>0.24864005099085662</c:v>
                </c:pt>
                <c:pt idx="754">
                  <c:v>0.24892524466847654</c:v>
                </c:pt>
                <c:pt idx="755">
                  <c:v>0.24921033009513904</c:v>
                </c:pt>
                <c:pt idx="756">
                  <c:v>0.24949530731193326</c:v>
                </c:pt>
                <c:pt idx="757">
                  <c:v>0.2497801763599321</c:v>
                </c:pt>
                <c:pt idx="758">
                  <c:v>0.2500649372801933</c:v>
                </c:pt>
                <c:pt idx="759">
                  <c:v>0.2503495901137589</c:v>
                </c:pt>
                <c:pt idx="760">
                  <c:v>0.25063413490165531</c:v>
                </c:pt>
                <c:pt idx="761">
                  <c:v>0.25091857168489362</c:v>
                </c:pt>
                <c:pt idx="762">
                  <c:v>0.25120290050446892</c:v>
                </c:pt>
                <c:pt idx="763">
                  <c:v>0.25148712140136109</c:v>
                </c:pt>
                <c:pt idx="764">
                  <c:v>0.25177123441653437</c:v>
                </c:pt>
                <c:pt idx="765">
                  <c:v>0.25205523959093734</c:v>
                </c:pt>
                <c:pt idx="766">
                  <c:v>0.25233913696550303</c:v>
                </c:pt>
                <c:pt idx="767">
                  <c:v>0.25262292658114927</c:v>
                </c:pt>
                <c:pt idx="768">
                  <c:v>0.25290660847877799</c:v>
                </c:pt>
                <c:pt idx="769">
                  <c:v>0.25319018269927573</c:v>
                </c:pt>
                <c:pt idx="770">
                  <c:v>0.25347364928351335</c:v>
                </c:pt>
                <c:pt idx="771">
                  <c:v>0.2537570082723466</c:v>
                </c:pt>
                <c:pt idx="772">
                  <c:v>0.25404025970661526</c:v>
                </c:pt>
                <c:pt idx="773">
                  <c:v>0.2543234036271439</c:v>
                </c:pt>
                <c:pt idx="774">
                  <c:v>0.25460644007474154</c:v>
                </c:pt>
                <c:pt idx="775">
                  <c:v>0.25488936909020155</c:v>
                </c:pt>
                <c:pt idx="776">
                  <c:v>0.25517219071430208</c:v>
                </c:pt>
                <c:pt idx="777">
                  <c:v>0.25545490498780554</c:v>
                </c:pt>
                <c:pt idx="778">
                  <c:v>0.25573751195145911</c:v>
                </c:pt>
                <c:pt idx="779">
                  <c:v>0.25602001164599431</c:v>
                </c:pt>
                <c:pt idx="780">
                  <c:v>0.25630240411212735</c:v>
                </c:pt>
                <c:pt idx="781">
                  <c:v>0.2565846893905589</c:v>
                </c:pt>
                <c:pt idx="782">
                  <c:v>0.25686686752197407</c:v>
                </c:pt>
                <c:pt idx="783">
                  <c:v>0.25714893854704279</c:v>
                </c:pt>
                <c:pt idx="784">
                  <c:v>0.25743090250641942</c:v>
                </c:pt>
                <c:pt idx="785">
                  <c:v>0.25771275944074279</c:v>
                </c:pt>
                <c:pt idx="786">
                  <c:v>0.2579945093906364</c:v>
                </c:pt>
                <c:pt idx="787">
                  <c:v>0.25827615239670842</c:v>
                </c:pt>
                <c:pt idx="788">
                  <c:v>0.25855768849955141</c:v>
                </c:pt>
                <c:pt idx="789">
                  <c:v>0.25883911773974277</c:v>
                </c:pt>
                <c:pt idx="790">
                  <c:v>0.25912044015784419</c:v>
                </c:pt>
                <c:pt idx="791">
                  <c:v>0.25940165579440211</c:v>
                </c:pt>
                <c:pt idx="792">
                  <c:v>0.25968276468994778</c:v>
                </c:pt>
                <c:pt idx="793">
                  <c:v>0.25996376688499678</c:v>
                </c:pt>
                <c:pt idx="794">
                  <c:v>0.2602446624200494</c:v>
                </c:pt>
                <c:pt idx="795">
                  <c:v>0.26052545133559057</c:v>
                </c:pt>
                <c:pt idx="796">
                  <c:v>0.26080613367208993</c:v>
                </c:pt>
                <c:pt idx="797">
                  <c:v>0.26108670947000168</c:v>
                </c:pt>
                <c:pt idx="798">
                  <c:v>0.26136717876976456</c:v>
                </c:pt>
                <c:pt idx="799">
                  <c:v>0.26164754161180204</c:v>
                </c:pt>
                <c:pt idx="800">
                  <c:v>0.26192779803652244</c:v>
                </c:pt>
                <c:pt idx="801">
                  <c:v>0.26220794808431858</c:v>
                </c:pt>
                <c:pt idx="802">
                  <c:v>0.26248799179556781</c:v>
                </c:pt>
                <c:pt idx="803">
                  <c:v>0.26276792921063241</c:v>
                </c:pt>
                <c:pt idx="804">
                  <c:v>0.26304776036985911</c:v>
                </c:pt>
                <c:pt idx="805">
                  <c:v>0.26332748531357941</c:v>
                </c:pt>
                <c:pt idx="806">
                  <c:v>0.26360710408210974</c:v>
                </c:pt>
                <c:pt idx="807">
                  <c:v>0.26388661671575087</c:v>
                </c:pt>
                <c:pt idx="808">
                  <c:v>0.26416602325478833</c:v>
                </c:pt>
                <c:pt idx="809">
                  <c:v>0.26444532373949259</c:v>
                </c:pt>
                <c:pt idx="810">
                  <c:v>0.26472451821011866</c:v>
                </c:pt>
                <c:pt idx="811">
                  <c:v>0.26500360670690637</c:v>
                </c:pt>
                <c:pt idx="812">
                  <c:v>0.26528258927007997</c:v>
                </c:pt>
                <c:pt idx="813">
                  <c:v>0.26556146593984897</c:v>
                </c:pt>
                <c:pt idx="814">
                  <c:v>0.26584023675640711</c:v>
                </c:pt>
                <c:pt idx="815">
                  <c:v>0.26611890175993314</c:v>
                </c:pt>
                <c:pt idx="816">
                  <c:v>0.26639746099059058</c:v>
                </c:pt>
                <c:pt idx="817">
                  <c:v>0.26667591448852768</c:v>
                </c:pt>
                <c:pt idx="818">
                  <c:v>0.2669542622938772</c:v>
                </c:pt>
                <c:pt idx="819">
                  <c:v>0.26723250444675706</c:v>
                </c:pt>
                <c:pt idx="820">
                  <c:v>0.26751064098726973</c:v>
                </c:pt>
                <c:pt idx="821">
                  <c:v>0.26778867195550238</c:v>
                </c:pt>
                <c:pt idx="822">
                  <c:v>0.26806659739152716</c:v>
                </c:pt>
                <c:pt idx="823">
                  <c:v>0.26834441733540104</c:v>
                </c:pt>
                <c:pt idx="824">
                  <c:v>0.26862213182716543</c:v>
                </c:pt>
                <c:pt idx="825">
                  <c:v>0.2688997409068471</c:v>
                </c:pt>
                <c:pt idx="826">
                  <c:v>0.26917724461445691</c:v>
                </c:pt>
                <c:pt idx="827">
                  <c:v>0.26945464298999122</c:v>
                </c:pt>
                <c:pt idx="828">
                  <c:v>0.26973193607343093</c:v>
                </c:pt>
                <c:pt idx="829">
                  <c:v>0.27000912390474163</c:v>
                </c:pt>
                <c:pt idx="830">
                  <c:v>0.27028620652387403</c:v>
                </c:pt>
                <c:pt idx="831">
                  <c:v>0.27056318397076329</c:v>
                </c:pt>
                <c:pt idx="832">
                  <c:v>0.2708400562853297</c:v>
                </c:pt>
                <c:pt idx="833">
                  <c:v>0.27111682350747857</c:v>
                </c:pt>
                <c:pt idx="834">
                  <c:v>0.27139348567709953</c:v>
                </c:pt>
                <c:pt idx="835">
                  <c:v>0.27167004283406737</c:v>
                </c:pt>
                <c:pt idx="836">
                  <c:v>0.27194649501824197</c:v>
                </c:pt>
                <c:pt idx="837">
                  <c:v>0.2722228422694678</c:v>
                </c:pt>
                <c:pt idx="838">
                  <c:v>0.27249908462757411</c:v>
                </c:pt>
                <c:pt idx="839">
                  <c:v>0.27277522213237526</c:v>
                </c:pt>
                <c:pt idx="840">
                  <c:v>0.27305125482367043</c:v>
                </c:pt>
                <c:pt idx="841">
                  <c:v>0.27332718274124357</c:v>
                </c:pt>
                <c:pt idx="842">
                  <c:v>0.27360300592486386</c:v>
                </c:pt>
                <c:pt idx="843">
                  <c:v>0.27387872441428496</c:v>
                </c:pt>
                <c:pt idx="844">
                  <c:v>0.27415433824924573</c:v>
                </c:pt>
                <c:pt idx="845">
                  <c:v>0.27442984746946975</c:v>
                </c:pt>
                <c:pt idx="846">
                  <c:v>0.2747052521146659</c:v>
                </c:pt>
                <c:pt idx="847">
                  <c:v>0.27498055222452744</c:v>
                </c:pt>
                <c:pt idx="848">
                  <c:v>0.27525574783873297</c:v>
                </c:pt>
                <c:pt idx="849">
                  <c:v>0.27553083899694597</c:v>
                </c:pt>
                <c:pt idx="850">
                  <c:v>0.27580582573881463</c:v>
                </c:pt>
                <c:pt idx="851">
                  <c:v>0.27608070810397245</c:v>
                </c:pt>
                <c:pt idx="852">
                  <c:v>0.27635548613203753</c:v>
                </c:pt>
                <c:pt idx="853">
                  <c:v>0.27663015986261319</c:v>
                </c:pt>
                <c:pt idx="854">
                  <c:v>0.27690472933528754</c:v>
                </c:pt>
                <c:pt idx="855">
                  <c:v>0.2771791945896338</c:v>
                </c:pt>
                <c:pt idx="856">
                  <c:v>0.27745355566521024</c:v>
                </c:pt>
                <c:pt idx="857">
                  <c:v>0.27772781260155976</c:v>
                </c:pt>
                <c:pt idx="858">
                  <c:v>0.27800196543821065</c:v>
                </c:pt>
                <c:pt idx="859">
                  <c:v>0.27827601421467596</c:v>
                </c:pt>
                <c:pt idx="860">
                  <c:v>0.27854995897045387</c:v>
                </c:pt>
                <c:pt idx="861">
                  <c:v>0.27882379974502747</c:v>
                </c:pt>
                <c:pt idx="862">
                  <c:v>0.27909753657786485</c:v>
                </c:pt>
                <c:pt idx="863">
                  <c:v>0.27937116950841934</c:v>
                </c:pt>
                <c:pt idx="864">
                  <c:v>0.27964469857612895</c:v>
                </c:pt>
                <c:pt idx="865">
                  <c:v>0.27991812382041703</c:v>
                </c:pt>
                <c:pt idx="866">
                  <c:v>0.28019144528069162</c:v>
                </c:pt>
                <c:pt idx="867">
                  <c:v>0.2804646629963462</c:v>
                </c:pt>
                <c:pt idx="868">
                  <c:v>0.28073777700675917</c:v>
                </c:pt>
                <c:pt idx="869">
                  <c:v>0.28101078735129381</c:v>
                </c:pt>
                <c:pt idx="870">
                  <c:v>0.28128369406929854</c:v>
                </c:pt>
                <c:pt idx="871">
                  <c:v>0.281556497200107</c:v>
                </c:pt>
                <c:pt idx="872">
                  <c:v>0.28182919678303764</c:v>
                </c:pt>
                <c:pt idx="873">
                  <c:v>0.28210179285739434</c:v>
                </c:pt>
                <c:pt idx="874">
                  <c:v>0.28237428546246557</c:v>
                </c:pt>
                <c:pt idx="875">
                  <c:v>0.28264667463752535</c:v>
                </c:pt>
                <c:pt idx="876">
                  <c:v>0.28291896042183251</c:v>
                </c:pt>
                <c:pt idx="877">
                  <c:v>0.28319114285463121</c:v>
                </c:pt>
                <c:pt idx="878">
                  <c:v>0.2834632219751505</c:v>
                </c:pt>
                <c:pt idx="879">
                  <c:v>0.28373519782260459</c:v>
                </c:pt>
                <c:pt idx="880">
                  <c:v>0.28400707043619278</c:v>
                </c:pt>
                <c:pt idx="881">
                  <c:v>0.28427883985509972</c:v>
                </c:pt>
                <c:pt idx="882">
                  <c:v>0.28455050611849486</c:v>
                </c:pt>
                <c:pt idx="883">
                  <c:v>0.28482206926553311</c:v>
                </c:pt>
                <c:pt idx="884">
                  <c:v>0.28509352933535415</c:v>
                </c:pt>
                <c:pt idx="885">
                  <c:v>0.28536488636708301</c:v>
                </c:pt>
                <c:pt idx="886">
                  <c:v>0.28563614039982999</c:v>
                </c:pt>
                <c:pt idx="887">
                  <c:v>0.28590729147269034</c:v>
                </c:pt>
                <c:pt idx="888">
                  <c:v>0.28617833962474448</c:v>
                </c:pt>
                <c:pt idx="889">
                  <c:v>0.28644928489505816</c:v>
                </c:pt>
                <c:pt idx="890">
                  <c:v>0.28672012732268215</c:v>
                </c:pt>
                <c:pt idx="891">
                  <c:v>0.28699086694665243</c:v>
                </c:pt>
                <c:pt idx="892">
                  <c:v>0.28726150380599025</c:v>
                </c:pt>
                <c:pt idx="893">
                  <c:v>0.28753203793970195</c:v>
                </c:pt>
                <c:pt idx="894">
                  <c:v>0.287802469386779</c:v>
                </c:pt>
                <c:pt idx="895">
                  <c:v>0.28807279818619835</c:v>
                </c:pt>
                <c:pt idx="896">
                  <c:v>0.28834302437692183</c:v>
                </c:pt>
                <c:pt idx="897">
                  <c:v>0.28861314799789661</c:v>
                </c:pt>
                <c:pt idx="898">
                  <c:v>0.28888316908805511</c:v>
                </c:pt>
                <c:pt idx="899">
                  <c:v>0.28915308768631509</c:v>
                </c:pt>
                <c:pt idx="900">
                  <c:v>0.2894229038315792</c:v>
                </c:pt>
                <c:pt idx="901">
                  <c:v>0.28969261756273557</c:v>
                </c:pt>
                <c:pt idx="902">
                  <c:v>0.28996222891865753</c:v>
                </c:pt>
                <c:pt idx="903">
                  <c:v>0.29023173793820378</c:v>
                </c:pt>
                <c:pt idx="904">
                  <c:v>0.29050114466021792</c:v>
                </c:pt>
                <c:pt idx="905">
                  <c:v>0.29077044912352912</c:v>
                </c:pt>
                <c:pt idx="906">
                  <c:v>0.29103965136695176</c:v>
                </c:pt>
                <c:pt idx="907">
                  <c:v>0.29130875142928536</c:v>
                </c:pt>
                <c:pt idx="908">
                  <c:v>0.2915777493493148</c:v>
                </c:pt>
                <c:pt idx="909">
                  <c:v>0.29184664516581038</c:v>
                </c:pt>
                <c:pt idx="910">
                  <c:v>0.29211543891752734</c:v>
                </c:pt>
                <c:pt idx="911">
                  <c:v>0.29238413064320634</c:v>
                </c:pt>
                <c:pt idx="912">
                  <c:v>0.29265272038157375</c:v>
                </c:pt>
                <c:pt idx="913">
                  <c:v>0.2929212081713406</c:v>
                </c:pt>
                <c:pt idx="914">
                  <c:v>0.29318959405120359</c:v>
                </c:pt>
                <c:pt idx="915">
                  <c:v>0.29345787805984469</c:v>
                </c:pt>
                <c:pt idx="916">
                  <c:v>0.29372606023593117</c:v>
                </c:pt>
                <c:pt idx="917">
                  <c:v>0.29399414061811557</c:v>
                </c:pt>
                <c:pt idx="918">
                  <c:v>0.29426211924503576</c:v>
                </c:pt>
                <c:pt idx="919">
                  <c:v>0.29452999615531505</c:v>
                </c:pt>
                <c:pt idx="920">
                  <c:v>0.29479777138756191</c:v>
                </c:pt>
                <c:pt idx="921">
                  <c:v>0.29506544498037057</c:v>
                </c:pt>
                <c:pt idx="922">
                  <c:v>0.29533301697231995</c:v>
                </c:pt>
                <c:pt idx="923">
                  <c:v>0.29560048740197487</c:v>
                </c:pt>
                <c:pt idx="924">
                  <c:v>0.29586785630788526</c:v>
                </c:pt>
                <c:pt idx="925">
                  <c:v>0.29613512372858664</c:v>
                </c:pt>
                <c:pt idx="926">
                  <c:v>0.29640228970259952</c:v>
                </c:pt>
                <c:pt idx="927">
                  <c:v>0.29666935426843011</c:v>
                </c:pt>
                <c:pt idx="928">
                  <c:v>0.29693631746456994</c:v>
                </c:pt>
                <c:pt idx="929">
                  <c:v>0.29720317932949591</c:v>
                </c:pt>
                <c:pt idx="930">
                  <c:v>0.29746993990167037</c:v>
                </c:pt>
                <c:pt idx="931">
                  <c:v>0.29773659921954077</c:v>
                </c:pt>
                <c:pt idx="932">
                  <c:v>0.29800315732154048</c:v>
                </c:pt>
                <c:pt idx="933">
                  <c:v>0.29826961424608778</c:v>
                </c:pt>
                <c:pt idx="934">
                  <c:v>0.29853597003158672</c:v>
                </c:pt>
                <c:pt idx="935">
                  <c:v>0.29880222471642659</c:v>
                </c:pt>
                <c:pt idx="936">
                  <c:v>0.29906837833898225</c:v>
                </c:pt>
                <c:pt idx="937">
                  <c:v>0.29933443093761392</c:v>
                </c:pt>
                <c:pt idx="938">
                  <c:v>0.29960038255066701</c:v>
                </c:pt>
                <c:pt idx="939">
                  <c:v>0.29986623321647288</c:v>
                </c:pt>
                <c:pt idx="940">
                  <c:v>0.30013198297334798</c:v>
                </c:pt>
                <c:pt idx="941">
                  <c:v>0.30039763185959434</c:v>
                </c:pt>
                <c:pt idx="942">
                  <c:v>0.30066317991349933</c:v>
                </c:pt>
                <c:pt idx="943">
                  <c:v>0.30092862717333591</c:v>
                </c:pt>
                <c:pt idx="944">
                  <c:v>0.30119397367736256</c:v>
                </c:pt>
                <c:pt idx="945">
                  <c:v>0.30145921946382315</c:v>
                </c:pt>
                <c:pt idx="946">
                  <c:v>0.30172436457094698</c:v>
                </c:pt>
                <c:pt idx="947">
                  <c:v>0.30198940903694893</c:v>
                </c:pt>
                <c:pt idx="948">
                  <c:v>0.30225435290002933</c:v>
                </c:pt>
                <c:pt idx="949">
                  <c:v>0.30251919619837409</c:v>
                </c:pt>
                <c:pt idx="950">
                  <c:v>0.30278393897015454</c:v>
                </c:pt>
                <c:pt idx="951">
                  <c:v>0.3030485812535274</c:v>
                </c:pt>
                <c:pt idx="952">
                  <c:v>0.30331312308663527</c:v>
                </c:pt>
                <c:pt idx="953">
                  <c:v>0.30357756450760598</c:v>
                </c:pt>
                <c:pt idx="954">
                  <c:v>0.30384190555455293</c:v>
                </c:pt>
                <c:pt idx="955">
                  <c:v>0.30410614626557508</c:v>
                </c:pt>
                <c:pt idx="956">
                  <c:v>0.30437028667875698</c:v>
                </c:pt>
                <c:pt idx="957">
                  <c:v>0.30463432683216862</c:v>
                </c:pt>
                <c:pt idx="958">
                  <c:v>0.30489826676386567</c:v>
                </c:pt>
                <c:pt idx="959">
                  <c:v>0.30516210651188924</c:v>
                </c:pt>
                <c:pt idx="960">
                  <c:v>0.30542584611426604</c:v>
                </c:pt>
                <c:pt idx="961">
                  <c:v>0.30568948560900844</c:v>
                </c:pt>
                <c:pt idx="962">
                  <c:v>0.30595302503411415</c:v>
                </c:pt>
                <c:pt idx="963">
                  <c:v>0.30621646442756656</c:v>
                </c:pt>
                <c:pt idx="964">
                  <c:v>0.30647980382733486</c:v>
                </c:pt>
                <c:pt idx="965">
                  <c:v>0.30674304327137369</c:v>
                </c:pt>
                <c:pt idx="966">
                  <c:v>0.30700618279762304</c:v>
                </c:pt>
                <c:pt idx="967">
                  <c:v>0.30726922244400878</c:v>
                </c:pt>
                <c:pt idx="968">
                  <c:v>0.30753216224844238</c:v>
                </c:pt>
                <c:pt idx="969">
                  <c:v>0.30779500224882073</c:v>
                </c:pt>
                <c:pt idx="970">
                  <c:v>0.30805774248302653</c:v>
                </c:pt>
                <c:pt idx="971">
                  <c:v>0.30832038298892805</c:v>
                </c:pt>
                <c:pt idx="972">
                  <c:v>0.30858292380437902</c:v>
                </c:pt>
                <c:pt idx="973">
                  <c:v>0.30884536496721915</c:v>
                </c:pt>
                <c:pt idx="974">
                  <c:v>0.30910770651527342</c:v>
                </c:pt>
                <c:pt idx="975">
                  <c:v>0.30936994848635269</c:v>
                </c:pt>
                <c:pt idx="976">
                  <c:v>0.30963209091825328</c:v>
                </c:pt>
                <c:pt idx="977">
                  <c:v>0.30989413384875741</c:v>
                </c:pt>
                <c:pt idx="978">
                  <c:v>0.31015607731563277</c:v>
                </c:pt>
                <c:pt idx="979">
                  <c:v>0.31041792135663271</c:v>
                </c:pt>
                <c:pt idx="980">
                  <c:v>0.31067966600949637</c:v>
                </c:pt>
                <c:pt idx="981">
                  <c:v>0.31094131131194847</c:v>
                </c:pt>
                <c:pt idx="982">
                  <c:v>0.31120285730169961</c:v>
                </c:pt>
                <c:pt idx="983">
                  <c:v>0.31146430401644554</c:v>
                </c:pt>
                <c:pt idx="984">
                  <c:v>0.31172565149386844</c:v>
                </c:pt>
                <c:pt idx="985">
                  <c:v>0.31198689977163574</c:v>
                </c:pt>
                <c:pt idx="986">
                  <c:v>0.31224804888740043</c:v>
                </c:pt>
                <c:pt idx="987">
                  <c:v>0.31250909887880163</c:v>
                </c:pt>
                <c:pt idx="988">
                  <c:v>0.31277004978346401</c:v>
                </c:pt>
                <c:pt idx="989">
                  <c:v>0.31303090163899772</c:v>
                </c:pt>
                <c:pt idx="990">
                  <c:v>0.313291654482999</c:v>
                </c:pt>
                <c:pt idx="991">
                  <c:v>0.31355230835304959</c:v>
                </c:pt>
                <c:pt idx="992">
                  <c:v>0.31381286328671709</c:v>
                </c:pt>
                <c:pt idx="993">
                  <c:v>0.3140733193215548</c:v>
                </c:pt>
                <c:pt idx="994">
                  <c:v>0.31433367649510147</c:v>
                </c:pt>
                <c:pt idx="995">
                  <c:v>0.31459393484488229</c:v>
                </c:pt>
                <c:pt idx="996">
                  <c:v>0.3148540944084075</c:v>
                </c:pt>
                <c:pt idx="997">
                  <c:v>0.31511415522317354</c:v>
                </c:pt>
                <c:pt idx="998">
                  <c:v>0.31537411732666243</c:v>
                </c:pt>
                <c:pt idx="999">
                  <c:v>0.31563398075634197</c:v>
                </c:pt>
                <c:pt idx="1000">
                  <c:v>0.31589374554966587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FC1-410A-88C6-5145C07C044E}"/>
            </c:ext>
          </c:extLst>
        </c:ser>
        <c:ser>
          <c:idx val="2"/>
          <c:order val="2"/>
          <c:tx>
            <c:v>B₄C-50</c:v>
          </c:tx>
          <c:spPr>
            <a:ln w="12000">
              <a:solidFill>
                <a:srgbClr val="666666"/>
              </a:solidFill>
              <a:prstDash val="dash"/>
            </a:ln>
          </c:spPr>
          <c:marker>
            <c:symbol val="none"/>
          </c:marker>
          <c:xVal>
            <c:numRef>
              <c:f>График!$J$3:$J$4</c:f>
              <c:numCache>
                <c:formatCode>General</c:formatCode>
                <c:ptCount val="2"/>
                <c:pt idx="0">
                  <c:v>50</c:v>
                </c:pt>
                <c:pt idx="1">
                  <c:v>50</c:v>
                </c:pt>
              </c:numCache>
            </c:numRef>
          </c:xVal>
          <c:yVal>
            <c:numRef>
              <c:f>График!$K$3:$K$4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FC1-410A-88C6-5145C07C044E}"/>
            </c:ext>
          </c:extLst>
        </c:ser>
        <c:ser>
          <c:idx val="3"/>
          <c:order val="3"/>
          <c:tx>
            <c:v>B₄C-100</c:v>
          </c:tx>
          <c:spPr>
            <a:ln w="12000">
              <a:solidFill>
                <a:srgbClr val="666666"/>
              </a:solidFill>
              <a:prstDash val="dash"/>
            </a:ln>
          </c:spPr>
          <c:marker>
            <c:symbol val="none"/>
          </c:marker>
          <c:xVal>
            <c:numRef>
              <c:f>График!$L$3:$L$4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xVal>
          <c:yVal>
            <c:numRef>
              <c:f>График!$M$3:$M$4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FC1-410A-88C6-5145C07C044E}"/>
            </c:ext>
          </c:extLst>
        </c:ser>
        <c:ser>
          <c:idx val="4"/>
          <c:order val="4"/>
          <c:tx>
            <c:v>B₄C-200</c:v>
          </c:tx>
          <c:spPr>
            <a:ln w="12000">
              <a:solidFill>
                <a:srgbClr val="666666"/>
              </a:solidFill>
              <a:prstDash val="dash"/>
            </a:ln>
          </c:spPr>
          <c:marker>
            <c:symbol val="none"/>
          </c:marker>
          <c:xVal>
            <c:numRef>
              <c:f>График!$N$3:$N$4</c:f>
              <c:numCache>
                <c:formatCode>General</c:formatCode>
                <c:ptCount val="2"/>
                <c:pt idx="0">
                  <c:v>200</c:v>
                </c:pt>
                <c:pt idx="1">
                  <c:v>200</c:v>
                </c:pt>
              </c:numCache>
            </c:numRef>
          </c:xVal>
          <c:yVal>
            <c:numRef>
              <c:f>График!$O$3:$O$4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FC1-410A-88C6-5145C07C044E}"/>
            </c:ext>
          </c:extLst>
        </c:ser>
        <c:ser>
          <c:idx val="5"/>
          <c:order val="5"/>
          <c:tx>
            <c:v>B₄C-400</c:v>
          </c:tx>
          <c:spPr>
            <a:ln w="12000">
              <a:solidFill>
                <a:srgbClr val="666666"/>
              </a:solidFill>
              <a:prstDash val="dash"/>
            </a:ln>
          </c:spPr>
          <c:marker>
            <c:symbol val="none"/>
          </c:marker>
          <c:xVal>
            <c:numRef>
              <c:f>График!$P$3:$P$4</c:f>
              <c:numCache>
                <c:formatCode>General</c:formatCode>
                <c:ptCount val="2"/>
                <c:pt idx="0">
                  <c:v>400</c:v>
                </c:pt>
                <c:pt idx="1">
                  <c:v>400</c:v>
                </c:pt>
              </c:numCache>
            </c:numRef>
          </c:xVal>
          <c:yVal>
            <c:numRef>
              <c:f>График!$Q$3:$Q$4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FC1-410A-88C6-5145C07C044E}"/>
            </c:ext>
          </c:extLst>
        </c:ser>
        <c:ser>
          <c:idx val="6"/>
          <c:order val="6"/>
          <c:tx>
            <c:v>Li</c:v>
          </c:tx>
          <c:spPr>
            <a:ln w="12065">
              <a:solidFill>
                <a:schemeClr val="tx1"/>
              </a:solidFill>
              <a:prstDash val="dash"/>
            </a:ln>
          </c:spPr>
          <c:marker>
            <c:symbol val="none"/>
          </c:marker>
          <c:xVal>
            <c:numRef>
              <c:f>График!$R$3:$R$4</c:f>
              <c:numCache>
                <c:formatCode>General</c:formatCode>
                <c:ptCount val="2"/>
                <c:pt idx="0">
                  <c:v>1700</c:v>
                </c:pt>
                <c:pt idx="1">
                  <c:v>1700</c:v>
                </c:pt>
              </c:numCache>
            </c:numRef>
          </c:xVal>
          <c:yVal>
            <c:numRef>
              <c:f>График!$S$3:$S$4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FC1-410A-88C6-5145C07C044E}"/>
            </c:ext>
          </c:extLst>
        </c:ser>
        <c:ser>
          <c:idx val="7"/>
          <c:order val="7"/>
          <c:tx>
            <c:v>a</c:v>
          </c:tx>
          <c:spPr>
            <a:ln w="12065">
              <a:solidFill>
                <a:schemeClr val="tx1"/>
              </a:solidFill>
              <a:prstDash val="dash"/>
            </a:ln>
          </c:spPr>
          <c:marker>
            <c:symbol val="none"/>
          </c:marker>
          <c:xVal>
            <c:numRef>
              <c:f>График!$T$3:$T$4</c:f>
              <c:numCache>
                <c:formatCode>General</c:formatCode>
                <c:ptCount val="2"/>
                <c:pt idx="0">
                  <c:v>3500</c:v>
                </c:pt>
                <c:pt idx="1">
                  <c:v>3500</c:v>
                </c:pt>
              </c:numCache>
            </c:numRef>
          </c:xVal>
          <c:yVal>
            <c:numRef>
              <c:f>График!$U$3:$U$4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FC1-410A-88C6-5145C07C04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00"/>
          <c:min val="10"/>
        </c:scaling>
        <c:delete val="0"/>
        <c:axPos val="b"/>
        <c:title>
          <c:tx>
            <c:rich>
              <a:bodyPr/>
              <a:lstStyle/>
              <a:p>
                <a:pPr>
                  <a:defRPr sz="1200" b="0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r>
                  <a:rPr lang="ru-RU" sz="1200" b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Толщина покрытия </a:t>
                </a:r>
                <a:r>
                  <a:rPr lang="de-DE" sz="1200" b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B₄C, </a:t>
                </a:r>
                <a:r>
                  <a:rPr lang="ru-RU" sz="1200" b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нм</a:t>
                </a:r>
              </a:p>
            </c:rich>
          </c:tx>
          <c:overlay val="1"/>
        </c:title>
        <c:numFmt formatCode="0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de-DE"/>
          </a:p>
        </c:txPr>
        <c:crossAx val="20"/>
        <c:crosses val="autoZero"/>
        <c:crossBetween val="midCat"/>
      </c:valAx>
      <c:valAx>
        <c:axId val="20"/>
        <c:scaling>
          <c:orientation val="minMax"/>
          <c:max val="0.35000000000000003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 sz="1200" b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Расчётная вероятность захвата нейтрона</a:t>
                </a:r>
              </a:p>
            </c:rich>
          </c:tx>
          <c:layout>
            <c:manualLayout>
              <c:xMode val="edge"/>
              <c:yMode val="edge"/>
              <c:x val="2.9228580085730264E-2"/>
              <c:y val="0.27553950550345579"/>
            </c:manualLayout>
          </c:layout>
          <c:overlay val="1"/>
        </c:title>
        <c:numFmt formatCode="0.00" sourceLinked="0"/>
        <c:majorTickMark val="cross"/>
        <c:minorTickMark val="cross"/>
        <c:tickLblPos val="nextTo"/>
        <c:spPr>
          <a:ln/>
        </c:spPr>
        <c:txPr>
          <a:bodyPr/>
          <a:lstStyle/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de-DE"/>
          </a:p>
        </c:txPr>
        <c:crossAx val="10"/>
        <c:crosses val="autoZero"/>
        <c:crossBetween val="midCat"/>
        <c:majorUnit val="2.0000000000000004E-2"/>
        <c:minorUnit val="1.0000000000000002E-2"/>
      </c:valAx>
    </c:plotArea>
    <c:legend>
      <c:legendPos val="r"/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ayout>
        <c:manualLayout>
          <c:xMode val="edge"/>
          <c:yMode val="edge"/>
          <c:x val="0.12120780843303708"/>
          <c:y val="4.560019462310979E-2"/>
          <c:w val="0.18343287924682494"/>
          <c:h val="0.11320065386536007"/>
        </c:manualLayout>
      </c:layout>
      <c:overlay val="1"/>
      <c:txPr>
        <a:bodyPr/>
        <a:lstStyle/>
        <a:p>
          <a:pPr>
            <a:defRPr sz="1200">
              <a:latin typeface="Times New Roman" panose="02020603050405020304" pitchFamily="18" charset="0"/>
              <a:cs typeface="Times New Roman" panose="02020603050405020304" pitchFamily="18" charset="0"/>
            </a:defRPr>
          </a:pPr>
          <a:endParaRPr lang="de-DE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5323</xdr:colOff>
      <xdr:row>15</xdr:row>
      <xdr:rowOff>17261</xdr:rowOff>
    </xdr:from>
    <xdr:ext cx="10300607" cy="58574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0.34048</cdr:x>
      <cdr:y>0.57884</cdr:y>
    </cdr:from>
    <cdr:to>
      <cdr:x>0.36268</cdr:x>
      <cdr:y>0.78481</cdr:y>
    </cdr:to>
    <cdr:sp macro="" textlink="">
      <cdr:nvSpPr>
        <cdr:cNvPr id="8" name="CodexVerticalLabel_B4C_50">
          <a:extLst xmlns:a="http://schemas.openxmlformats.org/drawingml/2006/main">
            <a:ext uri="{FF2B5EF4-FFF2-40B4-BE49-F238E27FC236}">
              <a16:creationId xmlns:a16="http://schemas.microsoft.com/office/drawing/2014/main" id="{6FF7BCAE-6E0D-487D-ADA7-A67F9A550A65}"/>
            </a:ext>
          </a:extLst>
        </cdr:cNvPr>
        <cdr:cNvSpPr txBox="1"/>
      </cdr:nvSpPr>
      <cdr:spPr>
        <a:xfrm xmlns:a="http://schemas.openxmlformats.org/drawingml/2006/main" rot="5400000">
          <a:off x="3018241" y="3879472"/>
          <a:ext cx="1206500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 anchor="ctr"/>
        <a:lstStyle xmlns:a="http://schemas.openxmlformats.org/drawingml/2006/main"/>
        <a:p xmlns:a="http://schemas.openxmlformats.org/drawingml/2006/main">
          <a:pPr algn="ctr"/>
          <a:r>
            <a:rPr lang="de-DE" sz="1200">
              <a:solidFill>
                <a:srgbClr val="000000"/>
              </a:solidFill>
              <a:latin typeface="Arial" panose="020B0604020202020204" pitchFamily="34" charset="0"/>
            </a:rPr>
            <a:t>B4C-50</a:t>
          </a:r>
        </a:p>
      </cdr:txBody>
    </cdr:sp>
  </cdr:relSizeAnchor>
  <cdr:relSizeAnchor xmlns:cdr="http://schemas.openxmlformats.org/drawingml/2006/chartDrawing">
    <cdr:from>
      <cdr:x>0.42333</cdr:x>
      <cdr:y>0.57884</cdr:y>
    </cdr:from>
    <cdr:to>
      <cdr:x>0.44552</cdr:x>
      <cdr:y>0.78481</cdr:y>
    </cdr:to>
    <cdr:sp macro="" textlink="">
      <cdr:nvSpPr>
        <cdr:cNvPr id="9" name="CodexVerticalLabel_B4C_100">
          <a:extLst xmlns:a="http://schemas.openxmlformats.org/drawingml/2006/main">
            <a:ext uri="{FF2B5EF4-FFF2-40B4-BE49-F238E27FC236}">
              <a16:creationId xmlns:a16="http://schemas.microsoft.com/office/drawing/2014/main" id="{7C59DA28-97B1-4BDE-AE86-F9C200AE5C05}"/>
            </a:ext>
          </a:extLst>
        </cdr:cNvPr>
        <cdr:cNvSpPr txBox="1"/>
      </cdr:nvSpPr>
      <cdr:spPr>
        <a:xfrm xmlns:a="http://schemas.openxmlformats.org/drawingml/2006/main" rot="5400000">
          <a:off x="3871585" y="3879472"/>
          <a:ext cx="1206500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 anchor="ctr"/>
        <a:lstStyle xmlns:a="http://schemas.openxmlformats.org/drawingml/2006/main"/>
        <a:p xmlns:a="http://schemas.openxmlformats.org/drawingml/2006/main">
          <a:pPr algn="ctr"/>
          <a:r>
            <a:rPr lang="de-DE" sz="1200">
              <a:solidFill>
                <a:srgbClr val="000000"/>
              </a:solidFill>
              <a:latin typeface="Arial" panose="020B0604020202020204" pitchFamily="34" charset="0"/>
            </a:rPr>
            <a:t>B4C-100</a:t>
          </a:r>
        </a:p>
      </cdr:txBody>
    </cdr:sp>
  </cdr:relSizeAnchor>
  <cdr:relSizeAnchor xmlns:cdr="http://schemas.openxmlformats.org/drawingml/2006/chartDrawing">
    <cdr:from>
      <cdr:x>0.50617</cdr:x>
      <cdr:y>0.57884</cdr:y>
    </cdr:from>
    <cdr:to>
      <cdr:x>0.52836</cdr:x>
      <cdr:y>0.78481</cdr:y>
    </cdr:to>
    <cdr:sp macro="" textlink="">
      <cdr:nvSpPr>
        <cdr:cNvPr id="10" name="CodexVerticalLabel_B4C_200">
          <a:extLst xmlns:a="http://schemas.openxmlformats.org/drawingml/2006/main">
            <a:ext uri="{FF2B5EF4-FFF2-40B4-BE49-F238E27FC236}">
              <a16:creationId xmlns:a16="http://schemas.microsoft.com/office/drawing/2014/main" id="{6D58D825-DBB8-4D47-9E02-AC3CB779DBD1}"/>
            </a:ext>
          </a:extLst>
        </cdr:cNvPr>
        <cdr:cNvSpPr txBox="1"/>
      </cdr:nvSpPr>
      <cdr:spPr>
        <a:xfrm xmlns:a="http://schemas.openxmlformats.org/drawingml/2006/main" rot="5400000">
          <a:off x="4724929" y="3879472"/>
          <a:ext cx="1206500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 anchor="ctr"/>
        <a:lstStyle xmlns:a="http://schemas.openxmlformats.org/drawingml/2006/main"/>
        <a:p xmlns:a="http://schemas.openxmlformats.org/drawingml/2006/main">
          <a:pPr algn="ctr"/>
          <a:r>
            <a:rPr lang="de-DE" sz="1200">
              <a:solidFill>
                <a:srgbClr val="000000"/>
              </a:solidFill>
              <a:latin typeface="Arial" panose="020B0604020202020204" pitchFamily="34" charset="0"/>
            </a:rPr>
            <a:t>B4C-200</a:t>
          </a:r>
        </a:p>
      </cdr:txBody>
    </cdr:sp>
  </cdr:relSizeAnchor>
  <cdr:relSizeAnchor xmlns:cdr="http://schemas.openxmlformats.org/drawingml/2006/chartDrawing">
    <cdr:from>
      <cdr:x>0.58902</cdr:x>
      <cdr:y>0.57884</cdr:y>
    </cdr:from>
    <cdr:to>
      <cdr:x>0.61121</cdr:x>
      <cdr:y>0.78481</cdr:y>
    </cdr:to>
    <cdr:sp macro="" textlink="">
      <cdr:nvSpPr>
        <cdr:cNvPr id="11" name="CodexVerticalLabel_B4C_400">
          <a:extLst xmlns:a="http://schemas.openxmlformats.org/drawingml/2006/main">
            <a:ext uri="{FF2B5EF4-FFF2-40B4-BE49-F238E27FC236}">
              <a16:creationId xmlns:a16="http://schemas.microsoft.com/office/drawing/2014/main" id="{86F32357-2071-4D71-A3FC-04EDB4817446}"/>
            </a:ext>
          </a:extLst>
        </cdr:cNvPr>
        <cdr:cNvSpPr txBox="1"/>
      </cdr:nvSpPr>
      <cdr:spPr>
        <a:xfrm xmlns:a="http://schemas.openxmlformats.org/drawingml/2006/main" rot="5400000">
          <a:off x="5578272" y="3879472"/>
          <a:ext cx="1206500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 anchor="ctr"/>
        <a:lstStyle xmlns:a="http://schemas.openxmlformats.org/drawingml/2006/main"/>
        <a:p xmlns:a="http://schemas.openxmlformats.org/drawingml/2006/main">
          <a:pPr algn="ctr"/>
          <a:r>
            <a:rPr lang="de-DE" sz="1200">
              <a:solidFill>
                <a:srgbClr val="000000"/>
              </a:solidFill>
              <a:latin typeface="Arial" panose="020B0604020202020204" pitchFamily="34" charset="0"/>
            </a:rPr>
            <a:t>B4C-400</a:t>
          </a:r>
        </a:p>
      </cdr:txBody>
    </cdr:sp>
  </cdr:relSizeAnchor>
  <cdr:relSizeAnchor xmlns:cdr="http://schemas.openxmlformats.org/drawingml/2006/chartDrawing">
    <cdr:from>
      <cdr:x>0.77428</cdr:x>
      <cdr:y>0.17513</cdr:y>
    </cdr:from>
    <cdr:to>
      <cdr:x>0.79647</cdr:x>
      <cdr:y>0.42447</cdr:y>
    </cdr:to>
    <cdr:sp macro="" textlink="">
      <cdr:nvSpPr>
        <cdr:cNvPr id="12" name="CodexVerticalLabel_Li7">
          <a:extLst xmlns:a="http://schemas.openxmlformats.org/drawingml/2006/main">
            <a:ext uri="{FF2B5EF4-FFF2-40B4-BE49-F238E27FC236}">
              <a16:creationId xmlns:a16="http://schemas.microsoft.com/office/drawing/2014/main" id="{91110230-0B11-4AEB-A310-11F4C04FD338}"/>
            </a:ext>
          </a:extLst>
        </cdr:cNvPr>
        <cdr:cNvSpPr txBox="1"/>
      </cdr:nvSpPr>
      <cdr:spPr>
        <a:xfrm xmlns:a="http://schemas.openxmlformats.org/drawingml/2006/main" rot="5400000">
          <a:off x="7359595" y="1641767"/>
          <a:ext cx="1460500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 anchor="ctr"/>
        <a:lstStyle xmlns:a="http://schemas.openxmlformats.org/drawingml/2006/main"/>
        <a:p xmlns:a="http://schemas.openxmlformats.org/drawingml/2006/main">
          <a:pPr algn="ctr"/>
          <a:r>
            <a:rPr lang="ru-RU" sz="1200">
              <a:solidFill>
                <a:srgbClr val="000000"/>
              </a:solidFill>
              <a:latin typeface="Arial" panose="020B0604020202020204" pitchFamily="34" charset="0"/>
            </a:rPr>
            <a:t>пробег ⁷</a:t>
          </a:r>
          <a:r>
            <a:rPr lang="de-DE" sz="1200">
              <a:solidFill>
                <a:srgbClr val="000000"/>
              </a:solidFill>
              <a:latin typeface="Arial" panose="020B0604020202020204" pitchFamily="34" charset="0"/>
            </a:rPr>
            <a:t>Li</a:t>
          </a:r>
        </a:p>
      </cdr:txBody>
    </cdr:sp>
  </cdr:relSizeAnchor>
  <cdr:relSizeAnchor xmlns:cdr="http://schemas.openxmlformats.org/drawingml/2006/chartDrawing">
    <cdr:from>
      <cdr:x>0.88525</cdr:x>
      <cdr:y>0.0884</cdr:y>
    </cdr:from>
    <cdr:to>
      <cdr:x>0.90744</cdr:x>
      <cdr:y>0.42447</cdr:y>
    </cdr:to>
    <cdr:sp macro="" textlink="">
      <cdr:nvSpPr>
        <cdr:cNvPr id="13" name="CodexVerticalLabel_Alpha">
          <a:extLst xmlns:a="http://schemas.openxmlformats.org/drawingml/2006/main">
            <a:ext uri="{FF2B5EF4-FFF2-40B4-BE49-F238E27FC236}">
              <a16:creationId xmlns:a16="http://schemas.microsoft.com/office/drawing/2014/main" id="{5F210F45-9838-4088-86E2-CCAD4706DF95}"/>
            </a:ext>
          </a:extLst>
        </cdr:cNvPr>
        <cdr:cNvSpPr txBox="1"/>
      </cdr:nvSpPr>
      <cdr:spPr>
        <a:xfrm xmlns:a="http://schemas.openxmlformats.org/drawingml/2006/main" rot="5400000">
          <a:off x="8248626" y="1387767"/>
          <a:ext cx="1968500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 anchor="ctr"/>
        <a:lstStyle xmlns:a="http://schemas.openxmlformats.org/drawingml/2006/main"/>
        <a:p xmlns:a="http://schemas.openxmlformats.org/drawingml/2006/main">
          <a:pPr algn="ctr"/>
          <a:r>
            <a:rPr lang="ru-RU" sz="1200">
              <a:solidFill>
                <a:srgbClr val="000000"/>
              </a:solidFill>
              <a:latin typeface="Arial" panose="020B0604020202020204" pitchFamily="34" charset="0"/>
            </a:rPr>
            <a:t>пробег </a:t>
          </a:r>
          <a:r>
            <a:rPr lang="el-GR" sz="1200">
              <a:solidFill>
                <a:srgbClr val="000000"/>
              </a:solidFill>
              <a:latin typeface="Arial" panose="020B0604020202020204" pitchFamily="34" charset="0"/>
            </a:rPr>
            <a:t>α-</a:t>
          </a:r>
          <a:r>
            <a:rPr lang="ru-RU" sz="1200">
              <a:solidFill>
                <a:srgbClr val="000000"/>
              </a:solidFill>
              <a:latin typeface="Arial" panose="020B0604020202020204" pitchFamily="34" charset="0"/>
            </a:rPr>
            <a:t>частицы</a:t>
          </a:r>
          <a:endParaRPr lang="de-DE" sz="1200">
            <a:solidFill>
              <a:srgbClr val="000000"/>
            </a:solidFill>
            <a:latin typeface="Arial" panose="020B0604020202020204" pitchFamily="34" charset="0"/>
          </a:endParaRPr>
        </a:p>
      </cdr:txBody>
    </cdr:sp>
  </cdr:relSizeAnchor>
</c:userShap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Capture_Curve" displayName="Tbl_Capture_Curve" ref="A1:C1053">
  <autoFilter ref="A1:C1053" xr:uid="{00000000-0009-0000-0100-000001000000}"/>
  <tableColumns count="3">
    <tableColumn id="1" xr3:uid="{00000000-0010-0000-0000-000001000000}" name="Толщина покрытия B₄C, нм"/>
    <tableColumn id="2" xr3:uid="{00000000-0010-0000-0000-000002000000}" name="Вероятность захвата, природный бор"/>
    <tableColumn id="3" xr3:uid="{00000000-0010-0000-0000-000003000000}" name="Вероятность захвата, обогащённый бор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Samples" displayName="Tbl_Samples" ref="E1:H5">
  <autoFilter ref="E1:H5" xr:uid="{00000000-0009-0000-0100-000002000000}"/>
  <tableColumns count="4">
    <tableColumn id="5" xr3:uid="{00000000-0010-0000-0100-000005000000}" name="Образец"/>
    <tableColumn id="6" xr3:uid="{00000000-0010-0000-0100-000006000000}" name="Номинальная толщина, нм"/>
    <tableColumn id="7" xr3:uid="{00000000-0010-0000-0100-000007000000}" name="P, природный бор"/>
    <tableColumn id="8" xr3:uid="{00000000-0010-0000-0100-000008000000}" name="P, обогащённый бор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workbookViewId="0">
      <pane ySplit="1" topLeftCell="A2" activePane="bottomLeft" state="frozen"/>
      <selection pane="bottomLeft" activeCell="B36" sqref="B36"/>
    </sheetView>
  </sheetViews>
  <sheetFormatPr defaultRowHeight="15" x14ac:dyDescent="0.25"/>
  <cols>
    <col min="1" max="1" width="34" customWidth="1"/>
    <col min="2" max="2" width="18" customWidth="1"/>
    <col min="3" max="3" width="16" customWidth="1"/>
    <col min="5" max="5" width="34" customWidth="1"/>
    <col min="6" max="6" width="20" customWidth="1"/>
  </cols>
  <sheetData>
    <row r="1" spans="1:6" ht="18" x14ac:dyDescent="0.25">
      <c r="A1" s="1" t="s">
        <v>0</v>
      </c>
      <c r="B1" s="1" t="s">
        <v>1</v>
      </c>
      <c r="C1" s="1" t="s">
        <v>2</v>
      </c>
      <c r="E1" s="2" t="s">
        <v>3</v>
      </c>
    </row>
    <row r="2" spans="1:6" ht="15.75" x14ac:dyDescent="0.25">
      <c r="A2" s="3" t="s">
        <v>4</v>
      </c>
      <c r="B2" s="4">
        <v>2.52</v>
      </c>
      <c r="C2" s="3" t="s">
        <v>5</v>
      </c>
      <c r="E2" s="3" t="s">
        <v>6</v>
      </c>
      <c r="F2" s="5">
        <f>B6*B7/B8*1E-24</f>
        <v>3.84E-21</v>
      </c>
    </row>
    <row r="3" spans="1:6" ht="15.75" x14ac:dyDescent="0.25">
      <c r="A3" s="3" t="s">
        <v>7</v>
      </c>
      <c r="B3" s="4">
        <v>55.26</v>
      </c>
      <c r="C3" s="3" t="s">
        <v>8</v>
      </c>
      <c r="E3" s="3" t="s">
        <v>9</v>
      </c>
      <c r="F3" s="5">
        <f>4*B2/B3*B10*B4</f>
        <v>2.1970024922475569E+22</v>
      </c>
    </row>
    <row r="4" spans="1:6" ht="15.75" x14ac:dyDescent="0.25">
      <c r="A4" s="3" t="s">
        <v>10</v>
      </c>
      <c r="B4" s="4">
        <v>0.2</v>
      </c>
      <c r="C4" s="3" t="s">
        <v>11</v>
      </c>
      <c r="E4" s="3" t="s">
        <v>12</v>
      </c>
      <c r="F4" s="5">
        <f>4*B2/B3*B10*B5</f>
        <v>9.8865112151140067E+22</v>
      </c>
    </row>
    <row r="5" spans="1:6" ht="15.75" x14ac:dyDescent="0.25">
      <c r="A5" s="3" t="s">
        <v>13</v>
      </c>
      <c r="B5" s="4">
        <v>0.9</v>
      </c>
      <c r="C5" s="3" t="s">
        <v>11</v>
      </c>
      <c r="E5" s="3" t="s">
        <v>14</v>
      </c>
      <c r="F5" s="5">
        <f>F3*F2</f>
        <v>84.364895702306185</v>
      </c>
    </row>
    <row r="6" spans="1:6" ht="15.75" x14ac:dyDescent="0.25">
      <c r="A6" s="3" t="s">
        <v>15</v>
      </c>
      <c r="B6" s="4">
        <v>3840</v>
      </c>
      <c r="C6" s="3" t="s">
        <v>16</v>
      </c>
      <c r="E6" s="3" t="s">
        <v>17</v>
      </c>
      <c r="F6" s="5">
        <f>F4*F2</f>
        <v>379.64203066037788</v>
      </c>
    </row>
    <row r="7" spans="1:6" ht="15.75" x14ac:dyDescent="0.25">
      <c r="A7" s="3" t="s">
        <v>18</v>
      </c>
      <c r="B7" s="4">
        <v>1.8</v>
      </c>
      <c r="C7" s="3" t="s">
        <v>19</v>
      </c>
    </row>
    <row r="8" spans="1:6" ht="15.75" x14ac:dyDescent="0.25">
      <c r="A8" s="3" t="s">
        <v>20</v>
      </c>
      <c r="B8" s="4">
        <v>1.8</v>
      </c>
      <c r="C8" s="3" t="s">
        <v>19</v>
      </c>
    </row>
    <row r="9" spans="1:6" ht="15.75" x14ac:dyDescent="0.25">
      <c r="A9" s="3" t="s">
        <v>21</v>
      </c>
      <c r="B9" s="4">
        <v>90</v>
      </c>
      <c r="C9" s="3" t="s">
        <v>22</v>
      </c>
    </row>
    <row r="10" spans="1:6" ht="15.75" x14ac:dyDescent="0.25">
      <c r="A10" s="3" t="s">
        <v>23</v>
      </c>
      <c r="B10" s="6">
        <v>6.0221407599999999E+23</v>
      </c>
      <c r="C10" s="3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53"/>
  <sheetViews>
    <sheetView workbookViewId="0">
      <pane ySplit="1" topLeftCell="A2" activePane="bottomLeft" state="frozen"/>
      <selection pane="bottomLeft" activeCell="E1047" sqref="E1047"/>
    </sheetView>
  </sheetViews>
  <sheetFormatPr defaultRowHeight="15" x14ac:dyDescent="0.25"/>
  <cols>
    <col min="1" max="1" width="24" customWidth="1"/>
    <col min="2" max="2" width="34" customWidth="1"/>
    <col min="3" max="3" width="36" customWidth="1"/>
    <col min="5" max="5" width="16" customWidth="1"/>
    <col min="6" max="6" width="24" customWidth="1"/>
    <col min="7" max="7" width="20" customWidth="1"/>
    <col min="8" max="8" width="22" customWidth="1"/>
  </cols>
  <sheetData>
    <row r="1" spans="1:8" ht="31.5" x14ac:dyDescent="0.25">
      <c r="A1" s="7" t="s">
        <v>25</v>
      </c>
      <c r="B1" s="7" t="s">
        <v>26</v>
      </c>
      <c r="C1" s="7" t="s">
        <v>27</v>
      </c>
      <c r="E1" s="8" t="s">
        <v>28</v>
      </c>
      <c r="F1" s="8" t="s">
        <v>29</v>
      </c>
      <c r="G1" s="8" t="s">
        <v>30</v>
      </c>
      <c r="H1" s="8" t="s">
        <v>31</v>
      </c>
    </row>
    <row r="2" spans="1:8" ht="15.75" x14ac:dyDescent="0.25">
      <c r="A2" s="9">
        <v>0</v>
      </c>
      <c r="B2" s="10">
        <f>1-EXP(-((4*Параметры!$B$2/Параметры!$B$3*Параметры!$B$10*Параметры!$B$4)*(Параметры!$B$6*Параметры!$B$7/Параметры!$B$8*1E-24))*(A2*0.0000001)/SIN(RADIANS(Параметры!$B$9)))</f>
        <v>0</v>
      </c>
      <c r="C2" s="10">
        <f>1-EXP(-((4*Параметры!$B$2/Параметры!$B$3*Параметры!$B$10*Параметры!$B$5)*(Параметры!$B$6*Параметры!$B$7/Параметры!$B$8*1E-24))*(A2*0.0000001)/SIN(RADIANS(Параметры!$B$9)))</f>
        <v>0</v>
      </c>
      <c r="E2" s="3" t="s">
        <v>32</v>
      </c>
      <c r="F2" s="3">
        <v>50</v>
      </c>
      <c r="G2" s="10">
        <f>1-EXP(-((4*Параметры!$B$2/Параметры!$B$3*Параметры!$B$10*Параметры!$B$4)*(Параметры!$B$6*Параметры!$B$7/Параметры!$B$8*1E-24))*(F2*0.0000001)/SIN(RADIANS(Параметры!$B$9)))</f>
        <v>4.2173552307445128E-4</v>
      </c>
      <c r="H2" s="10">
        <f>1-EXP(-((4*Параметры!$B$2/Параметры!$B$3*Параметры!$B$10*Параметры!$B$5)*(Параметры!$B$6*Параметры!$B$7/Параметры!$B$8*1E-24))*(F2*0.0000001)/SIN(RADIANS(Параметры!$B$9)))</f>
        <v>1.8964096918071549E-3</v>
      </c>
    </row>
    <row r="3" spans="1:8" ht="15.75" x14ac:dyDescent="0.25">
      <c r="A3" s="9">
        <v>10</v>
      </c>
      <c r="B3" s="10">
        <f>1-EXP(-((4*Параметры!$B$2/Параметры!$B$3*Параметры!$B$10*Параметры!$B$4)*(Параметры!$B$6*Параметры!$B$7/Параметры!$B$8*1E-24))*(A3*0.0000001)/SIN(RADIANS(Параметры!$B$9)))</f>
        <v>8.4361337084559729E-5</v>
      </c>
      <c r="C3" s="10">
        <f>1-EXP(-((4*Параметры!$B$2/Параметры!$B$3*Параметры!$B$10*Параметры!$B$5)*(Параметры!$B$6*Параметры!$B$7/Параметры!$B$8*1E-24))*(A3*0.0000001)/SIN(RADIANS(Параметры!$B$9)))</f>
        <v>3.7956997574328799E-4</v>
      </c>
      <c r="E3" s="3" t="s">
        <v>33</v>
      </c>
      <c r="F3" s="3">
        <v>100</v>
      </c>
      <c r="G3" s="10">
        <f>1-EXP(-((4*Параметры!$B$2/Параметры!$B$3*Параметры!$B$10*Параметры!$B$4)*(Параметры!$B$6*Параметры!$B$7/Параметры!$B$8*1E-24))*(F3*0.0000001)/SIN(RADIANS(Параметры!$B$9)))</f>
        <v>8.4329318529752229E-4</v>
      </c>
      <c r="H3" s="10">
        <f>1-EXP(-((4*Параметры!$B$2/Параметры!$B$3*Параметры!$B$10*Параметры!$B$5)*(Параметры!$B$6*Параметры!$B$7/Параметры!$B$8*1E-24))*(F3*0.0000001)/SIN(RADIANS(Параметры!$B$9)))</f>
        <v>3.78922301389506E-3</v>
      </c>
    </row>
    <row r="4" spans="1:8" ht="15.75" x14ac:dyDescent="0.25">
      <c r="A4" s="9">
        <v>20</v>
      </c>
      <c r="B4" s="10">
        <f>1-EXP(-((4*Параметры!$B$2/Параметры!$B$3*Параметры!$B$10*Параметры!$B$4)*(Параметры!$B$6*Параметры!$B$7/Параметры!$B$8*1E-24))*(A4*0.0000001)/SIN(RADIANS(Параметры!$B$9)))</f>
        <v>1.6871555733388721E-4</v>
      </c>
      <c r="C4" s="10">
        <f>1-EXP(-((4*Параметры!$B$2/Параметры!$B$3*Параметры!$B$10*Параметры!$B$5)*(Параметры!$B$6*Параметры!$B$7/Параметры!$B$8*1E-24))*(A4*0.0000001)/SIN(RADIANS(Параметры!$B$9)))</f>
        <v>7.5899587812011671E-4</v>
      </c>
      <c r="E4" s="3" t="s">
        <v>34</v>
      </c>
      <c r="F4" s="3">
        <v>200</v>
      </c>
      <c r="G4" s="10">
        <f>1-EXP(-((4*Параметры!$B$2/Параметры!$B$3*Параметры!$B$10*Параметры!$B$4)*(Параметры!$B$6*Параметры!$B$7/Параметры!$B$8*1E-24))*(F4*0.0000001)/SIN(RADIANS(Параметры!$B$9)))</f>
        <v>1.6858752271987631E-3</v>
      </c>
      <c r="H4" s="10">
        <f>1-EXP(-((4*Параметры!$B$2/Параметры!$B$3*Параметры!$B$10*Параметры!$B$5)*(Параметры!$B$6*Параметры!$B$7/Параметры!$B$8*1E-24))*(F4*0.0000001)/SIN(RADIANS(Параметры!$B$9)))</f>
        <v>7.5640878167411163E-3</v>
      </c>
    </row>
    <row r="5" spans="1:8" ht="15.75" x14ac:dyDescent="0.25">
      <c r="A5" s="9">
        <v>30</v>
      </c>
      <c r="B5" s="10">
        <f>1-EXP(-((4*Параметры!$B$2/Параметры!$B$3*Параметры!$B$10*Параметры!$B$4)*(Параметры!$B$6*Параметры!$B$7/Параметры!$B$8*1E-24))*(A5*0.0000001)/SIN(RADIANS(Параметры!$B$9)))</f>
        <v>2.5306266134850208E-4</v>
      </c>
      <c r="C5" s="10">
        <f>1-EXP(-((4*Параметры!$B$2/Параметры!$B$3*Параметры!$B$10*Параметры!$B$5)*(Параметры!$B$6*Параметры!$B$7/Параметры!$B$8*1E-24))*(A5*0.0000001)/SIN(RADIANS(Параметры!$B$9)))</f>
        <v>1.1382777618164086E-3</v>
      </c>
      <c r="E5" s="3" t="s">
        <v>35</v>
      </c>
      <c r="F5" s="3">
        <v>400</v>
      </c>
      <c r="G5" s="10">
        <f>1-EXP(-((4*Параметры!$B$2/Параметры!$B$3*Параметры!$B$10*Параметры!$B$4)*(Параметры!$B$6*Параметры!$B$7/Параметры!$B$8*1E-24))*(F5*0.0000001)/SIN(RADIANS(Параметры!$B$9)))</f>
        <v>3.3689082791158453E-3</v>
      </c>
      <c r="H5" s="10">
        <f>1-EXP(-((4*Параметры!$B$2/Параметры!$B$3*Параметры!$B$10*Параметры!$B$5)*(Параметры!$B$6*Параметры!$B$7/Параметры!$B$8*1E-24))*(F5*0.0000001)/SIN(RADIANS(Параметры!$B$9)))</f>
        <v>1.5070960208982798E-2</v>
      </c>
    </row>
    <row r="6" spans="1:8" ht="15.75" x14ac:dyDescent="0.25">
      <c r="A6" s="9">
        <v>40</v>
      </c>
      <c r="B6" s="10">
        <f>1-EXP(-((4*Параметры!$B$2/Параметры!$B$3*Параметры!$B$10*Параметры!$B$4)*(Параметры!$B$6*Параметры!$B$7/Параметры!$B$8*1E-24))*(A6*0.0000001)/SIN(RADIANS(Параметры!$B$9)))</f>
        <v>3.3740264972859091E-4</v>
      </c>
      <c r="C6" s="10">
        <f>1-EXP(-((4*Параметры!$B$2/Параметры!$B$3*Параметры!$B$10*Параметры!$B$5)*(Параметры!$B$6*Параметры!$B$7/Параметры!$B$8*1E-24))*(A6*0.0000001)/SIN(RADIANS(Параметры!$B$9)))</f>
        <v>1.517415681497214E-3</v>
      </c>
    </row>
    <row r="7" spans="1:8" ht="15.75" x14ac:dyDescent="0.25">
      <c r="A7" s="9">
        <v>50</v>
      </c>
      <c r="B7" s="10">
        <f>1-EXP(-((4*Параметры!$B$2/Параметры!$B$3*Параметры!$B$10*Параметры!$B$4)*(Параметры!$B$6*Параметры!$B$7/Параметры!$B$8*1E-24))*(A7*0.0000001)/SIN(RADIANS(Параметры!$B$9)))</f>
        <v>4.2173552307445128E-4</v>
      </c>
      <c r="C7" s="10">
        <f>1-EXP(-((4*Параметры!$B$2/Параметры!$B$3*Параметры!$B$10*Параметры!$B$5)*(Параметры!$B$6*Параметры!$B$7/Параметры!$B$8*1E-24))*(A7*0.0000001)/SIN(RADIANS(Параметры!$B$9)))</f>
        <v>1.8964096918071549E-3</v>
      </c>
    </row>
    <row r="8" spans="1:8" ht="15.75" x14ac:dyDescent="0.25">
      <c r="A8" s="9">
        <v>60</v>
      </c>
      <c r="B8" s="10">
        <f>1-EXP(-((4*Параметры!$B$2/Параметры!$B$3*Параметры!$B$10*Параметры!$B$4)*(Параметры!$B$6*Параметры!$B$7/Параметры!$B$8*1E-24))*(A8*0.0000001)/SIN(RADIANS(Параметры!$B$9)))</f>
        <v>5.0606128198649181E-4</v>
      </c>
      <c r="C8" s="10">
        <f>1-EXP(-((4*Параметры!$B$2/Параметры!$B$3*Параметры!$B$10*Параметры!$B$5)*(Параметры!$B$6*Параметры!$B$7/Параметры!$B$8*1E-24))*(A8*0.0000001)/SIN(RADIANS(Параметры!$B$9)))</f>
        <v>2.2752598473697594E-3</v>
      </c>
    </row>
    <row r="9" spans="1:8" ht="15.75" x14ac:dyDescent="0.25">
      <c r="A9" s="9">
        <v>70</v>
      </c>
      <c r="B9" s="10">
        <f>1-EXP(-((4*Параметры!$B$2/Параметры!$B$3*Параметры!$B$10*Параметры!$B$4)*(Параметры!$B$6*Параметры!$B$7/Параметры!$B$8*1E-24))*(A9*0.0000001)/SIN(RADIANS(Параметры!$B$9)))</f>
        <v>5.9037992706456599E-4</v>
      </c>
      <c r="C9" s="10">
        <f>1-EXP(-((4*Параметры!$B$2/Параметры!$B$3*Параметры!$B$10*Параметры!$B$5)*(Параметры!$B$6*Параметры!$B$7/Параметры!$B$8*1E-24))*(A9*0.0000001)/SIN(RADIANS(Параметры!$B$9)))</f>
        <v>2.6539662027879052E-3</v>
      </c>
    </row>
    <row r="10" spans="1:8" ht="15.75" x14ac:dyDescent="0.25">
      <c r="A10" s="9">
        <v>80</v>
      </c>
      <c r="B10" s="10">
        <f>1-EXP(-((4*Параметры!$B$2/Параметры!$B$3*Параметры!$B$10*Параметры!$B$4)*(Параметры!$B$6*Параметры!$B$7/Параметры!$B$8*1E-24))*(A10*0.0000001)/SIN(RADIANS(Параметры!$B$9)))</f>
        <v>6.7469145890919346E-4</v>
      </c>
      <c r="C10" s="10">
        <f>1-EXP(-((4*Параметры!$B$2/Параметры!$B$3*Параметры!$B$10*Параметры!$B$5)*(Параметры!$B$6*Параметры!$B$7/Параметры!$B$8*1E-24))*(A10*0.0000001)/SIN(RADIANS(Параметры!$B$9)))</f>
        <v>3.0325288126440419E-3</v>
      </c>
    </row>
    <row r="11" spans="1:8" ht="15.75" x14ac:dyDescent="0.25">
      <c r="A11" s="9">
        <v>90</v>
      </c>
      <c r="B11" s="10">
        <f>1-EXP(-((4*Параметры!$B$2/Параметры!$B$3*Параметры!$B$10*Параметры!$B$4)*(Параметры!$B$6*Параметры!$B$7/Параметры!$B$8*1E-24))*(A11*0.0000001)/SIN(RADIANS(Параметры!$B$9)))</f>
        <v>7.5899587812011671E-4</v>
      </c>
      <c r="C11" s="10">
        <f>1-EXP(-((4*Параметры!$B$2/Параметры!$B$3*Параметры!$B$10*Параметры!$B$5)*(Параметры!$B$6*Параметры!$B$7/Параметры!$B$8*1E-24))*(A11*0.0000001)/SIN(RADIANS(Параметры!$B$9)))</f>
        <v>3.4109477314994141E-3</v>
      </c>
    </row>
    <row r="12" spans="1:8" ht="15.75" x14ac:dyDescent="0.25">
      <c r="A12" s="9">
        <v>100</v>
      </c>
      <c r="B12" s="10">
        <f>1-EXP(-((4*Параметры!$B$2/Параметры!$B$3*Параметры!$B$10*Параметры!$B$4)*(Параметры!$B$6*Параметры!$B$7/Параметры!$B$8*1E-24))*(A12*0.0000001)/SIN(RADIANS(Параметры!$B$9)))</f>
        <v>8.4329318529752229E-4</v>
      </c>
      <c r="C12" s="10">
        <f>1-EXP(-((4*Параметры!$B$2/Параметры!$B$3*Параметры!$B$10*Параметры!$B$5)*(Параметры!$B$6*Параметры!$B$7/Параметры!$B$8*1E-24))*(A12*0.0000001)/SIN(RADIANS(Параметры!$B$9)))</f>
        <v>3.78922301389506E-3</v>
      </c>
    </row>
    <row r="13" spans="1:8" ht="15.75" x14ac:dyDescent="0.25">
      <c r="A13" s="9">
        <v>110</v>
      </c>
      <c r="B13" s="10">
        <f>1-EXP(-((4*Параметры!$B$2/Параметры!$B$3*Параметры!$B$10*Параметры!$B$4)*(Параметры!$B$6*Параметры!$B$7/Параметры!$B$8*1E-24))*(A13*0.0000001)/SIN(RADIANS(Параметры!$B$9)))</f>
        <v>9.2758338104148574E-4</v>
      </c>
      <c r="C13" s="10">
        <f>1-EXP(-((4*Параметры!$B$2/Параметры!$B$3*Параметры!$B$10*Параметры!$B$5)*(Параметры!$B$6*Параметры!$B$7/Параметры!$B$8*1E-24))*(A13*0.0000001)/SIN(RADIANS(Параметры!$B$9)))</f>
        <v>4.1673547143509238E-3</v>
      </c>
    </row>
    <row r="14" spans="1:8" ht="15.75" x14ac:dyDescent="0.25">
      <c r="A14" s="9">
        <v>120</v>
      </c>
      <c r="B14" s="10">
        <f>1-EXP(-((4*Параметры!$B$2/Параметры!$B$3*Параметры!$B$10*Параметры!$B$4)*(Параметры!$B$6*Параметры!$B$7/Параметры!$B$8*1E-24))*(A14*0.0000001)/SIN(RADIANS(Параметры!$B$9)))</f>
        <v>1.0118664659517496E-3</v>
      </c>
      <c r="C14" s="10">
        <f>1-EXP(-((4*Параметры!$B$2/Параметры!$B$3*Параметры!$B$10*Параметры!$B$5)*(Параметры!$B$6*Параметры!$B$7/Параметры!$B$8*1E-24))*(A14*0.0000001)/SIN(RADIANS(Параметры!$B$9)))</f>
        <v>4.5453428873664103E-3</v>
      </c>
    </row>
    <row r="15" spans="1:8" ht="15.75" x14ac:dyDescent="0.25">
      <c r="A15" s="9">
        <v>130</v>
      </c>
      <c r="B15" s="10">
        <f>1-EXP(-((4*Параметры!$B$2/Параметры!$B$3*Параметры!$B$10*Параметры!$B$4)*(Параметры!$B$6*Параметры!$B$7/Параметры!$B$8*1E-24))*(A15*0.0000001)/SIN(RADIANS(Параметры!$B$9)))</f>
        <v>1.0961424406282783E-3</v>
      </c>
      <c r="C15" s="10">
        <f>1-EXP(-((4*Параметры!$B$2/Параметры!$B$3*Параметры!$B$10*Параметры!$B$5)*(Параметры!$B$6*Параметры!$B$7/Параметры!$B$8*1E-24))*(A15*0.0000001)/SIN(RADIANS(Параметры!$B$9)))</f>
        <v>4.9231875874201636E-3</v>
      </c>
    </row>
    <row r="16" spans="1:8" ht="15.75" x14ac:dyDescent="0.25">
      <c r="A16" s="9">
        <v>140</v>
      </c>
      <c r="B16" s="10">
        <f>1-EXP(-((4*Параметры!$B$2/Параметры!$B$3*Параметры!$B$10*Параметры!$B$4)*(Параметры!$B$6*Параметры!$B$7/Параметры!$B$8*1E-24))*(A16*0.0000001)/SIN(RADIANS(Параметры!$B$9)))</f>
        <v>1.1804113056709253E-3</v>
      </c>
      <c r="C16" s="10">
        <f>1-EXP(-((4*Параметры!$B$2/Параметры!$B$3*Параметры!$B$10*Параметры!$B$5)*(Параметры!$B$6*Параметры!$B$7/Параметры!$B$8*1E-24))*(A16*0.0000001)/SIN(RADIANS(Параметры!$B$9)))</f>
        <v>5.3008888689702882E-3</v>
      </c>
    </row>
    <row r="17" spans="1:3" ht="15.75" x14ac:dyDescent="0.25">
      <c r="A17" s="9">
        <v>150</v>
      </c>
      <c r="B17" s="10">
        <f>1-EXP(-((4*Параметры!$B$2/Параметры!$B$3*Параметры!$B$10*Параметры!$B$4)*(Параметры!$B$6*Параметры!$B$7/Параметры!$B$8*1E-24))*(A17*0.0000001)/SIN(RADIANS(Параметры!$B$9)))</f>
        <v>1.2646730616794333E-3</v>
      </c>
      <c r="C17" s="10">
        <f>1-EXP(-((4*Параметры!$B$2/Параметры!$B$3*Параметры!$B$10*Параметры!$B$5)*(Параметры!$B$6*Параметры!$B$7/Параметры!$B$8*1E-24))*(A17*0.0000001)/SIN(RADIANS(Параметры!$B$9)))</f>
        <v>5.6784467864542387E-3</v>
      </c>
    </row>
    <row r="18" spans="1:3" ht="15.75" x14ac:dyDescent="0.25">
      <c r="A18" s="9">
        <v>160</v>
      </c>
      <c r="B18" s="10">
        <f>1-EXP(-((4*Параметры!$B$2/Параметры!$B$3*Параметры!$B$10*Параметры!$B$4)*(Параметры!$B$6*Параметры!$B$7/Параметры!$B$8*1E-24))*(A18*0.0000001)/SIN(RADIANS(Параметры!$B$9)))</f>
        <v>1.3489277092535445E-3</v>
      </c>
      <c r="C18" s="10">
        <f>1-EXP(-((4*Параметры!$B$2/Параметры!$B$3*Параметры!$B$10*Параметры!$B$5)*(Параметры!$B$6*Параметры!$B$7/Параметры!$B$8*1E-24))*(A18*0.0000001)/SIN(RADIANS(Параметры!$B$9)))</f>
        <v>6.0558613942884865E-3</v>
      </c>
    </row>
    <row r="19" spans="1:3" ht="15.75" x14ac:dyDescent="0.25">
      <c r="A19" s="9">
        <v>170</v>
      </c>
      <c r="B19" s="10">
        <f>1-EXP(-((4*Параметры!$B$2/Параметры!$B$3*Параметры!$B$10*Параметры!$B$4)*(Параметры!$B$6*Параметры!$B$7/Параметры!$B$8*1E-24))*(A19*0.0000001)/SIN(RADIANS(Параметры!$B$9)))</f>
        <v>1.4331752489930016E-3</v>
      </c>
      <c r="C19" s="10">
        <f>1-EXP(-((4*Параметры!$B$2/Параметры!$B$3*Параметры!$B$10*Параметры!$B$5)*(Параметры!$B$6*Параметры!$B$7/Параметры!$B$8*1E-24))*(A19*0.0000001)/SIN(RADIANS(Параметры!$B$9)))</f>
        <v>6.4331327468692967E-3</v>
      </c>
    </row>
    <row r="20" spans="1:3" ht="15.75" x14ac:dyDescent="0.25">
      <c r="A20" s="9">
        <v>180</v>
      </c>
      <c r="B20" s="10">
        <f>1-EXP(-((4*Параметры!$B$2/Параметры!$B$3*Параметры!$B$10*Параметры!$B$4)*(Параметры!$B$6*Параметры!$B$7/Параметры!$B$8*1E-24))*(A20*0.0000001)/SIN(RADIANS(Параметры!$B$9)))</f>
        <v>1.517415681497214E-3</v>
      </c>
      <c r="C20" s="10">
        <f>1-EXP(-((4*Параметры!$B$2/Параметры!$B$3*Параметры!$B$10*Параметры!$B$5)*(Параметры!$B$6*Параметры!$B$7/Параметры!$B$8*1E-24))*(A20*0.0000001)/SIN(RADIANS(Параметры!$B$9)))</f>
        <v>6.8102608985719515E-3</v>
      </c>
    </row>
    <row r="21" spans="1:3" ht="15.75" x14ac:dyDescent="0.25">
      <c r="A21" s="9">
        <v>190</v>
      </c>
      <c r="B21" s="10">
        <f>1-EXP(-((4*Параметры!$B$2/Параметры!$B$3*Параметры!$B$10*Параметры!$B$4)*(Параметры!$B$6*Параметры!$B$7/Параметры!$B$8*1E-24))*(A21*0.0000001)/SIN(RADIANS(Параметры!$B$9)))</f>
        <v>1.601649007366035E-3</v>
      </c>
      <c r="C21" s="10">
        <f>1-EXP(-((4*Параметры!$B$2/Параметры!$B$3*Параметры!$B$10*Параметры!$B$5)*(Параметры!$B$6*Параметры!$B$7/Параметры!$B$8*1E-24))*(A21*0.0000001)/SIN(RADIANS(Параметры!$B$9)))</f>
        <v>7.1872459037510827E-3</v>
      </c>
    </row>
    <row r="22" spans="1:3" ht="15.75" x14ac:dyDescent="0.25">
      <c r="A22" s="9">
        <v>200</v>
      </c>
      <c r="B22" s="10">
        <f>1-EXP(-((4*Параметры!$B$2/Параметры!$B$3*Параметры!$B$10*Параметры!$B$4)*(Параметры!$B$6*Параметры!$B$7/Параметры!$B$8*1E-24))*(A22*0.0000001)/SIN(RADIANS(Параметры!$B$9)))</f>
        <v>1.6858752271987631E-3</v>
      </c>
      <c r="C22" s="10">
        <f>1-EXP(-((4*Параметры!$B$2/Параметры!$B$3*Параметры!$B$10*Параметры!$B$5)*(Параметры!$B$6*Параметры!$B$7/Параметры!$B$8*1E-24))*(A22*0.0000001)/SIN(RADIANS(Параметры!$B$9)))</f>
        <v>7.5640878167411163E-3</v>
      </c>
    </row>
    <row r="23" spans="1:3" ht="15.75" x14ac:dyDescent="0.25">
      <c r="A23" s="9">
        <v>210</v>
      </c>
      <c r="B23" s="10">
        <f>1-EXP(-((4*Параметры!$B$2/Параметры!$B$3*Параметры!$B$10*Параметры!$B$4)*(Параметры!$B$6*Параметры!$B$7/Параметры!$B$8*1E-24))*(A23*0.0000001)/SIN(RADIANS(Параметры!$B$9)))</f>
        <v>1.7700943415950299E-3</v>
      </c>
      <c r="C23" s="10">
        <f>1-EXP(-((4*Параметры!$B$2/Параметры!$B$3*Параметры!$B$10*Параметры!$B$5)*(Параметры!$B$6*Параметры!$B$7/Параметры!$B$8*1E-24))*(A23*0.0000001)/SIN(RADIANS(Параметры!$B$9)))</f>
        <v>7.9407866918552727E-3</v>
      </c>
    </row>
    <row r="24" spans="1:3" ht="15.75" x14ac:dyDescent="0.25">
      <c r="A24" s="9">
        <v>220</v>
      </c>
      <c r="B24" s="10">
        <f>1-EXP(-((4*Параметры!$B$2/Параметры!$B$3*Параметры!$B$10*Параметры!$B$4)*(Параметры!$B$6*Параметры!$B$7/Параметры!$B$8*1E-24))*(A24*0.0000001)/SIN(RADIANS(Параметры!$B$9)))</f>
        <v>1.8543063511541336E-3</v>
      </c>
      <c r="C24" s="10">
        <f>1-EXP(-((4*Параметры!$B$2/Параметры!$B$3*Параметры!$B$10*Параметры!$B$5)*(Параметры!$B$6*Параметры!$B$7/Параметры!$B$8*1E-24))*(A24*0.0000001)/SIN(RADIANS(Параметры!$B$9)))</f>
        <v>8.3173425833865666E-3</v>
      </c>
    </row>
    <row r="25" spans="1:3" ht="15.75" x14ac:dyDescent="0.25">
      <c r="A25" s="9">
        <v>230</v>
      </c>
      <c r="B25" s="10">
        <f>1-EXP(-((4*Параметры!$B$2/Параметры!$B$3*Параметры!$B$10*Параметры!$B$4)*(Параметры!$B$6*Параметры!$B$7/Параметры!$B$8*1E-24))*(A25*0.0000001)/SIN(RADIANS(Параметры!$B$9)))</f>
        <v>1.9385112564755946E-3</v>
      </c>
      <c r="C25" s="10">
        <f>1-EXP(-((4*Параметры!$B$2/Параметры!$B$3*Параметры!$B$10*Параметры!$B$5)*(Параметры!$B$6*Параметры!$B$7/Параметры!$B$8*1E-24))*(A25*0.0000001)/SIN(RADIANS(Параметры!$B$9)))</f>
        <v>8.6937555456072513E-3</v>
      </c>
    </row>
    <row r="26" spans="1:3" ht="15.75" x14ac:dyDescent="0.25">
      <c r="A26" s="9">
        <v>240</v>
      </c>
      <c r="B26" s="10">
        <f>1-EXP(-((4*Параметры!$B$2/Параметры!$B$3*Параметры!$B$10*Параметры!$B$4)*(Параметры!$B$6*Параметры!$B$7/Параметры!$B$8*1E-24))*(A26*0.0000001)/SIN(RADIANS(Параметры!$B$9)))</f>
        <v>2.0227090581586005E-3</v>
      </c>
      <c r="C26" s="10">
        <f>1-EXP(-((4*Параметры!$B$2/Параметры!$B$3*Параметры!$B$10*Параметры!$B$5)*(Параметры!$B$6*Параметры!$B$7/Параметры!$B$8*1E-24))*(A26*0.0000001)/SIN(RADIANS(Параметры!$B$9)))</f>
        <v>9.0700256327689299E-3</v>
      </c>
    </row>
    <row r="27" spans="1:3" ht="15.75" x14ac:dyDescent="0.25">
      <c r="A27" s="9">
        <v>250</v>
      </c>
      <c r="B27" s="10">
        <f>1-EXP(-((4*Параметры!$B$2/Параметры!$B$3*Параметры!$B$10*Параметры!$B$4)*(Параметры!$B$6*Параметры!$B$7/Параметры!$B$8*1E-24))*(A27*0.0000001)/SIN(RADIANS(Параметры!$B$9)))</f>
        <v>2.1068997568024495E-3</v>
      </c>
      <c r="C27" s="10">
        <f>1-EXP(-((4*Параметры!$B$2/Параметры!$B$3*Параметры!$B$10*Параметры!$B$5)*(Параметры!$B$6*Параметры!$B$7/Параметры!$B$8*1E-24))*(A27*0.0000001)/SIN(RADIANS(Параметры!$B$9)))</f>
        <v>9.4461528991028887E-3</v>
      </c>
    </row>
    <row r="28" spans="1:3" ht="15.75" x14ac:dyDescent="0.25">
      <c r="A28" s="9">
        <v>260</v>
      </c>
      <c r="B28" s="10">
        <f>1-EXP(-((4*Параметры!$B$2/Параметры!$B$3*Параметры!$B$10*Параметры!$B$4)*(Параметры!$B$6*Параметры!$B$7/Параметры!$B$8*1E-24))*(A28*0.0000001)/SIN(RADIANS(Параметры!$B$9)))</f>
        <v>2.19108335300644E-3</v>
      </c>
      <c r="C28" s="10">
        <f>1-EXP(-((4*Параметры!$B$2/Параметры!$B$3*Параметры!$B$10*Параметры!$B$5)*(Параметры!$B$6*Параметры!$B$7/Параметры!$B$8*1E-24))*(A28*0.0000001)/SIN(RADIANS(Параметры!$B$9)))</f>
        <v>9.8221373988194305E-3</v>
      </c>
    </row>
    <row r="29" spans="1:3" ht="15.75" x14ac:dyDescent="0.25">
      <c r="A29" s="9">
        <v>270</v>
      </c>
      <c r="B29" s="10">
        <f>1-EXP(-((4*Параметры!$B$2/Параметры!$B$3*Параметры!$B$10*Параметры!$B$4)*(Параметры!$B$6*Параметры!$B$7/Параметры!$B$8*1E-24))*(A29*0.0000001)/SIN(RADIANS(Параметры!$B$9)))</f>
        <v>2.2752598473697594E-3</v>
      </c>
      <c r="C29" s="10">
        <f>1-EXP(-((4*Параметры!$B$2/Параметры!$B$3*Параметры!$B$10*Параметры!$B$5)*(Параметры!$B$6*Параметры!$B$7/Параметры!$B$8*1E-24))*(A29*0.0000001)/SIN(RADIANS(Параметры!$B$9)))</f>
        <v>1.019797918610843E-2</v>
      </c>
    </row>
    <row r="30" spans="1:3" ht="15.75" x14ac:dyDescent="0.25">
      <c r="A30" s="9">
        <v>280</v>
      </c>
      <c r="B30" s="10">
        <f>1-EXP(-((4*Параметры!$B$2/Параметры!$B$3*Параметры!$B$10*Параметры!$B$4)*(Параметры!$B$6*Параметры!$B$7/Параметры!$B$8*1E-24))*(A30*0.0000001)/SIN(RADIANS(Параметры!$B$9)))</f>
        <v>2.359429240491373E-3</v>
      </c>
      <c r="C30" s="10">
        <f>1-EXP(-((4*Параметры!$B$2/Параметры!$B$3*Параметры!$B$10*Параметры!$B$5)*(Параметры!$B$6*Параметры!$B$7/Параметры!$B$8*1E-24))*(A30*0.0000001)/SIN(RADIANS(Параметры!$B$9)))</f>
        <v>1.0573678315139445E-2</v>
      </c>
    </row>
    <row r="31" spans="1:3" ht="15.75" x14ac:dyDescent="0.25">
      <c r="A31" s="9">
        <v>290</v>
      </c>
      <c r="B31" s="10">
        <f>1-EXP(-((4*Параметры!$B$2/Параметры!$B$3*Параметры!$B$10*Параметры!$B$4)*(Параметры!$B$6*Параметры!$B$7/Параметры!$B$8*1E-24))*(A31*0.0000001)/SIN(RADIANS(Параметры!$B$9)))</f>
        <v>2.4435915329704683E-3</v>
      </c>
      <c r="C31" s="10">
        <f>1-EXP(-((4*Параметры!$B$2/Параметры!$B$3*Параметры!$B$10*Параметры!$B$5)*(Параметры!$B$6*Параметры!$B$7/Параметры!$B$8*1E-24))*(A31*0.0000001)/SIN(RADIANS(Параметры!$B$9)))</f>
        <v>1.0949234840061162E-2</v>
      </c>
    </row>
    <row r="32" spans="1:3" ht="15.75" x14ac:dyDescent="0.25">
      <c r="A32" s="9">
        <v>300</v>
      </c>
      <c r="B32" s="10">
        <f>1-EXP(-((4*Параметры!$B$2/Параметры!$B$3*Параметры!$B$10*Параметры!$B$4)*(Параметры!$B$6*Параметры!$B$7/Параметры!$B$8*1E-24))*(A32*0.0000001)/SIN(RADIANS(Параметры!$B$9)))</f>
        <v>2.5277467254060104E-3</v>
      </c>
      <c r="C32" s="10">
        <f>1-EXP(-((4*Параметры!$B$2/Параметры!$B$3*Параметры!$B$10*Параметры!$B$5)*(Параметры!$B$6*Параметры!$B$7/Параметры!$B$8*1E-24))*(A32*0.0000001)/SIN(RADIANS(Параметры!$B$9)))</f>
        <v>1.1324648815001837E-2</v>
      </c>
    </row>
    <row r="33" spans="1:3" ht="15.75" x14ac:dyDescent="0.25">
      <c r="A33" s="9">
        <v>310</v>
      </c>
      <c r="B33" s="10">
        <f>1-EXP(-((4*Параметры!$B$2/Параметры!$B$3*Параметры!$B$10*Параметры!$B$4)*(Параметры!$B$6*Параметры!$B$7/Параметры!$B$8*1E-24))*(A33*0.0000001)/SIN(RADIANS(Параметры!$B$9)))</f>
        <v>2.6118948183969648E-3</v>
      </c>
      <c r="C33" s="10">
        <f>1-EXP(-((4*Параметры!$B$2/Параметры!$B$3*Параметры!$B$10*Параметры!$B$5)*(Параметры!$B$6*Параметры!$B$7/Параметры!$B$8*1E-24))*(A33*0.0000001)/SIN(RADIANS(Параметры!$B$9)))</f>
        <v>1.1699920294069077E-2</v>
      </c>
    </row>
    <row r="34" spans="1:3" ht="15.75" x14ac:dyDescent="0.25">
      <c r="A34" s="9">
        <v>320</v>
      </c>
      <c r="B34" s="10">
        <f>1-EXP(-((4*Параметры!$B$2/Параметры!$B$3*Параметры!$B$10*Параметры!$B$4)*(Параметры!$B$6*Параметры!$B$7/Параметры!$B$8*1E-24))*(A34*0.0000001)/SIN(RADIANS(Параметры!$B$9)))</f>
        <v>2.6960358125422967E-3</v>
      </c>
      <c r="C34" s="10">
        <f>1-EXP(-((4*Параметры!$B$2/Параметры!$B$3*Параметры!$B$10*Параметры!$B$5)*(Параметры!$B$6*Параметры!$B$7/Параметры!$B$8*1E-24))*(A34*0.0000001)/SIN(RADIANS(Параметры!$B$9)))</f>
        <v>1.2075049331350174E-2</v>
      </c>
    </row>
    <row r="35" spans="1:3" ht="15.75" x14ac:dyDescent="0.25">
      <c r="A35" s="9">
        <v>330</v>
      </c>
      <c r="B35" s="10">
        <f>1-EXP(-((4*Параметры!$B$2/Параметры!$B$3*Параметры!$B$10*Параметры!$B$4)*(Параметры!$B$6*Параметры!$B$7/Параметры!$B$8*1E-24))*(A35*0.0000001)/SIN(RADIANS(Параметры!$B$9)))</f>
        <v>2.7801697084409716E-3</v>
      </c>
      <c r="C35" s="10">
        <f>1-EXP(-((4*Параметры!$B$2/Параметры!$B$3*Параметры!$B$10*Параметры!$B$5)*(Параметры!$B$6*Параметры!$B$7/Параметры!$B$8*1E-24))*(A35*0.0000001)/SIN(RADIANS(Параметры!$B$9)))</f>
        <v>1.2450035980911656E-2</v>
      </c>
    </row>
    <row r="36" spans="1:3" ht="15.75" x14ac:dyDescent="0.25">
      <c r="A36" s="9">
        <v>340</v>
      </c>
      <c r="B36" s="10">
        <f>1-EXP(-((4*Параметры!$B$2/Параметры!$B$3*Параметры!$B$10*Параметры!$B$4)*(Параметры!$B$6*Параметры!$B$7/Параметры!$B$8*1E-24))*(A36*0.0000001)/SIN(RADIANS(Параметры!$B$9)))</f>
        <v>2.8642965066916215E-3</v>
      </c>
      <c r="C36" s="10">
        <f>1-EXP(-((4*Параметры!$B$2/Параметры!$B$3*Параметры!$B$10*Параметры!$B$5)*(Параметры!$B$6*Параметры!$B$7/Параметры!$B$8*1E-24))*(A36*0.0000001)/SIN(RADIANS(Параметры!$B$9)))</f>
        <v>1.2824880296799734E-2</v>
      </c>
    </row>
    <row r="37" spans="1:3" ht="15.75" x14ac:dyDescent="0.25">
      <c r="A37" s="9">
        <v>350</v>
      </c>
      <c r="B37" s="10">
        <f>1-EXP(-((4*Параметры!$B$2/Параметры!$B$3*Параметры!$B$10*Параметры!$B$4)*(Параметры!$B$6*Параметры!$B$7/Параметры!$B$8*1E-24))*(A37*0.0000001)/SIN(RADIANS(Параметры!$B$9)))</f>
        <v>2.9484162078929899E-3</v>
      </c>
      <c r="C37" s="10">
        <f>1-EXP(-((4*Параметры!$B$2/Параметры!$B$3*Параметры!$B$10*Параметры!$B$5)*(Параметры!$B$6*Параметры!$B$7/Параметры!$B$8*1E-24))*(A37*0.0000001)/SIN(RADIANS(Параметры!$B$9)))</f>
        <v>1.3199582333039861E-2</v>
      </c>
    </row>
    <row r="38" spans="1:3" ht="15.75" x14ac:dyDescent="0.25">
      <c r="A38" s="9">
        <v>360</v>
      </c>
      <c r="B38" s="10">
        <f>1-EXP(-((4*Параметры!$B$2/Параметры!$B$3*Параметры!$B$10*Параметры!$B$4)*(Параметры!$B$6*Параметры!$B$7/Параметры!$B$8*1E-24))*(A38*0.0000001)/SIN(RADIANS(Параметры!$B$9)))</f>
        <v>3.0325288126440419E-3</v>
      </c>
      <c r="C38" s="10">
        <f>1-EXP(-((4*Параметры!$B$2/Параметры!$B$3*Параметры!$B$10*Параметры!$B$5)*(Параметры!$B$6*Параметры!$B$7/Параметры!$B$8*1E-24))*(A38*0.0000001)/SIN(RADIANS(Параметры!$B$9)))</f>
        <v>1.3574142143637169E-2</v>
      </c>
    </row>
    <row r="39" spans="1:3" ht="15.75" x14ac:dyDescent="0.25">
      <c r="A39" s="9">
        <v>370</v>
      </c>
      <c r="B39" s="10">
        <f>1-EXP(-((4*Параметры!$B$2/Параметры!$B$3*Параметры!$B$10*Параметры!$B$4)*(Параметры!$B$6*Параметры!$B$7/Параметры!$B$8*1E-24))*(A39*0.0000001)/SIN(RADIANS(Параметры!$B$9)))</f>
        <v>3.116634321543188E-3</v>
      </c>
      <c r="C39" s="10">
        <f>1-EXP(-((4*Параметры!$B$2/Параметры!$B$3*Параметры!$B$10*Параметры!$B$5)*(Параметры!$B$6*Параметры!$B$7/Параметры!$B$8*1E-24))*(A39*0.0000001)/SIN(RADIANS(Параметры!$B$9)))</f>
        <v>1.3948559782576253E-2</v>
      </c>
    </row>
    <row r="40" spans="1:3" ht="15.75" x14ac:dyDescent="0.25">
      <c r="A40" s="9">
        <v>380</v>
      </c>
      <c r="B40" s="10">
        <f>1-EXP(-((4*Параметры!$B$2/Параметры!$B$3*Параметры!$B$10*Параметры!$B$4)*(Параметры!$B$6*Параметры!$B$7/Параметры!$B$8*1E-24))*(A40*0.0000001)/SIN(RADIANS(Параметры!$B$9)))</f>
        <v>3.2007327351891712E-3</v>
      </c>
      <c r="C40" s="10">
        <f>1-EXP(-((4*Параметры!$B$2/Параметры!$B$3*Параметры!$B$10*Параметры!$B$5)*(Параметры!$B$6*Параметры!$B$7/Параметры!$B$8*1E-24))*(A40*0.0000001)/SIN(RADIANS(Параметры!$B$9)))</f>
        <v>1.432283530382128E-2</v>
      </c>
    </row>
    <row r="41" spans="1:3" ht="15.75" x14ac:dyDescent="0.25">
      <c r="A41" s="9">
        <v>390</v>
      </c>
      <c r="B41" s="10">
        <f>1-EXP(-((4*Параметры!$B$2/Параметры!$B$3*Параметры!$B$10*Параметры!$B$4)*(Параметры!$B$6*Параметры!$B$7/Параметры!$B$8*1E-24))*(A41*0.0000001)/SIN(RADIANS(Параметры!$B$9)))</f>
        <v>3.284824054180624E-3</v>
      </c>
      <c r="C41" s="10">
        <f>1-EXP(-((4*Параметры!$B$2/Параметры!$B$3*Параметры!$B$10*Параметры!$B$5)*(Параметры!$B$6*Параметры!$B$7/Параметры!$B$8*1E-24))*(A41*0.0000001)/SIN(RADIANS(Параметры!$B$9)))</f>
        <v>1.4696968761315765E-2</v>
      </c>
    </row>
    <row r="42" spans="1:3" ht="15.75" x14ac:dyDescent="0.25">
      <c r="A42" s="9">
        <v>400</v>
      </c>
      <c r="B42" s="10">
        <f>1-EXP(-((4*Параметры!$B$2/Параметры!$B$3*Параметры!$B$10*Параметры!$B$4)*(Параметры!$B$6*Параметры!$B$7/Параметры!$B$8*1E-24))*(A42*0.0000001)/SIN(RADIANS(Параметры!$B$9)))</f>
        <v>3.3689082791158453E-3</v>
      </c>
      <c r="C42" s="10">
        <f>1-EXP(-((4*Параметры!$B$2/Параметры!$B$3*Параметры!$B$10*Параметры!$B$5)*(Параметры!$B$6*Параметры!$B$7/Параметры!$B$8*1E-24))*(A42*0.0000001)/SIN(RADIANS(Параметры!$B$9)))</f>
        <v>1.5070960208982798E-2</v>
      </c>
    </row>
    <row r="43" spans="1:3" ht="15.75" x14ac:dyDescent="0.25">
      <c r="A43" s="9">
        <v>410</v>
      </c>
      <c r="B43" s="10">
        <f>1-EXP(-((4*Параметры!$B$2/Параметры!$B$3*Параметры!$B$10*Параметры!$B$4)*(Параметры!$B$6*Параметры!$B$7/Параметры!$B$8*1E-24))*(A43*0.0000001)/SIN(RADIANS(Параметры!$B$9)))</f>
        <v>3.4529854105934676E-3</v>
      </c>
      <c r="C43" s="10">
        <f>1-EXP(-((4*Параметры!$B$2/Параметры!$B$3*Параметры!$B$10*Параметры!$B$5)*(Параметры!$B$6*Параметры!$B$7/Параметры!$B$8*1E-24))*(A43*0.0000001)/SIN(RADIANS(Параметры!$B$9)))</f>
        <v>1.5444809700725148E-2</v>
      </c>
    </row>
    <row r="44" spans="1:3" ht="15.75" x14ac:dyDescent="0.25">
      <c r="A44" s="9">
        <v>420</v>
      </c>
      <c r="B44" s="10">
        <f>1-EXP(-((4*Параметры!$B$2/Параметры!$B$3*Параметры!$B$10*Параметры!$B$4)*(Параметры!$B$6*Параметры!$B$7/Параметры!$B$8*1E-24))*(A44*0.0000001)/SIN(RADIANS(Параметры!$B$9)))</f>
        <v>3.5370554492119011E-3</v>
      </c>
      <c r="C44" s="10">
        <f>1-EXP(-((4*Параметры!$B$2/Параметры!$B$3*Параметры!$B$10*Параметры!$B$5)*(Параметры!$B$6*Параметры!$B$7/Параметры!$B$8*1E-24))*(A44*0.0000001)/SIN(RADIANS(Параметры!$B$9)))</f>
        <v>1.5818517290425049E-2</v>
      </c>
    </row>
    <row r="45" spans="1:3" ht="15.75" x14ac:dyDescent="0.25">
      <c r="A45" s="9">
        <v>430</v>
      </c>
      <c r="B45" s="10">
        <f>1-EXP(-((4*Параметры!$B$2/Параметры!$B$3*Параметры!$B$10*Параметры!$B$4)*(Параметры!$B$6*Параметры!$B$7/Параметры!$B$8*1E-24))*(A45*0.0000001)/SIN(RADIANS(Параметры!$B$9)))</f>
        <v>3.6211183955694448E-3</v>
      </c>
      <c r="C45" s="10">
        <f>1-EXP(-((4*Параметры!$B$2/Параметры!$B$3*Параметры!$B$10*Параметры!$B$5)*(Параметры!$B$6*Параметры!$B$7/Параметры!$B$8*1E-24))*(A45*0.0000001)/SIN(RADIANS(Параметры!$B$9)))</f>
        <v>1.6192083031944082E-2</v>
      </c>
    </row>
    <row r="46" spans="1:3" ht="15.75" x14ac:dyDescent="0.25">
      <c r="A46" s="9">
        <v>440</v>
      </c>
      <c r="B46" s="10">
        <f>1-EXP(-((4*Параметры!$B$2/Параметры!$B$3*Параметры!$B$10*Параметры!$B$4)*(Параметры!$B$6*Параметры!$B$7/Параметры!$B$8*1E-24))*(A46*0.0000001)/SIN(RADIANS(Параметры!$B$9)))</f>
        <v>3.7051742502643981E-3</v>
      </c>
      <c r="C46" s="10">
        <f>1-EXP(-((4*Параметры!$B$2/Параметры!$B$3*Параметры!$B$10*Параметры!$B$5)*(Параметры!$B$6*Параметры!$B$7/Параметры!$B$8*1E-24))*(A46*0.0000001)/SIN(RADIANS(Параметры!$B$9)))</f>
        <v>1.6565506979123734E-2</v>
      </c>
    </row>
    <row r="47" spans="1:3" ht="15.75" x14ac:dyDescent="0.25">
      <c r="A47" s="9">
        <v>450</v>
      </c>
      <c r="B47" s="10">
        <f>1-EXP(-((4*Параметры!$B$2/Параметры!$B$3*Параметры!$B$10*Параметры!$B$4)*(Параметры!$B$6*Параметры!$B$7/Параметры!$B$8*1E-24))*(A47*0.0000001)/SIN(RADIANS(Параметры!$B$9)))</f>
        <v>3.78922301389506E-3</v>
      </c>
      <c r="C47" s="10">
        <f>1-EXP(-((4*Параметры!$B$2/Параметры!$B$3*Параметры!$B$10*Параметры!$B$5)*(Параметры!$B$6*Параметры!$B$7/Параметры!$B$8*1E-24))*(A47*0.0000001)/SIN(RADIANS(Параметры!$B$9)))</f>
        <v>1.6938789185784731E-2</v>
      </c>
    </row>
    <row r="48" spans="1:3" ht="15.75" x14ac:dyDescent="0.25">
      <c r="A48" s="9">
        <v>460</v>
      </c>
      <c r="B48" s="10">
        <f>1-EXP(-((4*Параметры!$B$2/Параметры!$B$3*Параметры!$B$10*Параметры!$B$4)*(Параметры!$B$6*Параметры!$B$7/Параметры!$B$8*1E-24))*(A48*0.0000001)/SIN(RADIANS(Параметры!$B$9)))</f>
        <v>3.8732646870596188E-3</v>
      </c>
      <c r="C48" s="10">
        <f>1-EXP(-((4*Параметры!$B$2/Параметры!$B$3*Параметры!$B$10*Параметры!$B$5)*(Параметры!$B$6*Параметры!$B$7/Параметры!$B$8*1E-24))*(A48*0.0000001)/SIN(RADIANS(Параметры!$B$9)))</f>
        <v>1.7311929705727702E-2</v>
      </c>
    </row>
    <row r="49" spans="1:3" ht="15.75" x14ac:dyDescent="0.25">
      <c r="A49" s="9">
        <v>470</v>
      </c>
      <c r="B49" s="10">
        <f>1-EXP(-((4*Параметры!$B$2/Параметры!$B$3*Параметры!$B$10*Параметры!$B$4)*(Параметры!$B$6*Параметры!$B$7/Параметры!$B$8*1E-24))*(A49*0.0000001)/SIN(RADIANS(Параметры!$B$9)))</f>
        <v>3.9572992703563736E-3</v>
      </c>
      <c r="C49" s="10">
        <f>1-EXP(-((4*Параметры!$B$2/Параметры!$B$3*Параметры!$B$10*Параметры!$B$5)*(Параметры!$B$6*Параметры!$B$7/Параметры!$B$8*1E-24))*(A49*0.0000001)/SIN(RADIANS(Параметры!$B$9)))</f>
        <v>1.7684928592732518E-2</v>
      </c>
    </row>
    <row r="50" spans="1:3" ht="15.75" x14ac:dyDescent="0.25">
      <c r="A50" s="9">
        <v>480</v>
      </c>
      <c r="B50" s="10">
        <f>1-EXP(-((4*Параметры!$B$2/Параметры!$B$3*Параметры!$B$10*Параметры!$B$4)*(Параметры!$B$6*Параметры!$B$7/Параметры!$B$8*1E-24))*(A50*0.0000001)/SIN(RADIANS(Параметры!$B$9)))</f>
        <v>4.0413267643831796E-3</v>
      </c>
      <c r="C50" s="10">
        <f>1-EXP(-((4*Параметры!$B$2/Параметры!$B$3*Параметры!$B$10*Параметры!$B$5)*(Параметры!$B$6*Параметры!$B$7/Параметры!$B$8*1E-24))*(A50*0.0000001)/SIN(RADIANS(Параметры!$B$9)))</f>
        <v>1.8057785900558843E-2</v>
      </c>
    </row>
    <row r="51" spans="1:3" ht="15.75" x14ac:dyDescent="0.25">
      <c r="A51" s="9">
        <v>490</v>
      </c>
      <c r="B51" s="10">
        <f>1-EXP(-((4*Параметры!$B$2/Параметры!$B$3*Параметры!$B$10*Параметры!$B$4)*(Параметры!$B$6*Параметры!$B$7/Параметры!$B$8*1E-24))*(A51*0.0000001)/SIN(RADIANS(Параметры!$B$9)))</f>
        <v>4.1253471697383359E-3</v>
      </c>
      <c r="C51" s="10">
        <f>1-EXP(-((4*Параметры!$B$2/Параметры!$B$3*Параметры!$B$10*Параметры!$B$5)*(Параметры!$B$6*Параметры!$B$7/Параметры!$B$8*1E-24))*(A51*0.0000001)/SIN(RADIANS(Параметры!$B$9)))</f>
        <v>1.843050168294591E-2</v>
      </c>
    </row>
    <row r="52" spans="1:3" ht="15.75" x14ac:dyDescent="0.25">
      <c r="A52" s="9">
        <v>500</v>
      </c>
      <c r="B52" s="10">
        <f>1-EXP(-((4*Параметры!$B$2/Параметры!$B$3*Параметры!$B$10*Параметры!$B$4)*(Параметры!$B$6*Параметры!$B$7/Параметры!$B$8*1E-24))*(A52*0.0000001)/SIN(RADIANS(Параметры!$B$9)))</f>
        <v>4.2093604870196977E-3</v>
      </c>
      <c r="C52" s="10">
        <f>1-EXP(-((4*Параметры!$B$2/Параметры!$B$3*Параметры!$B$10*Параметры!$B$5)*(Параметры!$B$6*Параметры!$B$7/Параметры!$B$8*1E-24))*(A52*0.0000001)/SIN(RADIANS(Параметры!$B$9)))</f>
        <v>1.8803075993612528E-2</v>
      </c>
    </row>
    <row r="53" spans="1:3" ht="15.75" x14ac:dyDescent="0.25">
      <c r="A53" s="9">
        <v>510</v>
      </c>
      <c r="B53" s="10">
        <f>1-EXP(-((4*Параметры!$B$2/Параметры!$B$3*Параметры!$B$10*Параметры!$B$4)*(Параметры!$B$6*Параметры!$B$7/Параметры!$B$8*1E-24))*(A53*0.0000001)/SIN(RADIANS(Параметры!$B$9)))</f>
        <v>4.293366716825342E-3</v>
      </c>
      <c r="C53" s="10">
        <f>1-EXP(-((4*Параметры!$B$2/Параметры!$B$3*Параметры!$B$10*Параметры!$B$5)*(Параметры!$B$6*Параметры!$B$7/Параметры!$B$8*1E-24))*(A53*0.0000001)/SIN(RADIANS(Параметры!$B$9)))</f>
        <v>1.9175508886256964E-2</v>
      </c>
    </row>
    <row r="54" spans="1:3" ht="15.75" x14ac:dyDescent="0.25">
      <c r="A54" s="9">
        <v>520</v>
      </c>
      <c r="B54" s="10">
        <f>1-EXP(-((4*Параметры!$B$2/Параметры!$B$3*Параметры!$B$10*Параметры!$B$4)*(Параметры!$B$6*Параметры!$B$7/Параметры!$B$8*1E-24))*(A54*0.0000001)/SIN(RADIANS(Параметры!$B$9)))</f>
        <v>4.377365859753124E-3</v>
      </c>
      <c r="C54" s="10">
        <f>1-EXP(-((4*Параметры!$B$2/Параметры!$B$3*Параметры!$B$10*Параметры!$B$5)*(Параметры!$B$6*Параметры!$B$7/Параметры!$B$8*1E-24))*(A54*0.0000001)/SIN(RADIANS(Параметры!$B$9)))</f>
        <v>1.9547800414557504E-2</v>
      </c>
    </row>
    <row r="55" spans="1:3" ht="15.75" x14ac:dyDescent="0.25">
      <c r="A55" s="9">
        <v>530</v>
      </c>
      <c r="B55" s="10">
        <f>1-EXP(-((4*Параметры!$B$2/Параметры!$B$3*Параметры!$B$10*Параметры!$B$4)*(Параметры!$B$6*Параметры!$B$7/Параметры!$B$8*1E-24))*(A55*0.0000001)/SIN(RADIANS(Параметры!$B$9)))</f>
        <v>4.4613579164007877E-3</v>
      </c>
      <c r="C55" s="10">
        <f>1-EXP(-((4*Параметры!$B$2/Параметры!$B$3*Параметры!$B$10*Параметры!$B$5)*(Параметры!$B$6*Параметры!$B$7/Параметры!$B$8*1E-24))*(A55*0.0000001)/SIN(RADIANS(Параметры!$B$9)))</f>
        <v>1.9919950632171557E-2</v>
      </c>
    </row>
    <row r="56" spans="1:3" ht="15.75" x14ac:dyDescent="0.25">
      <c r="A56" s="9">
        <v>540</v>
      </c>
      <c r="B56" s="10">
        <f>1-EXP(-((4*Параметры!$B$2/Параметры!$B$3*Параметры!$B$10*Параметры!$B$4)*(Параметры!$B$6*Параметры!$B$7/Параметры!$B$8*1E-24))*(A56*0.0000001)/SIN(RADIANS(Параметры!$B$9)))</f>
        <v>4.5453428873664103E-3</v>
      </c>
      <c r="C56" s="10">
        <f>1-EXP(-((4*Параметры!$B$2/Параметры!$B$3*Параметры!$B$10*Параметры!$B$5)*(Параметры!$B$6*Параметры!$B$7/Параметры!$B$8*1E-24))*(A56*0.0000001)/SIN(RADIANS(Параметры!$B$9)))</f>
        <v>2.0291959592736664E-2</v>
      </c>
    </row>
    <row r="57" spans="1:3" ht="15.75" x14ac:dyDescent="0.25">
      <c r="A57" s="9">
        <v>550</v>
      </c>
      <c r="B57" s="10">
        <f>1-EXP(-((4*Параметры!$B$2/Параметры!$B$3*Параметры!$B$10*Параметры!$B$4)*(Параметры!$B$6*Параметры!$B$7/Параметры!$B$8*1E-24))*(A57*0.0000001)/SIN(RADIANS(Параметры!$B$9)))</f>
        <v>4.6293207732474029E-3</v>
      </c>
      <c r="C57" s="10">
        <f>1-EXP(-((4*Параметры!$B$2/Параметры!$B$3*Параметры!$B$10*Параметры!$B$5)*(Параметры!$B$6*Параметры!$B$7/Параметры!$B$8*1E-24))*(A57*0.0000001)/SIN(RADIANS(Параметры!$B$9)))</f>
        <v>2.066382734986949E-2</v>
      </c>
    </row>
    <row r="58" spans="1:3" ht="15.75" x14ac:dyDescent="0.25">
      <c r="A58" s="9">
        <v>560</v>
      </c>
      <c r="B58" s="10">
        <f>1-EXP(-((4*Параметры!$B$2/Параметры!$B$3*Параметры!$B$10*Параметры!$B$4)*(Параметры!$B$6*Параметры!$B$7/Параметры!$B$8*1E-24))*(A58*0.0000001)/SIN(RADIANS(Параметры!$B$9)))</f>
        <v>4.7132915746417314E-3</v>
      </c>
      <c r="C58" s="10">
        <f>1-EXP(-((4*Параметры!$B$2/Параметры!$B$3*Параметры!$B$10*Параметры!$B$5)*(Параметры!$B$6*Параметры!$B$7/Параметры!$B$8*1E-24))*(A58*0.0000001)/SIN(RADIANS(Параметры!$B$9)))</f>
        <v>2.1035553957166941E-2</v>
      </c>
    </row>
    <row r="59" spans="1:3" ht="15.75" x14ac:dyDescent="0.25">
      <c r="A59" s="9">
        <v>570</v>
      </c>
      <c r="B59" s="10">
        <f>1-EXP(-((4*Параметры!$B$2/Параметры!$B$3*Параметры!$B$10*Параметры!$B$4)*(Параметры!$B$6*Параметры!$B$7/Параметры!$B$8*1E-24))*(A59*0.0000001)/SIN(RADIANS(Параметры!$B$9)))</f>
        <v>4.7972552921470291E-3</v>
      </c>
      <c r="C59" s="10">
        <f>1-EXP(-((4*Параметры!$B$2/Параметры!$B$3*Параметры!$B$10*Параметры!$B$5)*(Параметры!$B$6*Параметры!$B$7/Параметры!$B$8*1E-24))*(A59*0.0000001)/SIN(RADIANS(Параметры!$B$9)))</f>
        <v>2.1407139468204939E-2</v>
      </c>
    </row>
    <row r="60" spans="1:3" ht="15.75" x14ac:dyDescent="0.25">
      <c r="A60" s="9">
        <v>580</v>
      </c>
      <c r="B60" s="10">
        <f>1-EXP(-((4*Параметры!$B$2/Параметры!$B$3*Параметры!$B$10*Параметры!$B$4)*(Параметры!$B$6*Параметры!$B$7/Параметры!$B$8*1E-24))*(A60*0.0000001)/SIN(RADIANS(Параметры!$B$9)))</f>
        <v>4.8812119263608178E-3</v>
      </c>
      <c r="C60" s="10">
        <f>1-EXP(-((4*Параметры!$B$2/Параметры!$B$3*Параметры!$B$10*Параметры!$B$5)*(Параметры!$B$6*Параметры!$B$7/Параметры!$B$8*1E-24))*(A60*0.0000001)/SIN(RADIANS(Параметры!$B$9)))</f>
        <v>2.1778583936539531E-2</v>
      </c>
    </row>
    <row r="61" spans="1:3" ht="15.75" x14ac:dyDescent="0.25">
      <c r="A61" s="9">
        <v>590</v>
      </c>
      <c r="B61" s="10">
        <f>1-EXP(-((4*Параметры!$B$2/Параметры!$B$3*Параметры!$B$10*Параметры!$B$4)*(Параметры!$B$6*Параметры!$B$7/Параметры!$B$8*1E-24))*(A61*0.0000001)/SIN(RADIANS(Параметры!$B$9)))</f>
        <v>4.9651614778807307E-3</v>
      </c>
      <c r="C61" s="10">
        <f>1-EXP(-((4*Параметры!$B$2/Параметры!$B$3*Параметры!$B$10*Параметры!$B$5)*(Параметры!$B$6*Параметры!$B$7/Параметры!$B$8*1E-24))*(A61*0.0000001)/SIN(RADIANS(Параметры!$B$9)))</f>
        <v>2.2149887415706337E-2</v>
      </c>
    </row>
    <row r="62" spans="1:3" ht="15.75" x14ac:dyDescent="0.25">
      <c r="A62" s="9">
        <v>600</v>
      </c>
      <c r="B62" s="10">
        <f>1-EXP(-((4*Параметры!$B$2/Параметры!$B$3*Параметры!$B$10*Параметры!$B$4)*(Параметры!$B$6*Параметры!$B$7/Параметры!$B$8*1E-24))*(A62*0.0000001)/SIN(RADIANS(Параметры!$B$9)))</f>
        <v>5.0491039473041788E-3</v>
      </c>
      <c r="C62" s="10">
        <f>1-EXP(-((4*Параметры!$B$2/Параметры!$B$3*Параметры!$B$10*Параметры!$B$5)*(Параметры!$B$6*Параметры!$B$7/Параметры!$B$8*1E-24))*(A62*0.0000001)/SIN(RADIANS(Параметры!$B$9)))</f>
        <v>2.2521049959220552E-2</v>
      </c>
    </row>
    <row r="63" spans="1:3" ht="15.75" x14ac:dyDescent="0.25">
      <c r="A63" s="9">
        <v>610</v>
      </c>
      <c r="B63" s="10">
        <f>1-EXP(-((4*Параметры!$B$2/Параметры!$B$3*Параметры!$B$10*Параметры!$B$4)*(Параметры!$B$6*Параметры!$B$7/Параметры!$B$8*1E-24))*(A63*0.0000001)/SIN(RADIANS(Параметры!$B$9)))</f>
        <v>5.1330393352286841E-3</v>
      </c>
      <c r="C63" s="10">
        <f>1-EXP(-((4*Параметры!$B$2/Параметры!$B$3*Параметры!$B$10*Параметры!$B$5)*(Параметры!$B$6*Параметры!$B$7/Параметры!$B$8*1E-24))*(A63*0.0000001)/SIN(RADIANS(Параметры!$B$9)))</f>
        <v>2.2892071620577159E-2</v>
      </c>
    </row>
    <row r="64" spans="1:3" ht="15.75" x14ac:dyDescent="0.25">
      <c r="A64" s="9">
        <v>620</v>
      </c>
      <c r="B64" s="10">
        <f>1-EXP(-((4*Параметры!$B$2/Параметры!$B$3*Параметры!$B$10*Параметры!$B$4)*(Параметры!$B$6*Параметры!$B$7/Параметры!$B$8*1E-24))*(A64*0.0000001)/SIN(RADIANS(Параметры!$B$9)))</f>
        <v>5.2169676422515465E-3</v>
      </c>
      <c r="C64" s="10">
        <f>1-EXP(-((4*Параметры!$B$2/Параметры!$B$3*Параметры!$B$10*Параметры!$B$5)*(Параметры!$B$6*Параметры!$B$7/Параметры!$B$8*1E-24))*(A64*0.0000001)/SIN(RADIANS(Параметры!$B$9)))</f>
        <v>2.3262952453250718E-2</v>
      </c>
    </row>
    <row r="65" spans="1:3" ht="15.75" x14ac:dyDescent="0.25">
      <c r="A65" s="9">
        <v>630</v>
      </c>
      <c r="B65" s="10">
        <f>1-EXP(-((4*Параметры!$B$2/Параметры!$B$3*Параметры!$B$10*Параметры!$B$4)*(Параметры!$B$6*Параметры!$B$7/Параметры!$B$8*1E-24))*(A65*0.0000001)/SIN(RADIANS(Параметры!$B$9)))</f>
        <v>5.3008888689702882E-3</v>
      </c>
      <c r="C65" s="10">
        <f>1-EXP(-((4*Параметры!$B$2/Параметры!$B$3*Параметры!$B$10*Параметры!$B$5)*(Параметры!$B$6*Параметры!$B$7/Параметры!$B$8*1E-24))*(A65*0.0000001)/SIN(RADIANS(Параметры!$B$9)))</f>
        <v>2.3633692510695581E-2</v>
      </c>
    </row>
    <row r="66" spans="1:3" ht="15.75" x14ac:dyDescent="0.25">
      <c r="A66" s="9">
        <v>640</v>
      </c>
      <c r="B66" s="10">
        <f>1-EXP(-((4*Параметры!$B$2/Параметры!$B$3*Параметры!$B$10*Параметры!$B$4)*(Параметры!$B$6*Параметры!$B$7/Параметры!$B$8*1E-24))*(A66*0.0000001)/SIN(RADIANS(Параметры!$B$9)))</f>
        <v>5.3848030159822091E-3</v>
      </c>
      <c r="C66" s="10">
        <f>1-EXP(-((4*Параметры!$B$2/Параметры!$B$3*Параметры!$B$10*Параметры!$B$5)*(Параметры!$B$6*Параметры!$B$7/Параметры!$B$8*1E-24))*(A66*0.0000001)/SIN(RADIANS(Параметры!$B$9)))</f>
        <v>2.4004291846345893E-2</v>
      </c>
    </row>
    <row r="67" spans="1:3" ht="15.75" x14ac:dyDescent="0.25">
      <c r="A67" s="9">
        <v>650</v>
      </c>
      <c r="B67" s="10">
        <f>1-EXP(-((4*Параметры!$B$2/Параметры!$B$3*Параметры!$B$10*Параметры!$B$4)*(Параметры!$B$6*Параметры!$B$7/Параметры!$B$8*1E-24))*(A67*0.0000001)/SIN(RADIANS(Параметры!$B$9)))</f>
        <v>5.4687100838843872E-3</v>
      </c>
      <c r="C67" s="10">
        <f>1-EXP(-((4*Параметры!$B$2/Параметры!$B$3*Параметры!$B$10*Параметры!$B$5)*(Параметры!$B$6*Параметры!$B$7/Параметры!$B$8*1E-24))*(A67*0.0000001)/SIN(RADIANS(Параметры!$B$9)))</f>
        <v>2.4374750513615373E-2</v>
      </c>
    </row>
    <row r="68" spans="1:3" ht="15.75" x14ac:dyDescent="0.25">
      <c r="A68" s="9">
        <v>660</v>
      </c>
      <c r="B68" s="10">
        <f>1-EXP(-((4*Параметры!$B$2/Параметры!$B$3*Параметры!$B$10*Параметры!$B$4)*(Параметры!$B$6*Параметры!$B$7/Параметры!$B$8*1E-24))*(A68*0.0000001)/SIN(RADIANS(Параметры!$B$9)))</f>
        <v>5.5526100732741224E-3</v>
      </c>
      <c r="C68" s="10">
        <f>1-EXP(-((4*Параметры!$B$2/Параметры!$B$3*Параметры!$B$10*Параметры!$B$5)*(Параметры!$B$6*Параметры!$B$7/Параметры!$B$8*1E-24))*(A68*0.0000001)/SIN(RADIANS(Параметры!$B$9)))</f>
        <v>2.4745068565897421E-2</v>
      </c>
    </row>
    <row r="69" spans="1:3" ht="15.75" x14ac:dyDescent="0.25">
      <c r="A69" s="9">
        <v>670</v>
      </c>
      <c r="B69" s="10">
        <f>1-EXP(-((4*Параметры!$B$2/Параметры!$B$3*Параметры!$B$10*Параметры!$B$4)*(Параметры!$B$6*Параметры!$B$7/Параметры!$B$8*1E-24))*(A69*0.0000001)/SIN(RADIANS(Параметры!$B$9)))</f>
        <v>5.6365029847486037E-3</v>
      </c>
      <c r="C69" s="10">
        <f>1-EXP(-((4*Параметры!$B$2/Параметры!$B$3*Параметры!$B$10*Параметры!$B$5)*(Параметры!$B$6*Параметры!$B$7/Параметры!$B$8*1E-24))*(A69*0.0000001)/SIN(RADIANS(Параметры!$B$9)))</f>
        <v>2.5115246056565455E-2</v>
      </c>
    </row>
    <row r="70" spans="1:3" ht="15.75" x14ac:dyDescent="0.25">
      <c r="A70" s="9">
        <v>680</v>
      </c>
      <c r="B70" s="10">
        <f>1-EXP(-((4*Параметры!$B$2/Параметры!$B$3*Параметры!$B$10*Параметры!$B$4)*(Параметры!$B$6*Параметры!$B$7/Параметры!$B$8*1E-24))*(A70*0.0000001)/SIN(RADIANS(Параметры!$B$9)))</f>
        <v>5.720388818904909E-3</v>
      </c>
      <c r="C70" s="10">
        <f>1-EXP(-((4*Параметры!$B$2/Параметры!$B$3*Параметры!$B$10*Параметры!$B$5)*(Параметры!$B$6*Параметры!$B$7/Параметры!$B$8*1E-24))*(A70*0.0000001)/SIN(RADIANS(Параметры!$B$9)))</f>
        <v>2.548528303897224E-2</v>
      </c>
    </row>
    <row r="71" spans="1:3" ht="15.75" x14ac:dyDescent="0.25">
      <c r="A71" s="9">
        <v>690</v>
      </c>
      <c r="B71" s="10">
        <f>1-EXP(-((4*Параметры!$B$2/Параметры!$B$3*Параметры!$B$10*Параметры!$B$4)*(Параметры!$B$6*Параметры!$B$7/Параметры!$B$8*1E-24))*(A71*0.0000001)/SIN(RADIANS(Параметры!$B$9)))</f>
        <v>5.8042675763401164E-3</v>
      </c>
      <c r="C71" s="10">
        <f>1-EXP(-((4*Параметры!$B$2/Параметры!$B$3*Параметры!$B$10*Параметры!$B$5)*(Параметры!$B$6*Параметры!$B$7/Параметры!$B$8*1E-24))*(A71*0.0000001)/SIN(RADIANS(Параметры!$B$9)))</f>
        <v>2.5855179566450559E-2</v>
      </c>
    </row>
    <row r="72" spans="1:3" ht="15.75" x14ac:dyDescent="0.25">
      <c r="A72" s="9">
        <v>700</v>
      </c>
      <c r="B72" s="10">
        <f>1-EXP(-((4*Параметры!$B$2/Параметры!$B$3*Параметры!$B$10*Параметры!$B$4)*(Параметры!$B$6*Параметры!$B$7/Параметры!$B$8*1E-24))*(A72*0.0000001)/SIN(RADIANS(Параметры!$B$9)))</f>
        <v>5.8881392576510816E-3</v>
      </c>
      <c r="C72" s="10">
        <f>1-EXP(-((4*Параметры!$B$2/Параметры!$B$3*Параметры!$B$10*Параметры!$B$5)*(Параметры!$B$6*Параметры!$B$7/Параметры!$B$8*1E-24))*(A72*0.0000001)/SIN(RADIANS(Параметры!$B$9)))</f>
        <v>2.6224935692312989E-2</v>
      </c>
    </row>
    <row r="73" spans="1:3" ht="15.75" x14ac:dyDescent="0.25">
      <c r="A73" s="9">
        <v>710</v>
      </c>
      <c r="B73" s="10">
        <f>1-EXP(-((4*Параметры!$B$2/Параметры!$B$3*Параметры!$B$10*Параметры!$B$4)*(Параметры!$B$6*Параметры!$B$7/Параметры!$B$8*1E-24))*(A73*0.0000001)/SIN(RADIANS(Параметры!$B$9)))</f>
        <v>5.9720038634349937E-3</v>
      </c>
      <c r="C73" s="10">
        <f>1-EXP(-((4*Параметры!$B$2/Параметры!$B$3*Параметры!$B$10*Параметры!$B$5)*(Параметры!$B$6*Параметры!$B$7/Параметры!$B$8*1E-24))*(A73*0.0000001)/SIN(RADIANS(Параметры!$B$9)))</f>
        <v>2.659455146985179E-2</v>
      </c>
    </row>
    <row r="74" spans="1:3" ht="15.75" x14ac:dyDescent="0.25">
      <c r="A74" s="9">
        <v>720</v>
      </c>
      <c r="B74" s="10">
        <f>1-EXP(-((4*Параметры!$B$2/Параметры!$B$3*Параметры!$B$10*Параметры!$B$4)*(Параметры!$B$6*Параметры!$B$7/Параметры!$B$8*1E-24))*(A74*0.0000001)/SIN(RADIANS(Параметры!$B$9)))</f>
        <v>6.0558613942884865E-3</v>
      </c>
      <c r="C74" s="10">
        <f>1-EXP(-((4*Параметры!$B$2/Параметры!$B$3*Параметры!$B$10*Параметры!$B$5)*(Параметры!$B$6*Параметры!$B$7/Параметры!$B$8*1E-24))*(A74*0.0000001)/SIN(RADIANS(Параметры!$B$9)))</f>
        <v>2.6964026952338682E-2</v>
      </c>
    </row>
    <row r="75" spans="1:3" ht="15.75" x14ac:dyDescent="0.25">
      <c r="A75" s="9">
        <v>730</v>
      </c>
      <c r="B75" s="10">
        <f>1-EXP(-((4*Параметры!$B$2/Параметры!$B$3*Параметры!$B$10*Параметры!$B$4)*(Параметры!$B$6*Параметры!$B$7/Параметры!$B$8*1E-24))*(A75*0.0000001)/SIN(RADIANS(Параметры!$B$9)))</f>
        <v>6.1397118508086379E-3</v>
      </c>
      <c r="C75" s="10">
        <f>1-EXP(-((4*Параметры!$B$2/Параметры!$B$3*Параметры!$B$10*Параметры!$B$5)*(Параметры!$B$6*Параметры!$B$7/Параметры!$B$8*1E-24))*(A75*0.0000001)/SIN(RADIANS(Параметры!$B$9)))</f>
        <v>2.7333362193025845E-2</v>
      </c>
    </row>
    <row r="76" spans="1:3" ht="15.75" x14ac:dyDescent="0.25">
      <c r="A76" s="9">
        <v>740</v>
      </c>
      <c r="B76" s="10">
        <f>1-EXP(-((4*Параметры!$B$2/Параметры!$B$3*Параметры!$B$10*Параметры!$B$4)*(Параметры!$B$6*Параметры!$B$7/Параметры!$B$8*1E-24))*(A76*0.0000001)/SIN(RADIANS(Параметры!$B$9)))</f>
        <v>6.2235552335921929E-3</v>
      </c>
      <c r="C76" s="10">
        <f>1-EXP(-((4*Параметры!$B$2/Параметры!$B$3*Параметры!$B$10*Параметры!$B$5)*(Параметры!$B$6*Параметры!$B$7/Параметры!$B$8*1E-24))*(A76*0.0000001)/SIN(RADIANS(Параметры!$B$9)))</f>
        <v>2.7702557245144477E-2</v>
      </c>
    </row>
    <row r="77" spans="1:3" ht="15.75" x14ac:dyDescent="0.25">
      <c r="A77" s="9">
        <v>750</v>
      </c>
      <c r="B77" s="10">
        <f>1-EXP(-((4*Параметры!$B$2/Параметры!$B$3*Параметры!$B$10*Параметры!$B$4)*(Параметры!$B$6*Параметры!$B$7/Параметры!$B$8*1E-24))*(A77*0.0000001)/SIN(RADIANS(Параметры!$B$9)))</f>
        <v>6.3073915432357852E-3</v>
      </c>
      <c r="C77" s="10">
        <f>1-EXP(-((4*Параметры!$B$2/Параметры!$B$3*Параметры!$B$10*Параметры!$B$5)*(Параметры!$B$6*Параметры!$B$7/Параметры!$B$8*1E-24))*(A77*0.0000001)/SIN(RADIANS(Параметры!$B$9)))</f>
        <v>2.8071612161906234E-2</v>
      </c>
    </row>
    <row r="78" spans="1:3" ht="15.75" x14ac:dyDescent="0.25">
      <c r="A78" s="9">
        <v>760</v>
      </c>
      <c r="B78" s="10">
        <f>1-EXP(-((4*Параметры!$B$2/Параметры!$B$3*Параметры!$B$10*Параметры!$B$4)*(Параметры!$B$6*Параметры!$B$7/Параметры!$B$8*1E-24))*(A78*0.0000001)/SIN(RADIANS(Параметры!$B$9)))</f>
        <v>6.3912207803362708E-3</v>
      </c>
      <c r="C78" s="10">
        <f>1-EXP(-((4*Параметры!$B$2/Параметры!$B$3*Параметры!$B$10*Параметры!$B$5)*(Параметры!$B$6*Параметры!$B$7/Параметры!$B$8*1E-24))*(A78*0.0000001)/SIN(RADIANS(Параметры!$B$9)))</f>
        <v>2.8440526996502125E-2</v>
      </c>
    </row>
    <row r="79" spans="1:3" ht="15.75" x14ac:dyDescent="0.25">
      <c r="A79" s="9">
        <v>770</v>
      </c>
      <c r="B79" s="10">
        <f>1-EXP(-((4*Параметры!$B$2/Параметры!$B$3*Параметры!$B$10*Параметры!$B$4)*(Параметры!$B$6*Параметры!$B$7/Параметры!$B$8*1E-24))*(A79*0.0000001)/SIN(RADIANS(Параметры!$B$9)))</f>
        <v>6.4750429454902836E-3</v>
      </c>
      <c r="C79" s="10">
        <f>1-EXP(-((4*Параметры!$B$2/Параметры!$B$3*Параметры!$B$10*Параметры!$B$5)*(Параметры!$B$6*Параметры!$B$7/Параметры!$B$8*1E-24))*(A79*0.0000001)/SIN(RADIANS(Параметры!$B$9)))</f>
        <v>2.8809301802103282E-2</v>
      </c>
    </row>
    <row r="80" spans="1:3" ht="15.75" x14ac:dyDescent="0.25">
      <c r="A80" s="9">
        <v>780</v>
      </c>
      <c r="B80" s="10">
        <f>1-EXP(-((4*Параметры!$B$2/Параметры!$B$3*Параметры!$B$10*Параметры!$B$4)*(Параметры!$B$6*Параметры!$B$7/Параметры!$B$8*1E-24))*(A80*0.0000001)/SIN(RADIANS(Параметры!$B$9)))</f>
        <v>6.5588580392942353E-3</v>
      </c>
      <c r="C80" s="10">
        <f>1-EXP(-((4*Параметры!$B$2/Параметры!$B$3*Параметры!$B$10*Параметры!$B$5)*(Параметры!$B$6*Параметры!$B$7/Параметры!$B$8*1E-24))*(A80*0.0000001)/SIN(RADIANS(Параметры!$B$9)))</f>
        <v>2.9177936631860413E-2</v>
      </c>
    </row>
    <row r="81" spans="1:3" ht="15.75" x14ac:dyDescent="0.25">
      <c r="A81" s="9">
        <v>790</v>
      </c>
      <c r="B81" s="10">
        <f>1-EXP(-((4*Параметры!$B$2/Параметры!$B$3*Параметры!$B$10*Параметры!$B$4)*(Параметры!$B$6*Параметры!$B$7/Параметры!$B$8*1E-24))*(A81*0.0000001)/SIN(RADIANS(Параметры!$B$9)))</f>
        <v>6.6426660623448708E-3</v>
      </c>
      <c r="C81" s="10">
        <f>1-EXP(-((4*Параметры!$B$2/Параметры!$B$3*Параметры!$B$10*Параметры!$B$5)*(Параметры!$B$6*Параметры!$B$7/Параметры!$B$8*1E-24))*(A81*0.0000001)/SIN(RADIANS(Параметры!$B$9)))</f>
        <v>2.9546431538904128E-2</v>
      </c>
    </row>
    <row r="82" spans="1:3" ht="15.75" x14ac:dyDescent="0.25">
      <c r="A82" s="9">
        <v>800</v>
      </c>
      <c r="B82" s="10">
        <f>1-EXP(-((4*Параметры!$B$2/Параметры!$B$3*Параметры!$B$10*Параметры!$B$4)*(Параметры!$B$6*Параметры!$B$7/Параметры!$B$8*1E-24))*(A82*0.0000001)/SIN(RADIANS(Параметры!$B$9)))</f>
        <v>6.7264670152386019E-3</v>
      </c>
      <c r="C82" s="10">
        <f>1-EXP(-((4*Параметры!$B$2/Параметры!$B$3*Параметры!$B$10*Параметры!$B$5)*(Параметры!$B$6*Параметры!$B$7/Параметры!$B$8*1E-24))*(A82*0.0000001)/SIN(RADIANS(Параметры!$B$9)))</f>
        <v>2.9914786576344832E-2</v>
      </c>
    </row>
    <row r="83" spans="1:3" ht="15.75" x14ac:dyDescent="0.25">
      <c r="A83" s="9">
        <v>810</v>
      </c>
      <c r="B83" s="10">
        <f>1-EXP(-((4*Параметры!$B$2/Параметры!$B$3*Параметры!$B$10*Параметры!$B$4)*(Параметры!$B$6*Параметры!$B$7/Параметры!$B$8*1E-24))*(A83*0.0000001)/SIN(RADIANS(Параметры!$B$9)))</f>
        <v>6.8102608985719515E-3</v>
      </c>
      <c r="C83" s="10">
        <f>1-EXP(-((4*Параметры!$B$2/Параметры!$B$3*Параметры!$B$10*Параметры!$B$5)*(Параметры!$B$6*Параметры!$B$7/Параметры!$B$8*1E-24))*(A83*0.0000001)/SIN(RADIANS(Параметры!$B$9)))</f>
        <v>3.0283001797273057E-2</v>
      </c>
    </row>
    <row r="84" spans="1:3" ht="15.75" x14ac:dyDescent="0.25">
      <c r="A84" s="9">
        <v>820</v>
      </c>
      <c r="B84" s="10">
        <f>1-EXP(-((4*Параметры!$B$2/Параметры!$B$3*Параметры!$B$10*Параметры!$B$4)*(Параметры!$B$6*Параметры!$B$7/Параметры!$B$8*1E-24))*(A84*0.0000001)/SIN(RADIANS(Параметры!$B$9)))</f>
        <v>6.8940477129412203E-3</v>
      </c>
      <c r="C84" s="10">
        <f>1-EXP(-((4*Параметры!$B$2/Параметры!$B$3*Параметры!$B$10*Параметры!$B$5)*(Параметры!$B$6*Параметры!$B$7/Параметры!$B$8*1E-24))*(A84*0.0000001)/SIN(RADIANS(Параметры!$B$9)))</f>
        <v>3.0651077254758685E-2</v>
      </c>
    </row>
    <row r="85" spans="1:3" ht="15.75" x14ac:dyDescent="0.25">
      <c r="A85" s="9">
        <v>830</v>
      </c>
      <c r="B85" s="10">
        <f>1-EXP(-((4*Параметры!$B$2/Параметры!$B$3*Параметры!$B$10*Параметры!$B$4)*(Параметры!$B$6*Параметры!$B$7/Параметры!$B$8*1E-24))*(A85*0.0000001)/SIN(RADIANS(Параметры!$B$9)))</f>
        <v>6.9778274589427092E-3</v>
      </c>
      <c r="C85" s="10">
        <f>1-EXP(-((4*Параметры!$B$2/Параметры!$B$3*Параметры!$B$10*Параметры!$B$5)*(Параметры!$B$6*Параметры!$B$7/Параметры!$B$8*1E-24))*(A85*0.0000001)/SIN(RADIANS(Параметры!$B$9)))</f>
        <v>3.1019013001851947E-2</v>
      </c>
    </row>
    <row r="86" spans="1:3" ht="15.75" x14ac:dyDescent="0.25">
      <c r="A86" s="9">
        <v>840</v>
      </c>
      <c r="B86" s="10">
        <f>1-EXP(-((4*Параметры!$B$2/Параметры!$B$3*Параметры!$B$10*Параметры!$B$4)*(Параметры!$B$6*Параметры!$B$7/Параметры!$B$8*1E-24))*(A86*0.0000001)/SIN(RADIANS(Параметры!$B$9)))</f>
        <v>7.0616001371729409E-3</v>
      </c>
      <c r="C86" s="10">
        <f>1-EXP(-((4*Параметры!$B$2/Параметры!$B$3*Параметры!$B$10*Параметры!$B$5)*(Параметры!$B$6*Параметры!$B$7/Параметры!$B$8*1E-24))*(A86*0.0000001)/SIN(RADIANS(Параметры!$B$9)))</f>
        <v>3.1386809091582535E-2</v>
      </c>
    </row>
    <row r="87" spans="1:3" ht="15.75" x14ac:dyDescent="0.25">
      <c r="A87" s="9">
        <v>850</v>
      </c>
      <c r="B87" s="10">
        <f>1-EXP(-((4*Параметры!$B$2/Параметры!$B$3*Параметры!$B$10*Параметры!$B$4)*(Параметры!$B$6*Параметры!$B$7/Параметры!$B$8*1E-24))*(A87*0.0000001)/SIN(RADIANS(Параметры!$B$9)))</f>
        <v>7.1453657482279942E-3</v>
      </c>
      <c r="C87" s="10">
        <f>1-EXP(-((4*Параметры!$B$2/Параметры!$B$3*Параметры!$B$10*Параметры!$B$5)*(Параметры!$B$6*Параметры!$B$7/Параметры!$B$8*1E-24))*(A87*0.0000001)/SIN(RADIANS(Параметры!$B$9)))</f>
        <v>3.1754465576960267E-2</v>
      </c>
    </row>
    <row r="88" spans="1:3" ht="15.75" x14ac:dyDescent="0.25">
      <c r="A88" s="9">
        <v>860</v>
      </c>
      <c r="B88" s="10">
        <f>1-EXP(-((4*Параметры!$B$2/Параметры!$B$3*Параметры!$B$10*Параметры!$B$4)*(Параметры!$B$6*Параметры!$B$7/Параметры!$B$8*1E-24))*(A88*0.0000001)/SIN(RADIANS(Параметры!$B$9)))</f>
        <v>7.2291242927040589E-3</v>
      </c>
      <c r="C88" s="10">
        <f>1-EXP(-((4*Параметры!$B$2/Параметры!$B$3*Параметры!$B$10*Параметры!$B$5)*(Параметры!$B$6*Параметры!$B$7/Параметры!$B$8*1E-24))*(A88*0.0000001)/SIN(RADIANS(Параметры!$B$9)))</f>
        <v>3.2121982510974756E-2</v>
      </c>
    </row>
    <row r="89" spans="1:3" ht="15.75" x14ac:dyDescent="0.25">
      <c r="A89" s="9">
        <v>870</v>
      </c>
      <c r="B89" s="10">
        <f>1-EXP(-((4*Параметры!$B$2/Параметры!$B$3*Параметры!$B$10*Параметры!$B$4)*(Параметры!$B$6*Параметры!$B$7/Параметры!$B$8*1E-24))*(A89*0.0000001)/SIN(RADIANS(Параметры!$B$9)))</f>
        <v>7.3128757711973247E-3</v>
      </c>
      <c r="C89" s="10">
        <f>1-EXP(-((4*Параметры!$B$2/Параметры!$B$3*Параметры!$B$10*Параметры!$B$5)*(Параметры!$B$6*Параметры!$B$7/Параметры!$B$8*1E-24))*(A89*0.0000001)/SIN(RADIANS(Параметры!$B$9)))</f>
        <v>3.248935994659552E-2</v>
      </c>
    </row>
    <row r="90" spans="1:3" ht="15.75" x14ac:dyDescent="0.25">
      <c r="A90" s="9">
        <v>880</v>
      </c>
      <c r="B90" s="10">
        <f>1-EXP(-((4*Параметры!$B$2/Параметры!$B$3*Параметры!$B$10*Параметры!$B$4)*(Параметры!$B$6*Параметры!$B$7/Параметры!$B$8*1E-24))*(A90*0.0000001)/SIN(RADIANS(Параметры!$B$9)))</f>
        <v>7.3966201843039814E-3</v>
      </c>
      <c r="C90" s="10">
        <f>1-EXP(-((4*Параметры!$B$2/Параметры!$B$3*Параметры!$B$10*Параметры!$B$5)*(Параметры!$B$6*Параметры!$B$7/Параметры!$B$8*1E-24))*(A90*0.0000001)/SIN(RADIANS(Параметры!$B$9)))</f>
        <v>3.2856597936771981E-2</v>
      </c>
    </row>
    <row r="91" spans="1:3" ht="15.75" x14ac:dyDescent="0.25">
      <c r="A91" s="9">
        <v>890</v>
      </c>
      <c r="B91" s="10">
        <f>1-EXP(-((4*Параметры!$B$2/Параметры!$B$3*Параметры!$B$10*Параметры!$B$4)*(Параметры!$B$6*Параметры!$B$7/Параметры!$B$8*1E-24))*(A91*0.0000001)/SIN(RADIANS(Параметры!$B$9)))</f>
        <v>7.4803575326198857E-3</v>
      </c>
      <c r="C91" s="10">
        <f>1-EXP(-((4*Параметры!$B$2/Параметры!$B$3*Параметры!$B$10*Параметры!$B$5)*(Параметры!$B$6*Параметры!$B$7/Параметры!$B$8*1E-24))*(A91*0.0000001)/SIN(RADIANS(Параметры!$B$9)))</f>
        <v>3.3223696534433467E-2</v>
      </c>
    </row>
    <row r="92" spans="1:3" ht="15.75" x14ac:dyDescent="0.25">
      <c r="A92" s="9">
        <v>900</v>
      </c>
      <c r="B92" s="10">
        <f>1-EXP(-((4*Параметры!$B$2/Параметры!$B$3*Параметры!$B$10*Параметры!$B$4)*(Параметры!$B$6*Параметры!$B$7/Параметры!$B$8*1E-24))*(A92*0.0000001)/SIN(RADIANS(Параметры!$B$9)))</f>
        <v>7.5640878167411163E-3</v>
      </c>
      <c r="C92" s="10">
        <f>1-EXP(-((4*Параметры!$B$2/Параметры!$B$3*Параметры!$B$10*Параметры!$B$5)*(Параметры!$B$6*Параметры!$B$7/Параметры!$B$8*1E-24))*(A92*0.0000001)/SIN(RADIANS(Параметры!$B$9)))</f>
        <v>3.3590655792489099E-2</v>
      </c>
    </row>
    <row r="93" spans="1:3" ht="15.75" x14ac:dyDescent="0.25">
      <c r="A93" s="9">
        <v>910</v>
      </c>
      <c r="B93" s="10">
        <f>1-EXP(-((4*Параметры!$B$2/Параметры!$B$3*Параметры!$B$10*Параметры!$B$4)*(Параметры!$B$6*Параметры!$B$7/Параметры!$B$8*1E-24))*(A93*0.0000001)/SIN(RADIANS(Параметры!$B$9)))</f>
        <v>7.647811037263641E-3</v>
      </c>
      <c r="C93" s="10">
        <f>1-EXP(-((4*Параметры!$B$2/Параметры!$B$3*Параметры!$B$10*Параметры!$B$5)*(Параметры!$B$6*Параметры!$B$7/Параметры!$B$8*1E-24))*(A93*0.0000001)/SIN(RADIANS(Параметры!$B$9)))</f>
        <v>3.3957475763828016E-2</v>
      </c>
    </row>
    <row r="94" spans="1:3" ht="15.75" x14ac:dyDescent="0.25">
      <c r="A94" s="9">
        <v>920</v>
      </c>
      <c r="B94" s="10">
        <f>1-EXP(-((4*Параметры!$B$2/Параметры!$B$3*Параметры!$B$10*Параметры!$B$4)*(Параметры!$B$6*Параметры!$B$7/Параметры!$B$8*1E-24))*(A94*0.0000001)/SIN(RADIANS(Параметры!$B$9)))</f>
        <v>7.7315271947833164E-3</v>
      </c>
      <c r="C94" s="10">
        <f>1-EXP(-((4*Параметры!$B$2/Параметры!$B$3*Параметры!$B$10*Параметры!$B$5)*(Параметры!$B$6*Параметры!$B$7/Параметры!$B$8*1E-24))*(A94*0.0000001)/SIN(RADIANS(Параметры!$B$9)))</f>
        <v>3.4324156501319369E-2</v>
      </c>
    </row>
    <row r="95" spans="1:3" ht="15.75" x14ac:dyDescent="0.25">
      <c r="A95" s="9">
        <v>930</v>
      </c>
      <c r="B95" s="10">
        <f>1-EXP(-((4*Параметры!$B$2/Параметры!$B$3*Параметры!$B$10*Параметры!$B$4)*(Параметры!$B$6*Параметры!$B$7/Параметры!$B$8*1E-24))*(A95*0.0000001)/SIN(RADIANS(Параметры!$B$9)))</f>
        <v>7.8152362898959993E-3</v>
      </c>
      <c r="C95" s="10">
        <f>1-EXP(-((4*Параметры!$B$2/Параметры!$B$3*Параметры!$B$10*Параметры!$B$5)*(Параметры!$B$6*Параметры!$B$7/Параметры!$B$8*1E-24))*(A95*0.0000001)/SIN(RADIANS(Параметры!$B$9)))</f>
        <v>3.4690698057811997E-2</v>
      </c>
    </row>
    <row r="96" spans="1:3" ht="15.75" x14ac:dyDescent="0.25">
      <c r="A96" s="9">
        <v>940</v>
      </c>
      <c r="B96" s="10">
        <f>1-EXP(-((4*Параметры!$B$2/Параметры!$B$3*Параметры!$B$10*Параметры!$B$4)*(Параметры!$B$6*Параметры!$B$7/Параметры!$B$8*1E-24))*(A96*0.0000001)/SIN(RADIANS(Параметры!$B$9)))</f>
        <v>7.8989383231975463E-3</v>
      </c>
      <c r="C96" s="10">
        <f>1-EXP(-((4*Параметры!$B$2/Параметры!$B$3*Параметры!$B$10*Параметры!$B$5)*(Параметры!$B$6*Параметры!$B$7/Параметры!$B$8*1E-24))*(A96*0.0000001)/SIN(RADIANS(Параметры!$B$9)))</f>
        <v>3.5057100486134973E-2</v>
      </c>
    </row>
    <row r="97" spans="1:3" ht="15.75" x14ac:dyDescent="0.25">
      <c r="A97" s="9">
        <v>950</v>
      </c>
      <c r="B97" s="10">
        <f>1-EXP(-((4*Параметры!$B$2/Параметры!$B$3*Параметры!$B$10*Параметры!$B$4)*(Параметры!$B$6*Параметры!$B$7/Параметры!$B$8*1E-24))*(A97*0.0000001)/SIN(RADIANS(Параметры!$B$9)))</f>
        <v>7.9826332952835921E-3</v>
      </c>
      <c r="C97" s="10">
        <f>1-EXP(-((4*Параметры!$B$2/Параметры!$B$3*Параметры!$B$10*Параметры!$B$5)*(Параметры!$B$6*Параметры!$B$7/Параметры!$B$8*1E-24))*(A97*0.0000001)/SIN(RADIANS(Параметры!$B$9)))</f>
        <v>3.5423363839097166E-2</v>
      </c>
    </row>
    <row r="98" spans="1:3" ht="15.75" x14ac:dyDescent="0.25">
      <c r="A98" s="9">
        <v>960</v>
      </c>
      <c r="B98" s="10">
        <f>1-EXP(-((4*Параметры!$B$2/Параметры!$B$3*Параметры!$B$10*Параметры!$B$4)*(Параметры!$B$6*Параметры!$B$7/Параметры!$B$8*1E-24))*(A98*0.0000001)/SIN(RADIANS(Параметры!$B$9)))</f>
        <v>8.0663212067498824E-3</v>
      </c>
      <c r="C98" s="10">
        <f>1-EXP(-((4*Параметры!$B$2/Параметры!$B$3*Параметры!$B$10*Параметры!$B$5)*(Параметры!$B$6*Параметры!$B$7/Параметры!$B$8*1E-24))*(A98*0.0000001)/SIN(RADIANS(Параметры!$B$9)))</f>
        <v>3.5789488169487349E-2</v>
      </c>
    </row>
    <row r="99" spans="1:3" ht="15.75" x14ac:dyDescent="0.25">
      <c r="A99" s="9">
        <v>970</v>
      </c>
      <c r="B99" s="10">
        <f>1-EXP(-((4*Параметры!$B$2/Параметры!$B$3*Параметры!$B$10*Параметры!$B$4)*(Параметры!$B$6*Параметры!$B$7/Параметры!$B$8*1E-24))*(A99*0.0000001)/SIN(RADIANS(Параметры!$B$9)))</f>
        <v>8.1500020581921628E-3</v>
      </c>
      <c r="C99" s="10">
        <f>1-EXP(-((4*Параметры!$B$2/Параметры!$B$3*Параметры!$B$10*Параметры!$B$5)*(Параметры!$B$6*Параметры!$B$7/Параметры!$B$8*1E-24))*(A99*0.0000001)/SIN(RADIANS(Параметры!$B$9)))</f>
        <v>3.6155473530074311E-2</v>
      </c>
    </row>
    <row r="100" spans="1:3" ht="15.75" x14ac:dyDescent="0.25">
      <c r="A100" s="9">
        <v>980</v>
      </c>
      <c r="B100" s="10">
        <f>1-EXP(-((4*Параметры!$B$2/Параметры!$B$3*Параметры!$B$10*Параметры!$B$4)*(Параметры!$B$6*Параметры!$B$7/Параметры!$B$8*1E-24))*(A100*0.0000001)/SIN(RADIANS(Параметры!$B$9)))</f>
        <v>8.233675850205846E-3</v>
      </c>
      <c r="C100" s="10">
        <f>1-EXP(-((4*Параметры!$B$2/Параметры!$B$3*Параметры!$B$10*Параметры!$B$5)*(Параметры!$B$6*Параметры!$B$7/Параметры!$B$8*1E-24))*(A100*0.0000001)/SIN(RADIANS(Параметры!$B$9)))</f>
        <v>3.6521319973606747E-2</v>
      </c>
    </row>
    <row r="101" spans="1:3" ht="15.75" x14ac:dyDescent="0.25">
      <c r="A101" s="9">
        <v>990</v>
      </c>
      <c r="B101" s="10">
        <f>1-EXP(-((4*Параметры!$B$2/Параметры!$B$3*Параметры!$B$10*Параметры!$B$4)*(Параметры!$B$6*Параметры!$B$7/Параметры!$B$8*1E-24))*(A101*0.0000001)/SIN(RADIANS(Параметры!$B$9)))</f>
        <v>8.3173425833865666E-3</v>
      </c>
      <c r="C101" s="10">
        <f>1-EXP(-((4*Параметры!$B$2/Параметры!$B$3*Параметры!$B$10*Параметры!$B$5)*(Параметры!$B$6*Параметры!$B$7/Параметры!$B$8*1E-24))*(A101*0.0000001)/SIN(RADIANS(Параметры!$B$9)))</f>
        <v>3.6887027552813589E-2</v>
      </c>
    </row>
    <row r="102" spans="1:3" ht="15.75" x14ac:dyDescent="0.25">
      <c r="A102" s="9">
        <v>1000</v>
      </c>
      <c r="B102" s="10">
        <f>1-EXP(-((4*Параметры!$B$2/Параметры!$B$3*Параметры!$B$10*Параметры!$B$4)*(Параметры!$B$6*Параметры!$B$7/Параметры!$B$8*1E-24))*(A102*0.0000001)/SIN(RADIANS(Параметры!$B$9)))</f>
        <v>8.4010022583298483E-3</v>
      </c>
      <c r="C102" s="10">
        <f>1-EXP(-((4*Параметры!$B$2/Параметры!$B$3*Параметры!$B$10*Параметры!$B$5)*(Параметры!$B$6*Параметры!$B$7/Параметры!$B$8*1E-24))*(A102*0.0000001)/SIN(RADIANS(Параметры!$B$9)))</f>
        <v>3.7252596320403453E-2</v>
      </c>
    </row>
    <row r="103" spans="1:3" ht="15.75" x14ac:dyDescent="0.25">
      <c r="A103" s="9">
        <v>1010</v>
      </c>
      <c r="B103" s="10">
        <f>1-EXP(-((4*Параметры!$B$2/Параметры!$B$3*Параметры!$B$10*Параметры!$B$4)*(Параметры!$B$6*Параметры!$B$7/Параметры!$B$8*1E-24))*(A103*0.0000001)/SIN(RADIANS(Параметры!$B$9)))</f>
        <v>8.4846548756309925E-3</v>
      </c>
      <c r="C103" s="10">
        <f>1-EXP(-((4*Параметры!$B$2/Параметры!$B$3*Параметры!$B$10*Параметры!$B$5)*(Параметры!$B$6*Параметры!$B$7/Параметры!$B$8*1E-24))*(A103*0.0000001)/SIN(RADIANS(Параметры!$B$9)))</f>
        <v>3.7618026329064969E-2</v>
      </c>
    </row>
    <row r="104" spans="1:3" ht="15.75" x14ac:dyDescent="0.25">
      <c r="A104" s="9">
        <v>1020</v>
      </c>
      <c r="B104" s="10">
        <f>1-EXP(-((4*Параметры!$B$2/Параметры!$B$3*Параметры!$B$10*Параметры!$B$4)*(Параметры!$B$6*Параметры!$B$7/Параметры!$B$8*1E-24))*(A104*0.0000001)/SIN(RADIANS(Параметры!$B$9)))</f>
        <v>8.568300435885523E-3</v>
      </c>
      <c r="C104" s="10">
        <f>1-EXP(-((4*Параметры!$B$2/Параметры!$B$3*Параметры!$B$10*Параметры!$B$5)*(Параметры!$B$6*Параметры!$B$7/Параметры!$B$8*1E-24))*(A104*0.0000001)/SIN(RADIANS(Параметры!$B$9)))</f>
        <v>3.7983317631467117E-2</v>
      </c>
    </row>
    <row r="105" spans="1:3" ht="15.75" x14ac:dyDescent="0.25">
      <c r="A105" s="9">
        <v>1030</v>
      </c>
      <c r="B105" s="10">
        <f>1-EXP(-((4*Параметры!$B$2/Параметры!$B$3*Параметры!$B$10*Параметры!$B$4)*(Параметры!$B$6*Параметры!$B$7/Параметры!$B$8*1E-24))*(A105*0.0000001)/SIN(RADIANS(Параметры!$B$9)))</f>
        <v>8.6519389396888524E-3</v>
      </c>
      <c r="C105" s="10">
        <f>1-EXP(-((4*Параметры!$B$2/Параметры!$B$3*Параметры!$B$10*Параметры!$B$5)*(Параметры!$B$6*Параметры!$B$7/Параметры!$B$8*1E-24))*(A105*0.0000001)/SIN(RADIANS(Параметры!$B$9)))</f>
        <v>3.834847028025834E-2</v>
      </c>
    </row>
    <row r="106" spans="1:3" ht="15.75" x14ac:dyDescent="0.25">
      <c r="A106" s="9">
        <v>1040</v>
      </c>
      <c r="B106" s="10">
        <f>1-EXP(-((4*Параметры!$B$2/Параметры!$B$3*Параметры!$B$10*Параметры!$B$4)*(Параметры!$B$6*Параметры!$B$7/Параметры!$B$8*1E-24))*(A106*0.0000001)/SIN(RADIANS(Параметры!$B$9)))</f>
        <v>8.7355703876360602E-3</v>
      </c>
      <c r="C106" s="10">
        <f>1-EXP(-((4*Параметры!$B$2/Параметры!$B$3*Параметры!$B$10*Параметры!$B$5)*(Параметры!$B$6*Параметры!$B$7/Параметры!$B$8*1E-24))*(A106*0.0000001)/SIN(RADIANS(Параметры!$B$9)))</f>
        <v>3.8713484328067538E-2</v>
      </c>
    </row>
    <row r="107" spans="1:3" ht="15.75" x14ac:dyDescent="0.25">
      <c r="A107" s="9">
        <v>1050</v>
      </c>
      <c r="B107" s="10">
        <f>1-EXP(-((4*Параметры!$B$2/Параметры!$B$3*Параметры!$B$10*Параметры!$B$4)*(Параметры!$B$6*Параметры!$B$7/Параметры!$B$8*1E-24))*(A107*0.0000001)/SIN(RADIANS(Параметры!$B$9)))</f>
        <v>8.819194780322559E-3</v>
      </c>
      <c r="C107" s="10">
        <f>1-EXP(-((4*Параметры!$B$2/Параметры!$B$3*Параметры!$B$10*Параметры!$B$5)*(Параметры!$B$6*Параметры!$B$7/Параметры!$B$8*1E-24))*(A107*0.0000001)/SIN(RADIANS(Параметры!$B$9)))</f>
        <v>3.9078359827503517E-2</v>
      </c>
    </row>
    <row r="108" spans="1:3" ht="15.75" x14ac:dyDescent="0.25">
      <c r="A108" s="9">
        <v>1060</v>
      </c>
      <c r="B108" s="10">
        <f>1-EXP(-((4*Параметры!$B$2/Параметры!$B$3*Параметры!$B$10*Параметры!$B$4)*(Параметры!$B$6*Параметры!$B$7/Параметры!$B$8*1E-24))*(A108*0.0000001)/SIN(RADIANS(Параметры!$B$9)))</f>
        <v>8.9028121183434283E-3</v>
      </c>
      <c r="C108" s="10">
        <f>1-EXP(-((4*Параметры!$B$2/Параметры!$B$3*Параметры!$B$10*Параметры!$B$5)*(Параметры!$B$6*Параметры!$B$7/Параметры!$B$8*1E-24))*(A108*0.0000001)/SIN(RADIANS(Параметры!$B$9)))</f>
        <v>3.9443096831154989E-2</v>
      </c>
    </row>
    <row r="109" spans="1:3" ht="15.75" x14ac:dyDescent="0.25">
      <c r="A109" s="9">
        <v>1070</v>
      </c>
      <c r="B109" s="10">
        <f>1-EXP(-((4*Параметры!$B$2/Параметры!$B$3*Параметры!$B$10*Параметры!$B$4)*(Параметры!$B$6*Параметры!$B$7/Параметры!$B$8*1E-24))*(A109*0.0000001)/SIN(RADIANS(Параметры!$B$9)))</f>
        <v>8.9864224022938588E-3</v>
      </c>
      <c r="C109" s="10">
        <f>1-EXP(-((4*Параметры!$B$2/Параметры!$B$3*Параметры!$B$10*Параметры!$B$5)*(Параметры!$B$6*Параметры!$B$7/Параметры!$B$8*1E-24))*(A109*0.0000001)/SIN(RADIANS(Параметры!$B$9)))</f>
        <v>3.9807695391590903E-2</v>
      </c>
    </row>
    <row r="110" spans="1:3" ht="15.75" x14ac:dyDescent="0.25">
      <c r="A110" s="9">
        <v>1080</v>
      </c>
      <c r="B110" s="10">
        <f>1-EXP(-((4*Параметры!$B$2/Параметры!$B$3*Параметры!$B$10*Параметры!$B$4)*(Параметры!$B$6*Параметры!$B$7/Параметры!$B$8*1E-24))*(A110*0.0000001)/SIN(RADIANS(Параметры!$B$9)))</f>
        <v>9.0700256327689299E-3</v>
      </c>
      <c r="C110" s="10">
        <f>1-EXP(-((4*Параметры!$B$2/Параметры!$B$3*Параметры!$B$10*Параметры!$B$5)*(Параметры!$B$6*Параметры!$B$7/Параметры!$B$8*1E-24))*(A110*0.0000001)/SIN(RADIANS(Параметры!$B$9)))</f>
        <v>4.0172155561360001E-2</v>
      </c>
    </row>
    <row r="111" spans="1:3" ht="15.75" x14ac:dyDescent="0.25">
      <c r="A111" s="9">
        <v>1090</v>
      </c>
      <c r="B111" s="10">
        <f>1-EXP(-((4*Параметры!$B$2/Параметры!$B$3*Параметры!$B$10*Параметры!$B$4)*(Параметры!$B$6*Параметры!$B$7/Параметры!$B$8*1E-24))*(A111*0.0000001)/SIN(RADIANS(Параметры!$B$9)))</f>
        <v>9.1536218103637212E-3</v>
      </c>
      <c r="C111" s="10">
        <f>1-EXP(-((4*Параметры!$B$2/Параметры!$B$3*Параметры!$B$10*Параметры!$B$5)*(Параметры!$B$6*Параметры!$B$7/Параметры!$B$8*1E-24))*(A111*0.0000001)/SIN(RADIANS(Параметры!$B$9)))</f>
        <v>4.0536477392991377E-2</v>
      </c>
    </row>
    <row r="112" spans="1:3" ht="15.75" x14ac:dyDescent="0.25">
      <c r="A112" s="9">
        <v>1100</v>
      </c>
      <c r="B112" s="10">
        <f>1-EXP(-((4*Параметры!$B$2/Параметры!$B$3*Параметры!$B$10*Параметры!$B$4)*(Параметры!$B$6*Параметры!$B$7/Параметры!$B$8*1E-24))*(A112*0.0000001)/SIN(RADIANS(Параметры!$B$9)))</f>
        <v>9.2372109356732013E-3</v>
      </c>
      <c r="C112" s="10">
        <f>1-EXP(-((4*Параметры!$B$2/Параметры!$B$3*Параметры!$B$10*Параметры!$B$5)*(Параметры!$B$6*Параметры!$B$7/Параметры!$B$8*1E-24))*(A112*0.0000001)/SIN(RADIANS(Параметры!$B$9)))</f>
        <v>4.0900660938993916E-2</v>
      </c>
    </row>
    <row r="113" spans="1:3" ht="15.75" x14ac:dyDescent="0.25">
      <c r="A113" s="9">
        <v>1110</v>
      </c>
      <c r="B113" s="10">
        <f>1-EXP(-((4*Параметры!$B$2/Параметры!$B$3*Параметры!$B$10*Параметры!$B$4)*(Параметры!$B$6*Параметры!$B$7/Параметры!$B$8*1E-24))*(A113*0.0000001)/SIN(RADIANS(Параметры!$B$9)))</f>
        <v>9.3207930092923386E-3</v>
      </c>
      <c r="C113" s="10">
        <f>1-EXP(-((4*Параметры!$B$2/Параметры!$B$3*Параметры!$B$10*Параметры!$B$5)*(Параметры!$B$6*Параметры!$B$7/Параметры!$B$8*1E-24))*(A113*0.0000001)/SIN(RADIANS(Параметры!$B$9)))</f>
        <v>4.1264706251856631E-2</v>
      </c>
    </row>
    <row r="114" spans="1:3" ht="15.75" x14ac:dyDescent="0.25">
      <c r="A114" s="9">
        <v>1120</v>
      </c>
      <c r="B114" s="10">
        <f>1-EXP(-((4*Параметры!$B$2/Параметры!$B$3*Параметры!$B$10*Параметры!$B$4)*(Параметры!$B$6*Параметры!$B$7/Параметры!$B$8*1E-24))*(A114*0.0000001)/SIN(RADIANS(Параметры!$B$9)))</f>
        <v>9.4043680318159906E-3</v>
      </c>
      <c r="C114" s="10">
        <f>1-EXP(-((4*Параметры!$B$2/Параметры!$B$3*Параметры!$B$10*Параметры!$B$5)*(Параметры!$B$6*Параметры!$B$7/Параметры!$B$8*1E-24))*(A114*0.0000001)/SIN(RADIANS(Параметры!$B$9)))</f>
        <v>4.1628613384048885E-2</v>
      </c>
    </row>
    <row r="115" spans="1:3" ht="15.75" x14ac:dyDescent="0.25">
      <c r="A115" s="9">
        <v>1130</v>
      </c>
      <c r="B115" s="10">
        <f>1-EXP(-((4*Параметры!$B$2/Параметры!$B$3*Параметры!$B$10*Параметры!$B$4)*(Параметры!$B$6*Параметры!$B$7/Параметры!$B$8*1E-24))*(A115*0.0000001)/SIN(RADIANS(Параметры!$B$9)))</f>
        <v>9.4879360038389038E-3</v>
      </c>
      <c r="C115" s="10">
        <f>1-EXP(-((4*Параметры!$B$2/Параметры!$B$3*Параметры!$B$10*Параметры!$B$5)*(Параметры!$B$6*Параметры!$B$7/Параметры!$B$8*1E-24))*(A115*0.0000001)/SIN(RADIANS(Параметры!$B$9)))</f>
        <v>4.1992382388019833E-2</v>
      </c>
    </row>
    <row r="116" spans="1:3" ht="15.75" x14ac:dyDescent="0.25">
      <c r="A116" s="9">
        <v>1140</v>
      </c>
      <c r="B116" s="10">
        <f>1-EXP(-((4*Параметры!$B$2/Параметры!$B$3*Параметры!$B$10*Параметры!$B$4)*(Параметры!$B$6*Параметры!$B$7/Параметры!$B$8*1E-24))*(A116*0.0000001)/SIN(RADIANS(Параметры!$B$9)))</f>
        <v>9.5714969259560467E-3</v>
      </c>
      <c r="C116" s="10">
        <f>1-EXP(-((4*Параметры!$B$2/Параметры!$B$3*Параметры!$B$10*Параметры!$B$5)*(Параметры!$B$6*Параметры!$B$7/Параметры!$B$8*1E-24))*(A116*0.0000001)/SIN(RADIANS(Параметры!$B$9)))</f>
        <v>4.2356013316198649E-2</v>
      </c>
    </row>
    <row r="117" spans="1:3" ht="15.75" x14ac:dyDescent="0.25">
      <c r="A117" s="9">
        <v>1150</v>
      </c>
      <c r="B117" s="10">
        <f>1-EXP(-((4*Параметры!$B$2/Параметры!$B$3*Параметры!$B$10*Параметры!$B$4)*(Параметры!$B$6*Параметры!$B$7/Параметры!$B$8*1E-24))*(A117*0.0000001)/SIN(RADIANS(Параметры!$B$9)))</f>
        <v>9.6550507987620549E-3</v>
      </c>
      <c r="C117" s="10">
        <f>1-EXP(-((4*Параметры!$B$2/Параметры!$B$3*Параметры!$B$10*Параметры!$B$5)*(Параметры!$B$6*Параметры!$B$7/Параметры!$B$8*1E-24))*(A117*0.0000001)/SIN(RADIANS(Параметры!$B$9)))</f>
        <v>4.2719506220994963E-2</v>
      </c>
    </row>
    <row r="118" spans="1:3" ht="15.75" x14ac:dyDescent="0.25">
      <c r="A118" s="9">
        <v>1160</v>
      </c>
      <c r="B118" s="10">
        <f>1-EXP(-((4*Параметры!$B$2/Параметры!$B$3*Параметры!$B$10*Параметры!$B$4)*(Параметры!$B$6*Параметры!$B$7/Параметры!$B$8*1E-24))*(A118*0.0000001)/SIN(RADIANS(Параметры!$B$9)))</f>
        <v>9.7385976228515636E-3</v>
      </c>
      <c r="C118" s="10">
        <f>1-EXP(-((4*Параметры!$B$2/Параметры!$B$3*Параметры!$B$10*Параметры!$B$5)*(Параметры!$B$6*Параметры!$B$7/Параметры!$B$8*1E-24))*(A118*0.0000001)/SIN(RADIANS(Параметры!$B$9)))</f>
        <v>4.3082861154798202E-2</v>
      </c>
    </row>
    <row r="119" spans="1:3" ht="15.75" x14ac:dyDescent="0.25">
      <c r="A119" s="9">
        <v>1170</v>
      </c>
      <c r="B119" s="10">
        <f>1-EXP(-((4*Параметры!$B$2/Параметры!$B$3*Параметры!$B$10*Параметры!$B$4)*(Параметры!$B$6*Параметры!$B$7/Параметры!$B$8*1E-24))*(A119*0.0000001)/SIN(RADIANS(Параметры!$B$9)))</f>
        <v>9.8221373988194305E-3</v>
      </c>
      <c r="C119" s="10">
        <f>1-EXP(-((4*Параметры!$B$2/Параметры!$B$3*Параметры!$B$10*Параметры!$B$5)*(Параметры!$B$6*Параметры!$B$7/Параметры!$B$8*1E-24))*(A119*0.0000001)/SIN(RADIANS(Параметры!$B$9)))</f>
        <v>4.3446078169978031E-2</v>
      </c>
    </row>
    <row r="120" spans="1:3" ht="15.75" x14ac:dyDescent="0.25">
      <c r="A120" s="9">
        <v>1180</v>
      </c>
      <c r="B120" s="10">
        <f>1-EXP(-((4*Параметры!$B$2/Параметры!$B$3*Параметры!$B$10*Параметры!$B$4)*(Параметры!$B$6*Параметры!$B$7/Параметры!$B$8*1E-24))*(A120*0.0000001)/SIN(RADIANS(Параметры!$B$9)))</f>
        <v>9.9056701272599579E-3</v>
      </c>
      <c r="C120" s="10">
        <f>1-EXP(-((4*Параметры!$B$2/Параметры!$B$3*Параметры!$B$10*Параметры!$B$5)*(Параметры!$B$6*Параметры!$B$7/Параметры!$B$8*1E-24))*(A120*0.0000001)/SIN(RADIANS(Параметры!$B$9)))</f>
        <v>4.380915731888424E-2</v>
      </c>
    </row>
    <row r="121" spans="1:3" ht="15.75" x14ac:dyDescent="0.25">
      <c r="A121" s="9">
        <v>1190</v>
      </c>
      <c r="B121" s="10">
        <f>1-EXP(-((4*Параметры!$B$2/Параметры!$B$3*Параметры!$B$10*Параметры!$B$4)*(Параметры!$B$6*Параметры!$B$7/Параметры!$B$8*1E-24))*(A121*0.0000001)/SIN(RADIANS(Параметры!$B$9)))</f>
        <v>9.9891958087678923E-3</v>
      </c>
      <c r="C121" s="10">
        <f>1-EXP(-((4*Параметры!$B$2/Параметры!$B$3*Параметры!$B$10*Параметры!$B$5)*(Параметры!$B$6*Параметры!$B$7/Параметры!$B$8*1E-24))*(A121*0.0000001)/SIN(RADIANS(Параметры!$B$9)))</f>
        <v>4.4172098653846636E-2</v>
      </c>
    </row>
    <row r="122" spans="1:3" ht="15.75" x14ac:dyDescent="0.25">
      <c r="A122" s="9">
        <v>1200</v>
      </c>
      <c r="B122" s="10">
        <f>1-EXP(-((4*Параметры!$B$2/Параметры!$B$3*Параметры!$B$10*Параметры!$B$4)*(Параметры!$B$6*Параметры!$B$7/Параметры!$B$8*1E-24))*(A122*0.0000001)/SIN(RADIANS(Параметры!$B$9)))</f>
        <v>1.0072714443937647E-2</v>
      </c>
      <c r="C122" s="10">
        <f>1-EXP(-((4*Параметры!$B$2/Параметры!$B$3*Параметры!$B$10*Параметры!$B$5)*(Параметры!$B$6*Параметры!$B$7/Параметры!$B$8*1E-24))*(A122*0.0000001)/SIN(RADIANS(Параметры!$B$9)))</f>
        <v>4.4534902227175377E-2</v>
      </c>
    </row>
    <row r="123" spans="1:3" ht="15.75" x14ac:dyDescent="0.25">
      <c r="A123" s="9">
        <v>1210</v>
      </c>
      <c r="B123" s="10">
        <f>1-EXP(-((4*Параметры!$B$2/Параметры!$B$3*Параметры!$B$10*Параметры!$B$4)*(Параметры!$B$6*Параметры!$B$7/Параметры!$B$8*1E-24))*(A123*0.0000001)/SIN(RADIANS(Параметры!$B$9)))</f>
        <v>1.0156226033363636E-2</v>
      </c>
      <c r="C123" s="10">
        <f>1-EXP(-((4*Параметры!$B$2/Параметры!$B$3*Параметры!$B$10*Параметры!$B$5)*(Параметры!$B$6*Параметры!$B$7/Параметры!$B$8*1E-24))*(A123*0.0000001)/SIN(RADIANS(Параметры!$B$9)))</f>
        <v>4.4897568091160522E-2</v>
      </c>
    </row>
    <row r="124" spans="1:3" ht="15.75" x14ac:dyDescent="0.25">
      <c r="A124" s="9">
        <v>1220</v>
      </c>
      <c r="B124" s="10">
        <f>1-EXP(-((4*Параметры!$B$2/Параметры!$B$3*Параметры!$B$10*Параметры!$B$4)*(Параметры!$B$6*Параметры!$B$7/Параметры!$B$8*1E-24))*(A124*0.0000001)/SIN(RADIANS(Параметры!$B$9)))</f>
        <v>1.0239730577640271E-2</v>
      </c>
      <c r="C124" s="10">
        <f>1-EXP(-((4*Параметры!$B$2/Параметры!$B$3*Параметры!$B$10*Параметры!$B$5)*(Параметры!$B$6*Параметры!$B$7/Параметры!$B$8*1E-24))*(A124*0.0000001)/SIN(RADIANS(Параметры!$B$9)))</f>
        <v>4.5260096298072594E-2</v>
      </c>
    </row>
    <row r="125" spans="1:3" ht="15.75" x14ac:dyDescent="0.25">
      <c r="A125" s="9">
        <v>1230</v>
      </c>
      <c r="B125" s="10">
        <f>1-EXP(-((4*Параметры!$B$2/Параметры!$B$3*Параметры!$B$10*Параметры!$B$4)*(Параметры!$B$6*Параметры!$B$7/Параметры!$B$8*1E-24))*(A125*0.0000001)/SIN(RADIANS(Параметры!$B$9)))</f>
        <v>1.0323228077361968E-2</v>
      </c>
      <c r="C125" s="10">
        <f>1-EXP(-((4*Параметры!$B$2/Параметры!$B$3*Параметры!$B$10*Параметры!$B$5)*(Параметры!$B$6*Параметры!$B$7/Параметры!$B$8*1E-24))*(A125*0.0000001)/SIN(RADIANS(Параметры!$B$9)))</f>
        <v>4.5622486900161907E-2</v>
      </c>
    </row>
    <row r="126" spans="1:3" ht="15.75" x14ac:dyDescent="0.25">
      <c r="A126" s="9">
        <v>1240</v>
      </c>
      <c r="B126" s="10">
        <f>1-EXP(-((4*Параметры!$B$2/Параметры!$B$3*Параметры!$B$10*Параметры!$B$4)*(Параметры!$B$6*Параметры!$B$7/Параметры!$B$8*1E-24))*(A126*0.0000001)/SIN(RADIANS(Параметры!$B$9)))</f>
        <v>1.0406718533122916E-2</v>
      </c>
      <c r="C126" s="10">
        <f>1-EXP(-((4*Параметры!$B$2/Параметры!$B$3*Параметры!$B$10*Параметры!$B$5)*(Параметры!$B$6*Параметры!$B$7/Параметры!$B$8*1E-24))*(A126*0.0000001)/SIN(RADIANS(Параметры!$B$9)))</f>
        <v>4.5984739949659126E-2</v>
      </c>
    </row>
    <row r="127" spans="1:3" ht="15.75" x14ac:dyDescent="0.25">
      <c r="A127" s="9">
        <v>1250</v>
      </c>
      <c r="B127" s="10">
        <f>1-EXP(-((4*Параметры!$B$2/Параметры!$B$3*Параметры!$B$10*Параметры!$B$4)*(Параметры!$B$6*Параметры!$B$7/Параметры!$B$8*1E-24))*(A127*0.0000001)/SIN(RADIANS(Параметры!$B$9)))</f>
        <v>1.0490201945517308E-2</v>
      </c>
      <c r="C127" s="10">
        <f>1-EXP(-((4*Параметры!$B$2/Параметры!$B$3*Параметры!$B$10*Параметры!$B$5)*(Параметры!$B$6*Параметры!$B$7/Параметры!$B$8*1E-24))*(A127*0.0000001)/SIN(RADIANS(Параметры!$B$9)))</f>
        <v>4.6346855498775152E-2</v>
      </c>
    </row>
    <row r="128" spans="1:3" ht="15.75" x14ac:dyDescent="0.25">
      <c r="A128" s="9">
        <v>1260</v>
      </c>
      <c r="B128" s="10">
        <f>1-EXP(-((4*Параметры!$B$2/Параметры!$B$3*Параметры!$B$10*Параметры!$B$4)*(Параметры!$B$6*Параметры!$B$7/Параметры!$B$8*1E-24))*(A128*0.0000001)/SIN(RADIANS(Параметры!$B$9)))</f>
        <v>1.0573678315139445E-2</v>
      </c>
      <c r="C128" s="10">
        <f>1-EXP(-((4*Параметры!$B$2/Параметры!$B$3*Параметры!$B$10*Параметры!$B$5)*(Параметры!$B$6*Параметры!$B$7/Параметры!$B$8*1E-24))*(A128*0.0000001)/SIN(RADIANS(Параметры!$B$9)))</f>
        <v>4.6708833599701016E-2</v>
      </c>
    </row>
    <row r="129" spans="1:3" ht="15.75" x14ac:dyDescent="0.25">
      <c r="A129" s="9">
        <v>1270</v>
      </c>
      <c r="B129" s="10">
        <f>1-EXP(-((4*Параметры!$B$2/Параметры!$B$3*Параметры!$B$10*Параметры!$B$4)*(Параметры!$B$6*Параметры!$B$7/Параметры!$B$8*1E-24))*(A129*0.0000001)/SIN(RADIANS(Параметры!$B$9)))</f>
        <v>1.065714764258352E-2</v>
      </c>
      <c r="C129" s="10">
        <f>1-EXP(-((4*Параметры!$B$2/Параметры!$B$3*Параметры!$B$10*Параметры!$B$5)*(Параметры!$B$6*Параметры!$B$7/Параметры!$B$8*1E-24))*(A129*0.0000001)/SIN(RADIANS(Параметры!$B$9)))</f>
        <v>4.7070674304607873E-2</v>
      </c>
    </row>
    <row r="130" spans="1:3" ht="15.75" x14ac:dyDescent="0.25">
      <c r="A130" s="9">
        <v>1280</v>
      </c>
      <c r="B130" s="10">
        <f>1-EXP(-((4*Параметры!$B$2/Параметры!$B$3*Параметры!$B$10*Параметры!$B$4)*(Параметры!$B$6*Параметры!$B$7/Параметры!$B$8*1E-24))*(A130*0.0000001)/SIN(RADIANS(Параметры!$B$9)))</f>
        <v>1.074060992844339E-2</v>
      </c>
      <c r="C130" s="10">
        <f>1-EXP(-((4*Параметры!$B$2/Параметры!$B$3*Параметры!$B$10*Параметры!$B$5)*(Параметры!$B$6*Параметры!$B$7/Параметры!$B$8*1E-24))*(A130*0.0000001)/SIN(RADIANS(Параметры!$B$9)))</f>
        <v>4.743237766564723E-2</v>
      </c>
    </row>
    <row r="131" spans="1:3" ht="15.75" x14ac:dyDescent="0.25">
      <c r="A131" s="9">
        <v>1290</v>
      </c>
      <c r="B131" s="10">
        <f>1-EXP(-((4*Параметры!$B$2/Параметры!$B$3*Параметры!$B$10*Параметры!$B$4)*(Параметры!$B$6*Параметры!$B$7/Параметры!$B$8*1E-24))*(A131*0.0000001)/SIN(RADIANS(Параметры!$B$9)))</f>
        <v>1.0824065173313246E-2</v>
      </c>
      <c r="C131" s="10">
        <f>1-EXP(-((4*Параметры!$B$2/Параметры!$B$3*Параметры!$B$10*Параметры!$B$5)*(Параметры!$B$6*Параметры!$B$7/Параметры!$B$8*1E-24))*(A131*0.0000001)/SIN(RADIANS(Параметры!$B$9)))</f>
        <v>4.7793943734950495E-2</v>
      </c>
    </row>
    <row r="132" spans="1:3" ht="15.75" x14ac:dyDescent="0.25">
      <c r="A132" s="9">
        <v>1300</v>
      </c>
      <c r="B132" s="10">
        <f>1-EXP(-((4*Параметры!$B$2/Параметры!$B$3*Параметры!$B$10*Параметры!$B$4)*(Параметры!$B$6*Параметры!$B$7/Параметры!$B$8*1E-24))*(A132*0.0000001)/SIN(RADIANS(Параметры!$B$9)))</f>
        <v>1.090751337778717E-2</v>
      </c>
      <c r="C132" s="10">
        <f>1-EXP(-((4*Параметры!$B$2/Параметры!$B$3*Параметры!$B$10*Параметры!$B$5)*(Параметры!$B$6*Параметры!$B$7/Параметры!$B$8*1E-24))*(A132*0.0000001)/SIN(RADIANS(Параметры!$B$9)))</f>
        <v>4.815537256462965E-2</v>
      </c>
    </row>
    <row r="133" spans="1:3" ht="15.75" x14ac:dyDescent="0.25">
      <c r="A133" s="9">
        <v>1310</v>
      </c>
      <c r="B133" s="10">
        <f>1-EXP(-((4*Параметры!$B$2/Параметры!$B$3*Параметры!$B$10*Параметры!$B$4)*(Параметры!$B$6*Параметры!$B$7/Параметры!$B$8*1E-24))*(A133*0.0000001)/SIN(RADIANS(Параметры!$B$9)))</f>
        <v>1.0990954542458908E-2</v>
      </c>
      <c r="C133" s="10">
        <f>1-EXP(-((4*Параметры!$B$2/Параметры!$B$3*Параметры!$B$10*Параметры!$B$5)*(Параметры!$B$6*Параметры!$B$7/Параметры!$B$8*1E-24))*(A133*0.0000001)/SIN(RADIANS(Параметры!$B$9)))</f>
        <v>4.8516664206776694E-2</v>
      </c>
    </row>
    <row r="134" spans="1:3" ht="15.75" x14ac:dyDescent="0.25">
      <c r="A134" s="9">
        <v>1320</v>
      </c>
      <c r="B134" s="10">
        <f>1-EXP(-((4*Параметры!$B$2/Параметры!$B$3*Параметры!$B$10*Параметры!$B$4)*(Параметры!$B$6*Параметры!$B$7/Параметры!$B$8*1E-24))*(A134*0.0000001)/SIN(RADIANS(Параметры!$B$9)))</f>
        <v>1.107438866792243E-2</v>
      </c>
      <c r="C134" s="10">
        <f>1-EXP(-((4*Параметры!$B$2/Параметры!$B$3*Параметры!$B$10*Параметры!$B$5)*(Параметры!$B$6*Параметры!$B$7/Параметры!$B$8*1E-24))*(A134*0.0000001)/SIN(RADIANS(Параметры!$B$9)))</f>
        <v>4.8877818713463861E-2</v>
      </c>
    </row>
    <row r="135" spans="1:3" ht="15.75" x14ac:dyDescent="0.25">
      <c r="A135" s="9">
        <v>1330</v>
      </c>
      <c r="B135" s="10">
        <f>1-EXP(-((4*Параметры!$B$2/Параметры!$B$3*Параметры!$B$10*Параметры!$B$4)*(Параметры!$B$6*Параметры!$B$7/Параметры!$B$8*1E-24))*(A135*0.0000001)/SIN(RADIANS(Параметры!$B$9)))</f>
        <v>1.1157815754771594E-2</v>
      </c>
      <c r="C135" s="10">
        <f>1-EXP(-((4*Параметры!$B$2/Параметры!$B$3*Параметры!$B$10*Параметры!$B$5)*(Параметры!$B$6*Параметры!$B$7/Параметры!$B$8*1E-24))*(A135*0.0000001)/SIN(RADIANS(Параметры!$B$9)))</f>
        <v>4.9238836136743735E-2</v>
      </c>
    </row>
    <row r="136" spans="1:3" ht="15.75" x14ac:dyDescent="0.25">
      <c r="A136" s="9">
        <v>1340</v>
      </c>
      <c r="B136" s="10">
        <f>1-EXP(-((4*Параметры!$B$2/Параметры!$B$3*Параметры!$B$10*Параметры!$B$4)*(Параметры!$B$6*Параметры!$B$7/Параметры!$B$8*1E-24))*(A136*0.0000001)/SIN(RADIANS(Параметры!$B$9)))</f>
        <v>1.1241235803600147E-2</v>
      </c>
      <c r="C136" s="10">
        <f>1-EXP(-((4*Параметры!$B$2/Параметры!$B$3*Параметры!$B$10*Параметры!$B$5)*(Параметры!$B$6*Параметры!$B$7/Параметры!$B$8*1E-24))*(A136*0.0000001)/SIN(RADIANS(Параметры!$B$9)))</f>
        <v>4.9599716528649029E-2</v>
      </c>
    </row>
    <row r="137" spans="1:3" ht="15.75" x14ac:dyDescent="0.25">
      <c r="A137" s="9">
        <v>1350</v>
      </c>
      <c r="B137" s="10">
        <f>1-EXP(-((4*Параметры!$B$2/Параметры!$B$3*Параметры!$B$10*Параметры!$B$4)*(Параметры!$B$6*Параметры!$B$7/Параметры!$B$8*1E-24))*(A137*0.0000001)/SIN(RADIANS(Параметры!$B$9)))</f>
        <v>1.1324648815001837E-2</v>
      </c>
      <c r="C137" s="10">
        <f>1-EXP(-((4*Параметры!$B$2/Параметры!$B$3*Параметры!$B$10*Параметры!$B$5)*(Параметры!$B$6*Параметры!$B$7/Параметры!$B$8*1E-24))*(A137*0.0000001)/SIN(RADIANS(Параметры!$B$9)))</f>
        <v>4.9960459941192581E-2</v>
      </c>
    </row>
    <row r="138" spans="1:3" ht="15.75" x14ac:dyDescent="0.25">
      <c r="A138" s="9">
        <v>1360</v>
      </c>
      <c r="B138" s="10">
        <f>1-EXP(-((4*Параметры!$B$2/Параметры!$B$3*Параметры!$B$10*Параметры!$B$4)*(Параметры!$B$6*Параметры!$B$7/Параметры!$B$8*1E-24))*(A138*0.0000001)/SIN(RADIANS(Параметры!$B$9)))</f>
        <v>1.1408054789570299E-2</v>
      </c>
      <c r="C138" s="10">
        <f>1-EXP(-((4*Параметры!$B$2/Параметры!$B$3*Параметры!$B$10*Параметры!$B$5)*(Параметры!$B$6*Параметры!$B$7/Параметры!$B$8*1E-24))*(A138*0.0000001)/SIN(RADIANS(Параметры!$B$9)))</f>
        <v>5.0321066426367911E-2</v>
      </c>
    </row>
    <row r="139" spans="1:3" ht="15.75" x14ac:dyDescent="0.25">
      <c r="A139" s="9">
        <v>1370</v>
      </c>
      <c r="B139" s="10">
        <f>1-EXP(-((4*Параметры!$B$2/Параметры!$B$3*Параметры!$B$10*Параметры!$B$4)*(Параметры!$B$6*Параметры!$B$7/Параметры!$B$8*1E-24))*(A139*0.0000001)/SIN(RADIANS(Параметры!$B$9)))</f>
        <v>1.1491453727899392E-2</v>
      </c>
      <c r="C139" s="10">
        <f>1-EXP(-((4*Параметры!$B$2/Параметры!$B$3*Параметры!$B$10*Параметры!$B$5)*(Параметры!$B$6*Параметры!$B$7/Параметры!$B$8*1E-24))*(A139*0.0000001)/SIN(RADIANS(Параметры!$B$9)))</f>
        <v>5.0681536036148445E-2</v>
      </c>
    </row>
    <row r="140" spans="1:3" ht="15.75" x14ac:dyDescent="0.25">
      <c r="A140" s="9">
        <v>1380</v>
      </c>
      <c r="B140" s="10">
        <f>1-EXP(-((4*Параметры!$B$2/Параметры!$B$3*Параметры!$B$10*Параметры!$B$4)*(Параметры!$B$6*Параметры!$B$7/Параметры!$B$8*1E-24))*(A140*0.0000001)/SIN(RADIANS(Параметры!$B$9)))</f>
        <v>1.157484563058242E-2</v>
      </c>
      <c r="C140" s="10">
        <f>1-EXP(-((4*Параметры!$B$2/Параметры!$B$3*Параметры!$B$10*Параметры!$B$5)*(Параметры!$B$6*Параметры!$B$7/Параметры!$B$8*1E-24))*(A140*0.0000001)/SIN(RADIANS(Параметры!$B$9)))</f>
        <v>5.1041868822487846E-2</v>
      </c>
    </row>
    <row r="141" spans="1:3" ht="15.75" x14ac:dyDescent="0.25">
      <c r="A141" s="9">
        <v>1390</v>
      </c>
      <c r="B141" s="10">
        <f>1-EXP(-((4*Параметры!$B$2/Параметры!$B$3*Параметры!$B$10*Параметры!$B$4)*(Параметры!$B$6*Параметры!$B$7/Параметры!$B$8*1E-24))*(A141*0.0000001)/SIN(RADIANS(Параметры!$B$9)))</f>
        <v>1.1658230498213018E-2</v>
      </c>
      <c r="C141" s="10">
        <f>1-EXP(-((4*Параметры!$B$2/Параметры!$B$3*Параметры!$B$10*Параметры!$B$5)*(Параметры!$B$6*Параметры!$B$7/Параметры!$B$8*1E-24))*(A141*0.0000001)/SIN(RADIANS(Параметры!$B$9)))</f>
        <v>5.1402064837320238E-2</v>
      </c>
    </row>
    <row r="142" spans="1:3" ht="15.75" x14ac:dyDescent="0.25">
      <c r="A142" s="9">
        <v>1400</v>
      </c>
      <c r="B142" s="10">
        <f>1-EXP(-((4*Параметры!$B$2/Параметры!$B$3*Параметры!$B$10*Параметры!$B$4)*(Параметры!$B$6*Параметры!$B$7/Параметры!$B$8*1E-24))*(A142*0.0000001)/SIN(RADIANS(Параметры!$B$9)))</f>
        <v>1.1741608331384712E-2</v>
      </c>
      <c r="C142" s="10">
        <f>1-EXP(-((4*Параметры!$B$2/Параметры!$B$3*Параметры!$B$10*Параметры!$B$5)*(Параметры!$B$6*Параметры!$B$7/Параметры!$B$8*1E-24))*(A142*0.0000001)/SIN(RADIANS(Параметры!$B$9)))</f>
        <v>5.1762124132560094E-2</v>
      </c>
    </row>
    <row r="143" spans="1:3" ht="15.75" x14ac:dyDescent="0.25">
      <c r="A143" s="9">
        <v>1410</v>
      </c>
      <c r="B143" s="10">
        <f>1-EXP(-((4*Параметры!$B$2/Параметры!$B$3*Параметры!$B$10*Параметры!$B$4)*(Параметры!$B$6*Параметры!$B$7/Параметры!$B$8*1E-24))*(A143*0.0000001)/SIN(RADIANS(Параметры!$B$9)))</f>
        <v>1.1824979130690916E-2</v>
      </c>
      <c r="C143" s="10">
        <f>1-EXP(-((4*Параметры!$B$2/Параметры!$B$3*Параметры!$B$10*Параметры!$B$5)*(Параметры!$B$6*Параметры!$B$7/Параметры!$B$8*1E-24))*(A143*0.0000001)/SIN(RADIANS(Параметры!$B$9)))</f>
        <v>5.2122046760102014E-2</v>
      </c>
    </row>
    <row r="144" spans="1:3" ht="15.75" x14ac:dyDescent="0.25">
      <c r="A144" s="9">
        <v>1420</v>
      </c>
      <c r="B144" s="10">
        <f>1-EXP(-((4*Параметры!$B$2/Параметры!$B$3*Параметры!$B$10*Параметры!$B$4)*(Параметры!$B$6*Параметры!$B$7/Параметры!$B$8*1E-24))*(A144*0.0000001)/SIN(RADIANS(Параметры!$B$9)))</f>
        <v>1.1908342896725044E-2</v>
      </c>
      <c r="C144" s="10">
        <f>1-EXP(-((4*Параметры!$B$2/Параметры!$B$3*Параметры!$B$10*Параметры!$B$5)*(Параметры!$B$6*Параметры!$B$7/Параметры!$B$8*1E-24))*(A144*0.0000001)/SIN(RADIANS(Параметры!$B$9)))</f>
        <v>5.2481832771820836E-2</v>
      </c>
    </row>
    <row r="145" spans="1:3" ht="15.75" x14ac:dyDescent="0.25">
      <c r="A145" s="9">
        <v>1430</v>
      </c>
      <c r="B145" s="10">
        <f>1-EXP(-((4*Параметры!$B$2/Параметры!$B$3*Параметры!$B$10*Параметры!$B$4)*(Параметры!$B$6*Параметры!$B$7/Параметры!$B$8*1E-24))*(A145*0.0000001)/SIN(RADIANS(Параметры!$B$9)))</f>
        <v>1.1991699630080399E-2</v>
      </c>
      <c r="C145" s="10">
        <f>1-EXP(-((4*Параметры!$B$2/Параметры!$B$3*Параметры!$B$10*Параметры!$B$5)*(Параметры!$B$6*Параметры!$B$7/Параметры!$B$8*1E-24))*(A145*0.0000001)/SIN(RADIANS(Параметры!$B$9)))</f>
        <v>5.2841482219572078E-2</v>
      </c>
    </row>
    <row r="146" spans="1:3" ht="15.75" x14ac:dyDescent="0.25">
      <c r="A146" s="9">
        <v>1440</v>
      </c>
      <c r="B146" s="10">
        <f>1-EXP(-((4*Параметры!$B$2/Параметры!$B$3*Параметры!$B$10*Параметры!$B$4)*(Параметры!$B$6*Параметры!$B$7/Параметры!$B$8*1E-24))*(A146*0.0000001)/SIN(RADIANS(Параметры!$B$9)))</f>
        <v>1.2075049331350174E-2</v>
      </c>
      <c r="C146" s="10">
        <f>1-EXP(-((4*Параметры!$B$2/Параметры!$B$3*Параметры!$B$10*Параметры!$B$5)*(Параметры!$B$6*Параметры!$B$7/Параметры!$B$8*1E-24))*(A146*0.0000001)/SIN(RADIANS(Параметры!$B$9)))</f>
        <v>5.3200995155191055E-2</v>
      </c>
    </row>
    <row r="147" spans="1:3" ht="15.75" x14ac:dyDescent="0.25">
      <c r="A147" s="9">
        <v>1450</v>
      </c>
      <c r="B147" s="10">
        <f>1-EXP(-((4*Параметры!$B$2/Параметры!$B$3*Параметры!$B$10*Параметры!$B$4)*(Параметры!$B$6*Параметры!$B$7/Параметры!$B$8*1E-24))*(A147*0.0000001)/SIN(RADIANS(Параметры!$B$9)))</f>
        <v>1.2158392001127782E-2</v>
      </c>
      <c r="C147" s="10">
        <f>1-EXP(-((4*Параметры!$B$2/Параметры!$B$3*Параметры!$B$10*Параметры!$B$5)*(Параметры!$B$6*Параметры!$B$7/Параметры!$B$8*1E-24))*(A147*0.0000001)/SIN(RADIANS(Параметры!$B$9)))</f>
        <v>5.3560371630493764E-2</v>
      </c>
    </row>
    <row r="148" spans="1:3" ht="15.75" x14ac:dyDescent="0.25">
      <c r="A148" s="9">
        <v>1460</v>
      </c>
      <c r="B148" s="10">
        <f>1-EXP(-((4*Параметры!$B$2/Параметры!$B$3*Параметры!$B$10*Параметры!$B$4)*(Параметры!$B$6*Параметры!$B$7/Параметры!$B$8*1E-24))*(A148*0.0000001)/SIN(RADIANS(Параметры!$B$9)))</f>
        <v>1.2241727640006417E-2</v>
      </c>
      <c r="C148" s="10">
        <f>1-EXP(-((4*Параметры!$B$2/Параметры!$B$3*Параметры!$B$10*Параметры!$B$5)*(Параметры!$B$6*Параметры!$B$7/Параметры!$B$8*1E-24))*(A148*0.0000001)/SIN(RADIANS(Параметры!$B$9)))</f>
        <v>5.3919611697276437E-2</v>
      </c>
    </row>
    <row r="149" spans="1:3" ht="15.75" x14ac:dyDescent="0.25">
      <c r="A149" s="9">
        <v>1470</v>
      </c>
      <c r="B149" s="10">
        <f>1-EXP(-((4*Параметры!$B$2/Параметры!$B$3*Параметры!$B$10*Параметры!$B$4)*(Параметры!$B$6*Параметры!$B$7/Параметры!$B$8*1E-24))*(A149*0.0000001)/SIN(RADIANS(Параметры!$B$9)))</f>
        <v>1.2325056248579047E-2</v>
      </c>
      <c r="C149" s="10">
        <f>1-EXP(-((4*Параметры!$B$2/Параметры!$B$3*Параметры!$B$10*Параметры!$B$5)*(Параметры!$B$6*Параметры!$B$7/Параметры!$B$8*1E-24))*(A149*0.0000001)/SIN(RADIANS(Параметры!$B$9)))</f>
        <v>5.427871540731577E-2</v>
      </c>
    </row>
    <row r="150" spans="1:3" ht="15.75" x14ac:dyDescent="0.25">
      <c r="A150" s="9">
        <v>1480</v>
      </c>
      <c r="B150" s="10">
        <f>1-EXP(-((4*Параметры!$B$2/Параметры!$B$3*Параметры!$B$10*Параметры!$B$4)*(Параметры!$B$6*Параметры!$B$7/Параметры!$B$8*1E-24))*(A150*0.0000001)/SIN(RADIANS(Параметры!$B$9)))</f>
        <v>1.2408377827438755E-2</v>
      </c>
      <c r="C150" s="10">
        <f>1-EXP(-((4*Параметры!$B$2/Параметры!$B$3*Параметры!$B$10*Параметры!$B$5)*(Параметры!$B$6*Параметры!$B$7/Параметры!$B$8*1E-24))*(A150*0.0000001)/SIN(RADIANS(Параметры!$B$9)))</f>
        <v>5.4637682812368471E-2</v>
      </c>
    </row>
    <row r="151" spans="1:3" ht="15.75" x14ac:dyDescent="0.25">
      <c r="A151" s="9">
        <v>1490</v>
      </c>
      <c r="B151" s="10">
        <f>1-EXP(-((4*Параметры!$B$2/Параметры!$B$3*Параметры!$B$10*Параметры!$B$4)*(Параметры!$B$6*Параметры!$B$7/Параметры!$B$8*1E-24))*(A151*0.0000001)/SIN(RADIANS(Параметры!$B$9)))</f>
        <v>1.2491692377178842E-2</v>
      </c>
      <c r="C151" s="10">
        <f>1-EXP(-((4*Параметры!$B$2/Параметры!$B$3*Параметры!$B$10*Параметры!$B$5)*(Параметры!$B$6*Параметры!$B$7/Параметры!$B$8*1E-24))*(A151*0.0000001)/SIN(RADIANS(Параметры!$B$9)))</f>
        <v>5.4996513964172045E-2</v>
      </c>
    </row>
    <row r="152" spans="1:3" ht="15.75" x14ac:dyDescent="0.25">
      <c r="A152" s="9">
        <v>1500</v>
      </c>
      <c r="B152" s="10">
        <f>1-EXP(-((4*Параметры!$B$2/Параметры!$B$3*Параметры!$B$10*Параметры!$B$4)*(Параметры!$B$6*Параметры!$B$7/Параметры!$B$8*1E-24))*(A152*0.0000001)/SIN(RADIANS(Параметры!$B$9)))</f>
        <v>1.2574999898391948E-2</v>
      </c>
      <c r="C152" s="10">
        <f>1-EXP(-((4*Параметры!$B$2/Параметры!$B$3*Параметры!$B$10*Параметры!$B$5)*(Параметры!$B$6*Параметры!$B$7/Параметры!$B$8*1E-24))*(A152*0.0000001)/SIN(RADIANS(Параметры!$B$9)))</f>
        <v>5.535520891444401E-2</v>
      </c>
    </row>
    <row r="153" spans="1:3" ht="15.75" x14ac:dyDescent="0.25">
      <c r="A153" s="9">
        <v>1510</v>
      </c>
      <c r="B153" s="10">
        <f>1-EXP(-((4*Параметры!$B$2/Параметры!$B$3*Параметры!$B$10*Параметры!$B$4)*(Параметры!$B$6*Параметры!$B$7/Параметры!$B$8*1E-24))*(A153*0.0000001)/SIN(RADIANS(Параметры!$B$9)))</f>
        <v>1.2658300391671262E-2</v>
      </c>
      <c r="C153" s="10">
        <f>1-EXP(-((4*Параметры!$B$2/Параметры!$B$3*Параметры!$B$10*Параметры!$B$5)*(Параметры!$B$6*Параметры!$B$7/Параметры!$B$8*1E-24))*(A153*0.0000001)/SIN(RADIANS(Параметры!$B$9)))</f>
        <v>5.5713767714882345E-2</v>
      </c>
    </row>
    <row r="154" spans="1:3" ht="15.75" x14ac:dyDescent="0.25">
      <c r="A154" s="9">
        <v>1520</v>
      </c>
      <c r="B154" s="10">
        <f>1-EXP(-((4*Параметры!$B$2/Параметры!$B$3*Параметры!$B$10*Параметры!$B$4)*(Параметры!$B$6*Параметры!$B$7/Параметры!$B$8*1E-24))*(A154*0.0000001)/SIN(RADIANS(Параметры!$B$9)))</f>
        <v>1.2741593857609534E-2</v>
      </c>
      <c r="C154" s="10">
        <f>1-EXP(-((4*Параметры!$B$2/Параметры!$B$3*Параметры!$B$10*Параметры!$B$5)*(Параметры!$B$6*Параметры!$B$7/Параметры!$B$8*1E-24))*(A154*0.0000001)/SIN(RADIANS(Параметры!$B$9)))</f>
        <v>5.6072190417165602E-2</v>
      </c>
    </row>
    <row r="155" spans="1:3" ht="15.75" x14ac:dyDescent="0.25">
      <c r="A155" s="9">
        <v>1530</v>
      </c>
      <c r="B155" s="10">
        <f>1-EXP(-((4*Параметры!$B$2/Параметры!$B$3*Параметры!$B$10*Параметры!$B$4)*(Параметры!$B$6*Параметры!$B$7/Параметры!$B$8*1E-24))*(A155*0.0000001)/SIN(RADIANS(Параметры!$B$9)))</f>
        <v>1.2824880296799734E-2</v>
      </c>
      <c r="C155" s="10">
        <f>1-EXP(-((4*Параметры!$B$2/Параметры!$B$3*Параметры!$B$10*Параметры!$B$5)*(Параметры!$B$6*Параметры!$B$7/Параметры!$B$8*1E-24))*(A155*0.0000001)/SIN(RADIANS(Параметры!$B$9)))</f>
        <v>5.6430477072952345E-2</v>
      </c>
    </row>
    <row r="156" spans="1:3" ht="15.75" x14ac:dyDescent="0.25">
      <c r="A156" s="9">
        <v>1540</v>
      </c>
      <c r="B156" s="10">
        <f>1-EXP(-((4*Параметры!$B$2/Параметры!$B$3*Параметры!$B$10*Параметры!$B$4)*(Параметры!$B$6*Параметры!$B$7/Параметры!$B$8*1E-24))*(A156*0.0000001)/SIN(RADIANS(Параметры!$B$9)))</f>
        <v>1.2908159709834499E-2</v>
      </c>
      <c r="C156" s="10">
        <f>1-EXP(-((4*Параметры!$B$2/Параметры!$B$3*Параметры!$B$10*Параметры!$B$5)*(Параметры!$B$6*Параметры!$B$7/Параметры!$B$8*1E-24))*(A156*0.0000001)/SIN(RADIANS(Параметры!$B$9)))</f>
        <v>5.6788627733881936E-2</v>
      </c>
    </row>
    <row r="157" spans="1:3" ht="15.75" x14ac:dyDescent="0.25">
      <c r="A157" s="9">
        <v>1550</v>
      </c>
      <c r="B157" s="10">
        <f>1-EXP(-((4*Параметры!$B$2/Параметры!$B$3*Параметры!$B$10*Параметры!$B$4)*(Параметры!$B$6*Параметры!$B$7/Параметры!$B$8*1E-24))*(A157*0.0000001)/SIN(RADIANS(Параметры!$B$9)))</f>
        <v>1.2991432097306688E-2</v>
      </c>
      <c r="C157" s="10">
        <f>1-EXP(-((4*Параметры!$B$2/Параметры!$B$3*Параметры!$B$10*Параметры!$B$5)*(Параметры!$B$6*Параметры!$B$7/Параметры!$B$8*1E-24))*(A157*0.0000001)/SIN(RADIANS(Параметры!$B$9)))</f>
        <v>5.7146642451573748E-2</v>
      </c>
    </row>
    <row r="158" spans="1:3" ht="15.75" x14ac:dyDescent="0.25">
      <c r="A158" s="9">
        <v>1560</v>
      </c>
      <c r="B158" s="10">
        <f>1-EXP(-((4*Параметры!$B$2/Параметры!$B$3*Параметры!$B$10*Параметры!$B$4)*(Параметры!$B$6*Параметры!$B$7/Параметры!$B$8*1E-24))*(A158*0.0000001)/SIN(RADIANS(Параметры!$B$9)))</f>
        <v>1.3074697459808826E-2</v>
      </c>
      <c r="C158" s="10">
        <f>1-EXP(-((4*Параметры!$B$2/Параметры!$B$3*Параметры!$B$10*Параметры!$B$5)*(Параметры!$B$6*Параметры!$B$7/Параметры!$B$8*1E-24))*(A158*0.0000001)/SIN(RADIANS(Параметры!$B$9)))</f>
        <v>5.7504521277627951E-2</v>
      </c>
    </row>
    <row r="159" spans="1:3" ht="15.75" x14ac:dyDescent="0.25">
      <c r="A159" s="9">
        <v>1570</v>
      </c>
      <c r="B159" s="10">
        <f>1-EXP(-((4*Параметры!$B$2/Параметры!$B$3*Параметры!$B$10*Параметры!$B$4)*(Параметры!$B$6*Параметры!$B$7/Параметры!$B$8*1E-24))*(A159*0.0000001)/SIN(RADIANS(Параметры!$B$9)))</f>
        <v>1.3157955797933774E-2</v>
      </c>
      <c r="C159" s="10">
        <f>1-EXP(-((4*Параметры!$B$2/Параметры!$B$3*Параметры!$B$10*Параметры!$B$5)*(Параметры!$B$6*Параметры!$B$7/Параметры!$B$8*1E-24))*(A159*0.0000001)/SIN(RADIANS(Параметры!$B$9)))</f>
        <v>5.786226426362473E-2</v>
      </c>
    </row>
    <row r="160" spans="1:3" ht="15.75" x14ac:dyDescent="0.25">
      <c r="A160" s="9">
        <v>1580</v>
      </c>
      <c r="B160" s="10">
        <f>1-EXP(-((4*Параметры!$B$2/Параметры!$B$3*Параметры!$B$10*Параметры!$B$4)*(Параметры!$B$6*Параметры!$B$7/Параметры!$B$8*1E-24))*(A160*0.0000001)/SIN(RADIANS(Параметры!$B$9)))</f>
        <v>1.3241207112273834E-2</v>
      </c>
      <c r="C160" s="10">
        <f>1-EXP(-((4*Параметры!$B$2/Параметры!$B$3*Параметры!$B$10*Параметры!$B$5)*(Параметры!$B$6*Параметры!$B$7/Параметры!$B$8*1E-24))*(A160*0.0000001)/SIN(RADIANS(Параметры!$B$9)))</f>
        <v>5.8219871461125061E-2</v>
      </c>
    </row>
    <row r="161" spans="1:3" ht="15.75" x14ac:dyDescent="0.25">
      <c r="A161" s="9">
        <v>1590</v>
      </c>
      <c r="B161" s="10">
        <f>1-EXP(-((4*Параметры!$B$2/Параметры!$B$3*Параметры!$B$10*Параметры!$B$4)*(Параметры!$B$6*Параметры!$B$7/Параметры!$B$8*1E-24))*(A161*0.0000001)/SIN(RADIANS(Параметры!$B$9)))</f>
        <v>1.3324451403421866E-2</v>
      </c>
      <c r="C161" s="10">
        <f>1-EXP(-((4*Параметры!$B$2/Параметры!$B$3*Параметры!$B$10*Параметры!$B$5)*(Параметры!$B$6*Параметры!$B$7/Параметры!$B$8*1E-24))*(A161*0.0000001)/SIN(RADIANS(Параметры!$B$9)))</f>
        <v>5.857734292167005E-2</v>
      </c>
    </row>
    <row r="162" spans="1:3" ht="15.75" x14ac:dyDescent="0.25">
      <c r="A162" s="9">
        <v>1600</v>
      </c>
      <c r="B162" s="10">
        <f>1-EXP(-((4*Параметры!$B$2/Параметры!$B$3*Параметры!$B$10*Параметры!$B$4)*(Параметры!$B$6*Параметры!$B$7/Параметры!$B$8*1E-24))*(A162*0.0000001)/SIN(RADIANS(Параметры!$B$9)))</f>
        <v>1.3407688671970064E-2</v>
      </c>
      <c r="C162" s="10">
        <f>1-EXP(-((4*Параметры!$B$2/Параметры!$B$3*Параметры!$B$10*Параметры!$B$5)*(Параметры!$B$6*Параметры!$B$7/Параметры!$B$8*1E-24))*(A162*0.0000001)/SIN(RADIANS(Параметры!$B$9)))</f>
        <v>5.8934678696781484E-2</v>
      </c>
    </row>
    <row r="163" spans="1:3" ht="15.75" x14ac:dyDescent="0.25">
      <c r="A163" s="9">
        <v>1610</v>
      </c>
      <c r="B163" s="10">
        <f>1-EXP(-((4*Параметры!$B$2/Параметры!$B$3*Параметры!$B$10*Параметры!$B$4)*(Параметры!$B$6*Параметры!$B$7/Параметры!$B$8*1E-24))*(A163*0.0000001)/SIN(RADIANS(Параметры!$B$9)))</f>
        <v>1.3490918918511063E-2</v>
      </c>
      <c r="C163" s="10">
        <f>1-EXP(-((4*Параметры!$B$2/Параметры!$B$3*Параметры!$B$10*Параметры!$B$5)*(Параметры!$B$6*Параметры!$B$7/Параметры!$B$8*1E-24))*(A163*0.0000001)/SIN(RADIANS(Параметры!$B$9)))</f>
        <v>5.9291878837961387E-2</v>
      </c>
    </row>
    <row r="164" spans="1:3" ht="15.75" x14ac:dyDescent="0.25">
      <c r="A164" s="9">
        <v>1620</v>
      </c>
      <c r="B164" s="10">
        <f>1-EXP(-((4*Параметры!$B$2/Параметры!$B$3*Параметры!$B$10*Параметры!$B$4)*(Параметры!$B$6*Параметры!$B$7/Параметры!$B$8*1E-24))*(A164*0.0000001)/SIN(RADIANS(Параметры!$B$9)))</f>
        <v>1.3574142143637169E-2</v>
      </c>
      <c r="C164" s="10">
        <f>1-EXP(-((4*Параметры!$B$2/Параметры!$B$3*Параметры!$B$10*Параметры!$B$5)*(Параметры!$B$6*Параметры!$B$7/Параметры!$B$8*1E-24))*(A164*0.0000001)/SIN(RADIANS(Параметры!$B$9)))</f>
        <v>5.9648943396692355E-2</v>
      </c>
    </row>
    <row r="165" spans="1:3" ht="15.75" x14ac:dyDescent="0.25">
      <c r="A165" s="9">
        <v>1630</v>
      </c>
      <c r="B165" s="10">
        <f>1-EXP(-((4*Параметры!$B$2/Параметры!$B$3*Параметры!$B$10*Параметры!$B$4)*(Параметры!$B$6*Параметры!$B$7/Параметры!$B$8*1E-24))*(A165*0.0000001)/SIN(RADIANS(Параметры!$B$9)))</f>
        <v>1.3657358347940796E-2</v>
      </c>
      <c r="C165" s="10">
        <f>1-EXP(-((4*Параметры!$B$2/Параметры!$B$3*Параметры!$B$10*Параметры!$B$5)*(Параметры!$B$6*Параметры!$B$7/Параметры!$B$8*1E-24))*(A165*0.0000001)/SIN(RADIANS(Параметры!$B$9)))</f>
        <v>6.0005872424437556E-2</v>
      </c>
    </row>
    <row r="166" spans="1:3" ht="15.75" x14ac:dyDescent="0.25">
      <c r="A166" s="9">
        <v>1640</v>
      </c>
      <c r="B166" s="10">
        <f>1-EXP(-((4*Параметры!$B$2/Параметры!$B$3*Параметры!$B$10*Параметры!$B$4)*(Параметры!$B$6*Параметры!$B$7/Параметры!$B$8*1E-24))*(A166*0.0000001)/SIN(RADIANS(Параметры!$B$9)))</f>
        <v>1.3740567532014025E-2</v>
      </c>
      <c r="C166" s="10">
        <f>1-EXP(-((4*Параметры!$B$2/Параметры!$B$3*Параметры!$B$10*Параметры!$B$5)*(Параметры!$B$6*Параметры!$B$7/Параметры!$B$8*1E-24))*(A166*0.0000001)/SIN(RADIANS(Параметры!$B$9)))</f>
        <v>6.0362665972640173E-2</v>
      </c>
    </row>
    <row r="167" spans="1:3" ht="15.75" x14ac:dyDescent="0.25">
      <c r="A167" s="9">
        <v>1650</v>
      </c>
      <c r="B167" s="10">
        <f>1-EXP(-((4*Параметры!$B$2/Параметры!$B$3*Параметры!$B$10*Параметры!$B$4)*(Параметры!$B$6*Параметры!$B$7/Параметры!$B$8*1E-24))*(A167*0.0000001)/SIN(RADIANS(Параметры!$B$9)))</f>
        <v>1.3823769696449273E-2</v>
      </c>
      <c r="C167" s="10">
        <f>1-EXP(-((4*Параметры!$B$2/Параметры!$B$3*Параметры!$B$10*Параметры!$B$5)*(Параметры!$B$6*Параметры!$B$7/Параметры!$B$8*1E-24))*(A167*0.0000001)/SIN(RADIANS(Параметры!$B$9)))</f>
        <v>6.0719324092724514E-2</v>
      </c>
    </row>
    <row r="168" spans="1:3" ht="15.75" x14ac:dyDescent="0.25">
      <c r="A168" s="9">
        <v>1660</v>
      </c>
      <c r="B168" s="10">
        <f>1-EXP(-((4*Параметры!$B$2/Параметры!$B$3*Параметры!$B$10*Параметры!$B$4)*(Параметры!$B$6*Параметры!$B$7/Параметры!$B$8*1E-24))*(A168*0.0000001)/SIN(RADIANS(Параметры!$B$9)))</f>
        <v>1.3906964841838731E-2</v>
      </c>
      <c r="C168" s="10">
        <f>1-EXP(-((4*Параметры!$B$2/Параметры!$B$3*Параметры!$B$10*Параметры!$B$5)*(Параметры!$B$6*Параметры!$B$7/Параметры!$B$8*1E-24))*(A168*0.0000001)/SIN(RADIANS(Параметры!$B$9)))</f>
        <v>6.1075846836094794E-2</v>
      </c>
    </row>
    <row r="169" spans="1:3" ht="15.75" x14ac:dyDescent="0.25">
      <c r="A169" s="9">
        <v>1670</v>
      </c>
      <c r="B169" s="10">
        <f>1-EXP(-((4*Параметры!$B$2/Параметры!$B$3*Параметры!$B$10*Параметры!$B$4)*(Параметры!$B$6*Параметры!$B$7/Параметры!$B$8*1E-24))*(A169*0.0000001)/SIN(RADIANS(Параметры!$B$9)))</f>
        <v>1.3990152968774483E-2</v>
      </c>
      <c r="C169" s="10">
        <f>1-EXP(-((4*Параметры!$B$2/Параметры!$B$3*Параметры!$B$10*Параметры!$B$5)*(Параметры!$B$6*Параметры!$B$7/Параметры!$B$8*1E-24))*(A169*0.0000001)/SIN(RADIANS(Параметры!$B$9)))</f>
        <v>6.143223425413602E-2</v>
      </c>
    </row>
    <row r="170" spans="1:3" ht="15.75" x14ac:dyDescent="0.25">
      <c r="A170" s="9">
        <v>1680</v>
      </c>
      <c r="B170" s="10">
        <f>1-EXP(-((4*Параметры!$B$2/Параметры!$B$3*Параметры!$B$10*Параметры!$B$4)*(Параметры!$B$6*Параметры!$B$7/Параметры!$B$8*1E-24))*(A170*0.0000001)/SIN(RADIANS(Параметры!$B$9)))</f>
        <v>1.4073334077848609E-2</v>
      </c>
      <c r="C170" s="10">
        <f>1-EXP(-((4*Параметры!$B$2/Параметры!$B$3*Параметры!$B$10*Параметры!$B$5)*(Параметры!$B$6*Параметры!$B$7/Параметры!$B$8*1E-24))*(A170*0.0000001)/SIN(RADIANS(Параметры!$B$9)))</f>
        <v>6.1788486398213549E-2</v>
      </c>
    </row>
    <row r="171" spans="1:3" ht="15.75" x14ac:dyDescent="0.25">
      <c r="A171" s="9">
        <v>1690</v>
      </c>
      <c r="B171" s="10">
        <f>1-EXP(-((4*Параметры!$B$2/Параметры!$B$3*Параметры!$B$10*Параметры!$B$4)*(Параметры!$B$6*Параметры!$B$7/Параметры!$B$8*1E-24))*(A171*0.0000001)/SIN(RADIANS(Параметры!$B$9)))</f>
        <v>1.4156508169653081E-2</v>
      </c>
      <c r="C171" s="10">
        <f>1-EXP(-((4*Параметры!$B$2/Параметры!$B$3*Параметры!$B$10*Параметры!$B$5)*(Параметры!$B$6*Параметры!$B$7/Параметры!$B$8*1E-24))*(A171*0.0000001)/SIN(RADIANS(Параметры!$B$9)))</f>
        <v>6.214460331967353E-2</v>
      </c>
    </row>
    <row r="172" spans="1:3" ht="15.75" x14ac:dyDescent="0.25">
      <c r="A172" s="9">
        <v>1700</v>
      </c>
      <c r="B172" s="10">
        <f>1-EXP(-((4*Параметры!$B$2/Параметры!$B$3*Параметры!$B$10*Параметры!$B$4)*(Параметры!$B$6*Параметры!$B$7/Параметры!$B$8*1E-24))*(A172*0.0000001)/SIN(RADIANS(Параметры!$B$9)))</f>
        <v>1.4239675244779981E-2</v>
      </c>
      <c r="C172" s="10">
        <f>1-EXP(-((4*Параметры!$B$2/Параметры!$B$3*Параметры!$B$10*Параметры!$B$5)*(Параметры!$B$6*Параметры!$B$7/Параметры!$B$8*1E-24))*(A172*0.0000001)/SIN(RADIANS(Параметры!$B$9)))</f>
        <v>6.250058506984224E-2</v>
      </c>
    </row>
    <row r="173" spans="1:3" ht="15.75" x14ac:dyDescent="0.25">
      <c r="A173" s="9">
        <v>1710</v>
      </c>
      <c r="B173" s="10">
        <f>1-EXP(-((4*Параметры!$B$2/Параметры!$B$3*Параметры!$B$10*Параметры!$B$4)*(Параметры!$B$6*Параметры!$B$7/Параметры!$B$8*1E-24))*(A173*0.0000001)/SIN(RADIANS(Параметры!$B$9)))</f>
        <v>1.432283530382128E-2</v>
      </c>
      <c r="C173" s="10">
        <f>1-EXP(-((4*Параметры!$B$2/Параметры!$B$3*Параметры!$B$10*Параметры!$B$5)*(Параметры!$B$6*Параметры!$B$7/Параметры!$B$8*1E-24))*(A173*0.0000001)/SIN(RADIANS(Параметры!$B$9)))</f>
        <v>6.2856431700026638E-2</v>
      </c>
    </row>
    <row r="174" spans="1:3" ht="15.75" x14ac:dyDescent="0.25">
      <c r="A174" s="9">
        <v>1720</v>
      </c>
      <c r="B174" s="10">
        <f>1-EXP(-((4*Параметры!$B$2/Параметры!$B$3*Параметры!$B$10*Параметры!$B$4)*(Параметры!$B$6*Параметры!$B$7/Параметры!$B$8*1E-24))*(A174*0.0000001)/SIN(RADIANS(Параметры!$B$9)))</f>
        <v>1.4405988347368726E-2</v>
      </c>
      <c r="C174" s="10">
        <f>1-EXP(-((4*Параметры!$B$2/Параметры!$B$3*Параметры!$B$10*Параметры!$B$5)*(Параметры!$B$6*Параметры!$B$7/Параметры!$B$8*1E-24))*(A174*0.0000001)/SIN(RADIANS(Параметры!$B$9)))</f>
        <v>6.3212143261514253E-2</v>
      </c>
    </row>
    <row r="175" spans="1:3" ht="15.75" x14ac:dyDescent="0.25">
      <c r="A175" s="9">
        <v>1730</v>
      </c>
      <c r="B175" s="10">
        <f>1-EXP(-((4*Параметры!$B$2/Параметры!$B$3*Параметры!$B$10*Параметры!$B$4)*(Параметры!$B$6*Параметры!$B$7/Параметры!$B$8*1E-24))*(A175*0.0000001)/SIN(RADIANS(Параметры!$B$9)))</f>
        <v>1.448913437601429E-2</v>
      </c>
      <c r="C175" s="10">
        <f>1-EXP(-((4*Параметры!$B$2/Параметры!$B$3*Параметры!$B$10*Параметры!$B$5)*(Параметры!$B$6*Параметры!$B$7/Параметры!$B$8*1E-24))*(A175*0.0000001)/SIN(RADIANS(Параметры!$B$9)))</f>
        <v>6.3567719805573075E-2</v>
      </c>
    </row>
    <row r="176" spans="1:3" ht="15.75" x14ac:dyDescent="0.25">
      <c r="A176" s="9">
        <v>1740</v>
      </c>
      <c r="B176" s="10">
        <f>1-EXP(-((4*Параметры!$B$2/Параметры!$B$3*Параметры!$B$10*Параметры!$B$4)*(Параметры!$B$6*Параметры!$B$7/Параметры!$B$8*1E-24))*(A176*0.0000001)/SIN(RADIANS(Параметры!$B$9)))</f>
        <v>1.4572273390349721E-2</v>
      </c>
      <c r="C176" s="10">
        <f>1-EXP(-((4*Параметры!$B$2/Параметры!$B$3*Параметры!$B$10*Параметры!$B$5)*(Параметры!$B$6*Параметры!$B$7/Параметры!$B$8*1E-24))*(A176*0.0000001)/SIN(RADIANS(Параметры!$B$9)))</f>
        <v>6.3923161383451665E-2</v>
      </c>
    </row>
    <row r="177" spans="1:3" ht="15.75" x14ac:dyDescent="0.25">
      <c r="A177" s="9">
        <v>1750</v>
      </c>
      <c r="B177" s="10">
        <f>1-EXP(-((4*Параметры!$B$2/Параметры!$B$3*Параметры!$B$10*Параметры!$B$4)*(Параметры!$B$6*Параметры!$B$7/Параметры!$B$8*1E-24))*(A177*0.0000001)/SIN(RADIANS(Параметры!$B$9)))</f>
        <v>1.4655405390966769E-2</v>
      </c>
      <c r="C177" s="10">
        <f>1-EXP(-((4*Параметры!$B$2/Параметры!$B$3*Параметры!$B$10*Параметры!$B$5)*(Параметры!$B$6*Параметры!$B$7/Параметры!$B$8*1E-24))*(A177*0.0000001)/SIN(RADIANS(Параметры!$B$9)))</f>
        <v>6.4278468046379267E-2</v>
      </c>
    </row>
    <row r="178" spans="1:3" ht="15.75" x14ac:dyDescent="0.25">
      <c r="A178" s="9">
        <v>1760</v>
      </c>
      <c r="B178" s="10">
        <f>1-EXP(-((4*Параметры!$B$2/Параметры!$B$3*Параметры!$B$10*Параметры!$B$4)*(Параметры!$B$6*Параметры!$B$7/Параметры!$B$8*1E-24))*(A178*0.0000001)/SIN(RADIANS(Параметры!$B$9)))</f>
        <v>1.473853037845696E-2</v>
      </c>
      <c r="C178" s="10">
        <f>1-EXP(-((4*Параметры!$B$2/Параметры!$B$3*Параметры!$B$10*Параметры!$B$5)*(Параметры!$B$6*Параметры!$B$7/Параметры!$B$8*1E-24))*(A178*0.0000001)/SIN(RADIANS(Параметры!$B$9)))</f>
        <v>6.463363984556536E-2</v>
      </c>
    </row>
    <row r="179" spans="1:3" ht="15.75" x14ac:dyDescent="0.25">
      <c r="A179" s="9">
        <v>1770</v>
      </c>
      <c r="B179" s="10">
        <f>1-EXP(-((4*Параметры!$B$2/Параметры!$B$3*Параметры!$B$10*Параметры!$B$4)*(Параметры!$B$6*Параметры!$B$7/Параметры!$B$8*1E-24))*(A179*0.0000001)/SIN(RADIANS(Параметры!$B$9)))</f>
        <v>1.4821648353412153E-2</v>
      </c>
      <c r="C179" s="10">
        <f>1-EXP(-((4*Параметры!$B$2/Параметры!$B$3*Параметры!$B$10*Параметры!$B$5)*(Параметры!$B$6*Параметры!$B$7/Параметры!$B$8*1E-24))*(A179*0.0000001)/SIN(RADIANS(Параметры!$B$9)))</f>
        <v>6.4988676832200332E-2</v>
      </c>
    </row>
    <row r="180" spans="1:3" ht="15.75" x14ac:dyDescent="0.25">
      <c r="A180" s="9">
        <v>1780</v>
      </c>
      <c r="B180" s="10">
        <f>1-EXP(-((4*Параметры!$B$2/Параметры!$B$3*Параметры!$B$10*Параметры!$B$4)*(Параметры!$B$6*Параметры!$B$7/Параметры!$B$8*1E-24))*(A180*0.0000001)/SIN(RADIANS(Параметры!$B$9)))</f>
        <v>1.4904759316423877E-2</v>
      </c>
      <c r="C180" s="10">
        <f>1-EXP(-((4*Параметры!$B$2/Параметры!$B$3*Параметры!$B$10*Параметры!$B$5)*(Параметры!$B$6*Параметры!$B$7/Параметры!$B$8*1E-24))*(A180*0.0000001)/SIN(RADIANS(Параметры!$B$9)))</f>
        <v>6.5343579057454804E-2</v>
      </c>
    </row>
    <row r="181" spans="1:3" ht="15.75" x14ac:dyDescent="0.25">
      <c r="A181" s="9">
        <v>1790</v>
      </c>
      <c r="B181" s="10">
        <f>1-EXP(-((4*Параметры!$B$2/Параметры!$B$3*Параметры!$B$10*Параметры!$B$4)*(Параметры!$B$6*Параметры!$B$7/Параметры!$B$8*1E-24))*(A181*0.0000001)/SIN(RADIANS(Параметры!$B$9)))</f>
        <v>1.4987863268083546E-2</v>
      </c>
      <c r="C181" s="10">
        <f>1-EXP(-((4*Параметры!$B$2/Параметры!$B$3*Параметры!$B$10*Параметры!$B$5)*(Параметры!$B$6*Параметры!$B$7/Параметры!$B$8*1E-24))*(A181*0.0000001)/SIN(RADIANS(Параметры!$B$9)))</f>
        <v>6.5698346572480304E-2</v>
      </c>
    </row>
    <row r="182" spans="1:3" ht="15.75" x14ac:dyDescent="0.25">
      <c r="A182" s="9">
        <v>1800</v>
      </c>
      <c r="B182" s="10">
        <f>1-EXP(-((4*Параметры!$B$2/Параметры!$B$3*Параметры!$B$10*Параметры!$B$4)*(Параметры!$B$6*Параметры!$B$7/Параметры!$B$8*1E-24))*(A182*0.0000001)/SIN(RADIANS(Параметры!$B$9)))</f>
        <v>1.5070960208982798E-2</v>
      </c>
      <c r="C182" s="10">
        <f>1-EXP(-((4*Параметры!$B$2/Параметры!$B$3*Параметры!$B$10*Параметры!$B$5)*(Параметры!$B$6*Параметры!$B$7/Параметры!$B$8*1E-24))*(A182*0.0000001)/SIN(RADIANS(Параметры!$B$9)))</f>
        <v>6.6052979428408709E-2</v>
      </c>
    </row>
    <row r="183" spans="1:3" ht="15.75" x14ac:dyDescent="0.25">
      <c r="A183" s="9">
        <v>1810</v>
      </c>
      <c r="B183" s="10">
        <f>1-EXP(-((4*Параметры!$B$2/Параметры!$B$3*Параметры!$B$10*Параметры!$B$4)*(Параметры!$B$6*Параметры!$B$7/Параметры!$B$8*1E-24))*(A183*0.0000001)/SIN(RADIANS(Параметры!$B$9)))</f>
        <v>1.5154050139713049E-2</v>
      </c>
      <c r="C183" s="10">
        <f>1-EXP(-((4*Параметры!$B$2/Параметры!$B$3*Параметры!$B$10*Параметры!$B$5)*(Параметры!$B$6*Параметры!$B$7/Параметры!$B$8*1E-24))*(A183*0.0000001)/SIN(RADIANS(Параметры!$B$9)))</f>
        <v>6.6407477676352578E-2</v>
      </c>
    </row>
    <row r="184" spans="1:3" ht="15.75" x14ac:dyDescent="0.25">
      <c r="A184" s="9">
        <v>1820</v>
      </c>
      <c r="B184" s="10">
        <f>1-EXP(-((4*Параметры!$B$2/Параметры!$B$3*Параметры!$B$10*Параметры!$B$4)*(Параметры!$B$6*Параметры!$B$7/Параметры!$B$8*1E-24))*(A184*0.0000001)/SIN(RADIANS(Параметры!$B$9)))</f>
        <v>1.5237133060865493E-2</v>
      </c>
      <c r="C184" s="10">
        <f>1-EXP(-((4*Параметры!$B$2/Параметры!$B$3*Параметры!$B$10*Параметры!$B$5)*(Параметры!$B$6*Параметры!$B$7/Параметры!$B$8*1E-24))*(A184*0.0000001)/SIN(RADIANS(Параметры!$B$9)))</f>
        <v>6.676184136740515E-2</v>
      </c>
    </row>
    <row r="185" spans="1:3" ht="15.75" x14ac:dyDescent="0.25">
      <c r="A185" s="9">
        <v>1830</v>
      </c>
      <c r="B185" s="10">
        <f>1-EXP(-((4*Параметры!$B$2/Параметры!$B$3*Параметры!$B$10*Параметры!$B$4)*(Параметры!$B$6*Параметры!$B$7/Параметры!$B$8*1E-24))*(A185*0.0000001)/SIN(RADIANS(Параметры!$B$9)))</f>
        <v>1.5320208973031768E-2</v>
      </c>
      <c r="C185" s="10">
        <f>1-EXP(-((4*Параметры!$B$2/Параметры!$B$3*Параметры!$B$10*Параметры!$B$5)*(Параметры!$B$6*Параметры!$B$7/Параметры!$B$8*1E-24))*(A185*0.0000001)/SIN(RADIANS(Параметры!$B$9)))</f>
        <v>6.7116070552640017E-2</v>
      </c>
    </row>
    <row r="186" spans="1:3" ht="15.75" x14ac:dyDescent="0.25">
      <c r="A186" s="9">
        <v>1840</v>
      </c>
      <c r="B186" s="10">
        <f>1-EXP(-((4*Параметры!$B$2/Параметры!$B$3*Параметры!$B$10*Параметры!$B$4)*(Параметры!$B$6*Параметры!$B$7/Параметры!$B$8*1E-24))*(A186*0.0000001)/SIN(RADIANS(Параметры!$B$9)))</f>
        <v>1.5403277876802957E-2</v>
      </c>
      <c r="C186" s="10">
        <f>1-EXP(-((4*Параметры!$B$2/Параметры!$B$3*Параметры!$B$10*Параметры!$B$5)*(Параметры!$B$6*Параметры!$B$7/Параметры!$B$8*1E-24))*(A186*0.0000001)/SIN(RADIANS(Параметры!$B$9)))</f>
        <v>6.7470165283111672E-2</v>
      </c>
    </row>
    <row r="187" spans="1:3" ht="15.75" x14ac:dyDescent="0.25">
      <c r="A187" s="9">
        <v>1850</v>
      </c>
      <c r="B187" s="10">
        <f>1-EXP(-((4*Параметры!$B$2/Параметры!$B$3*Параметры!$B$10*Параметры!$B$4)*(Параметры!$B$6*Параметры!$B$7/Параметры!$B$8*1E-24))*(A187*0.0000001)/SIN(RADIANS(Параметры!$B$9)))</f>
        <v>1.5486339772770363E-2</v>
      </c>
      <c r="C187" s="10">
        <f>1-EXP(-((4*Параметры!$B$2/Параметры!$B$3*Параметры!$B$10*Параметры!$B$5)*(Параметры!$B$6*Параметры!$B$7/Параметры!$B$8*1E-24))*(A187*0.0000001)/SIN(RADIANS(Параметры!$B$9)))</f>
        <v>6.7824125609855068E-2</v>
      </c>
    </row>
    <row r="188" spans="1:3" ht="15.75" x14ac:dyDescent="0.25">
      <c r="A188" s="9">
        <v>1860</v>
      </c>
      <c r="B188" s="10">
        <f>1-EXP(-((4*Параметры!$B$2/Параметры!$B$3*Параметры!$B$10*Параметры!$B$4)*(Параметры!$B$6*Параметры!$B$7/Параметры!$B$8*1E-24))*(A188*0.0000001)/SIN(RADIANS(Параметры!$B$9)))</f>
        <v>1.5569394661525071E-2</v>
      </c>
      <c r="C188" s="10">
        <f>1-EXP(-((4*Параметры!$B$2/Параметры!$B$3*Параметры!$B$10*Параметры!$B$5)*(Параметры!$B$6*Параметры!$B$7/Параметры!$B$8*1E-24))*(A188*0.0000001)/SIN(RADIANS(Параметры!$B$9)))</f>
        <v>6.8177951583885843E-2</v>
      </c>
    </row>
    <row r="189" spans="1:3" ht="15.75" x14ac:dyDescent="0.25">
      <c r="A189" s="9">
        <v>1870</v>
      </c>
      <c r="B189" s="10">
        <f>1-EXP(-((4*Параметры!$B$2/Параметры!$B$3*Параметры!$B$10*Параметры!$B$4)*(Параметры!$B$6*Параметры!$B$7/Параметры!$B$8*1E-24))*(A189*0.0000001)/SIN(RADIANS(Параметры!$B$9)))</f>
        <v>1.5652442543658496E-2</v>
      </c>
      <c r="C189" s="10">
        <f>1-EXP(-((4*Параметры!$B$2/Параметры!$B$3*Параметры!$B$10*Параметры!$B$5)*(Параметры!$B$6*Параметры!$B$7/Параметры!$B$8*1E-24))*(A189*0.0000001)/SIN(RADIANS(Параметры!$B$9)))</f>
        <v>6.8531643256200203E-2</v>
      </c>
    </row>
    <row r="190" spans="1:3" ht="15.75" x14ac:dyDescent="0.25">
      <c r="A190" s="9">
        <v>1880</v>
      </c>
      <c r="B190" s="10">
        <f>1-EXP(-((4*Параметры!$B$2/Параметры!$B$3*Параметры!$B$10*Параметры!$B$4)*(Параметры!$B$6*Параметры!$B$7/Параметры!$B$8*1E-24))*(A190*0.0000001)/SIN(RADIANS(Параметры!$B$9)))</f>
        <v>1.5735483419761387E-2</v>
      </c>
      <c r="C190" s="10">
        <f>1-EXP(-((4*Параметры!$B$2/Параметры!$B$3*Параметры!$B$10*Параметры!$B$5)*(Параметры!$B$6*Параметры!$B$7/Параметры!$B$8*1E-24))*(A190*0.0000001)/SIN(RADIANS(Параметры!$B$9)))</f>
        <v>6.8885200677775038E-2</v>
      </c>
    </row>
    <row r="191" spans="1:3" ht="15.75" x14ac:dyDescent="0.25">
      <c r="A191" s="9">
        <v>1890</v>
      </c>
      <c r="B191" s="10">
        <f>1-EXP(-((4*Параметры!$B$2/Параметры!$B$3*Параметры!$B$10*Параметры!$B$4)*(Параметры!$B$6*Параметры!$B$7/Параметры!$B$8*1E-24))*(A191*0.0000001)/SIN(RADIANS(Параметры!$B$9)))</f>
        <v>1.5818517290425049E-2</v>
      </c>
      <c r="C191" s="10">
        <f>1-EXP(-((4*Параметры!$B$2/Параметры!$B$3*Параметры!$B$10*Параметры!$B$5)*(Параметры!$B$6*Параметры!$B$7/Параметры!$B$8*1E-24))*(A191*0.0000001)/SIN(RADIANS(Параметры!$B$9)))</f>
        <v>6.923862389956803E-2</v>
      </c>
    </row>
    <row r="192" spans="1:3" ht="15.75" x14ac:dyDescent="0.25">
      <c r="A192" s="9">
        <v>1900</v>
      </c>
      <c r="B192" s="10">
        <f>1-EXP(-((4*Параметры!$B$2/Параметры!$B$3*Параметры!$B$10*Параметры!$B$4)*(Параметры!$B$6*Параметры!$B$7/Параметры!$B$8*1E-24))*(A192*0.0000001)/SIN(RADIANS(Параметры!$B$9)))</f>
        <v>1.5901544156240233E-2</v>
      </c>
      <c r="C192" s="10">
        <f>1-EXP(-((4*Параметры!$B$2/Параметры!$B$3*Параметры!$B$10*Параметры!$B$5)*(Параметры!$B$6*Параметры!$B$7/Параметры!$B$8*1E-24))*(A192*0.0000001)/SIN(RADIANS(Параметры!$B$9)))</f>
        <v>6.9591912972517322E-2</v>
      </c>
    </row>
    <row r="193" spans="1:3" ht="15.75" x14ac:dyDescent="0.25">
      <c r="A193" s="9">
        <v>1910</v>
      </c>
      <c r="B193" s="10">
        <f>1-EXP(-((4*Параметры!$B$2/Параметры!$B$3*Параметры!$B$10*Параметры!$B$4)*(Параметры!$B$6*Параметры!$B$7/Параметры!$B$8*1E-24))*(A193*0.0000001)/SIN(RADIANS(Параметры!$B$9)))</f>
        <v>1.5984564017798131E-2</v>
      </c>
      <c r="C193" s="10">
        <f>1-EXP(-((4*Параметры!$B$2/Параметры!$B$3*Параметры!$B$10*Параметры!$B$5)*(Параметры!$B$6*Параметры!$B$7/Параметры!$B$8*1E-24))*(A193*0.0000001)/SIN(RADIANS(Параметры!$B$9)))</f>
        <v>6.9945067947541739E-2</v>
      </c>
    </row>
    <row r="194" spans="1:3" ht="15.75" x14ac:dyDescent="0.25">
      <c r="A194" s="9">
        <v>1920</v>
      </c>
      <c r="B194" s="10">
        <f>1-EXP(-((4*Параметры!$B$2/Параметры!$B$3*Параметры!$B$10*Параметры!$B$4)*(Параметры!$B$6*Параметры!$B$7/Параметры!$B$8*1E-24))*(A194*0.0000001)/SIN(RADIANS(Параметры!$B$9)))</f>
        <v>1.6067576875689382E-2</v>
      </c>
      <c r="C194" s="10">
        <f>1-EXP(-((4*Параметры!$B$2/Параметры!$B$3*Параметры!$B$10*Параметры!$B$5)*(Параметры!$B$6*Параметры!$B$7/Параметры!$B$8*1E-24))*(A194*0.0000001)/SIN(RADIANS(Параметры!$B$9)))</f>
        <v>7.0298088875540787E-2</v>
      </c>
    </row>
    <row r="195" spans="1:3" ht="15.75" x14ac:dyDescent="0.25">
      <c r="A195" s="9">
        <v>1930</v>
      </c>
      <c r="B195" s="10">
        <f>1-EXP(-((4*Параметры!$B$2/Параметры!$B$3*Параметры!$B$10*Параметры!$B$4)*(Параметры!$B$6*Параметры!$B$7/Параметры!$B$8*1E-24))*(A195*0.0000001)/SIN(RADIANS(Параметры!$B$9)))</f>
        <v>1.615058273050507E-2</v>
      </c>
      <c r="C195" s="10">
        <f>1-EXP(-((4*Параметры!$B$2/Параметры!$B$3*Параметры!$B$10*Параметры!$B$5)*(Параметры!$B$6*Параметры!$B$7/Параметры!$B$8*1E-24))*(A195*0.0000001)/SIN(RADIANS(Параметры!$B$9)))</f>
        <v>7.0650975807394767E-2</v>
      </c>
    </row>
    <row r="196" spans="1:3" ht="15.75" x14ac:dyDescent="0.25">
      <c r="A196" s="9">
        <v>1940</v>
      </c>
      <c r="B196" s="10">
        <f>1-EXP(-((4*Параметры!$B$2/Параметры!$B$3*Параметры!$B$10*Параметры!$B$4)*(Параметры!$B$6*Параметры!$B$7/Параметры!$B$8*1E-24))*(A196*0.0000001)/SIN(RADIANS(Параметры!$B$9)))</f>
        <v>1.6233581582835721E-2</v>
      </c>
      <c r="C196" s="10">
        <f>1-EXP(-((4*Параметры!$B$2/Параметры!$B$3*Параметры!$B$10*Параметры!$B$5)*(Параметры!$B$6*Параметры!$B$7/Параметры!$B$8*1E-24))*(A196*0.0000001)/SIN(RADIANS(Параметры!$B$9)))</f>
        <v>7.100372879396466E-2</v>
      </c>
    </row>
    <row r="197" spans="1:3" ht="15.75" x14ac:dyDescent="0.25">
      <c r="A197" s="9">
        <v>1950</v>
      </c>
      <c r="B197" s="10">
        <f>1-EXP(-((4*Параметры!$B$2/Параметры!$B$3*Параметры!$B$10*Параметры!$B$4)*(Параметры!$B$6*Параметры!$B$7/Параметры!$B$8*1E-24))*(A197*0.0000001)/SIN(RADIANS(Параметры!$B$9)))</f>
        <v>1.6316573433272308E-2</v>
      </c>
      <c r="C197" s="10">
        <f>1-EXP(-((4*Параметры!$B$2/Параметры!$B$3*Параметры!$B$10*Параметры!$B$5)*(Параметры!$B$6*Параметры!$B$7/Параметры!$B$8*1E-24))*(A197*0.0000001)/SIN(RADIANS(Параметры!$B$9)))</f>
        <v>7.1356347886091909E-2</v>
      </c>
    </row>
    <row r="198" spans="1:3" ht="15.75" x14ac:dyDescent="0.25">
      <c r="A198" s="9">
        <v>1960</v>
      </c>
      <c r="B198" s="10">
        <f>1-EXP(-((4*Параметры!$B$2/Параметры!$B$3*Параметры!$B$10*Параметры!$B$4)*(Параметры!$B$6*Параметры!$B$7/Параметры!$B$8*1E-24))*(A198*0.0000001)/SIN(RADIANS(Параметры!$B$9)))</f>
        <v>1.6399558282405469E-2</v>
      </c>
      <c r="C198" s="10">
        <f>1-EXP(-((4*Параметры!$B$2/Параметры!$B$3*Параметры!$B$10*Параметры!$B$5)*(Параметры!$B$6*Параметры!$B$7/Параметры!$B$8*1E-24))*(A198*0.0000001)/SIN(RADIANS(Параметры!$B$9)))</f>
        <v>7.170883313459897E-2</v>
      </c>
    </row>
    <row r="199" spans="1:3" ht="15.75" x14ac:dyDescent="0.25">
      <c r="A199" s="9">
        <v>1970</v>
      </c>
      <c r="B199" s="10">
        <f>1-EXP(-((4*Параметры!$B$2/Параметры!$B$3*Параметры!$B$10*Параметры!$B$4)*(Параметры!$B$6*Параметры!$B$7/Параметры!$B$8*1E-24))*(A199*0.0000001)/SIN(RADIANS(Параметры!$B$9)))</f>
        <v>1.6482536130825731E-2</v>
      </c>
      <c r="C199" s="10">
        <f>1-EXP(-((4*Параметры!$B$2/Параметры!$B$3*Параметры!$B$10*Параметры!$B$5)*(Параметры!$B$6*Параметры!$B$7/Параметры!$B$8*1E-24))*(A199*0.0000001)/SIN(RADIANS(Параметры!$B$9)))</f>
        <v>7.2061184590288763E-2</v>
      </c>
    </row>
    <row r="200" spans="1:3" ht="15.75" x14ac:dyDescent="0.25">
      <c r="A200" s="9">
        <v>1980</v>
      </c>
      <c r="B200" s="10">
        <f>1-EXP(-((4*Параметры!$B$2/Параметры!$B$3*Параметры!$B$10*Параметры!$B$4)*(Параметры!$B$6*Параметры!$B$7/Параметры!$B$8*1E-24))*(A200*0.0000001)/SIN(RADIANS(Параметры!$B$9)))</f>
        <v>1.6565506979123734E-2</v>
      </c>
      <c r="C200" s="10">
        <f>1-EXP(-((4*Параметры!$B$2/Параметры!$B$3*Параметры!$B$10*Параметры!$B$5)*(Параметры!$B$6*Параметры!$B$7/Параметры!$B$8*1E-24))*(A200*0.0000001)/SIN(RADIANS(Параметры!$B$9)))</f>
        <v>7.2413402303945107E-2</v>
      </c>
    </row>
    <row r="201" spans="1:3" ht="15.75" x14ac:dyDescent="0.25">
      <c r="A201" s="9">
        <v>1990</v>
      </c>
      <c r="B201" s="10">
        <f>1-EXP(-((4*Параметры!$B$2/Параметры!$B$3*Параметры!$B$10*Параметры!$B$4)*(Параметры!$B$6*Параметры!$B$7/Параметры!$B$8*1E-24))*(A201*0.0000001)/SIN(RADIANS(Параметры!$B$9)))</f>
        <v>1.6648470827890005E-2</v>
      </c>
      <c r="C201" s="10">
        <f>1-EXP(-((4*Параметры!$B$2/Параметры!$B$3*Параметры!$B$10*Параметры!$B$5)*(Параметры!$B$6*Параметры!$B$7/Параметры!$B$8*1E-24))*(A201*0.0000001)/SIN(RADIANS(Параметры!$B$9)))</f>
        <v>7.2765486326332396E-2</v>
      </c>
    </row>
    <row r="202" spans="1:3" ht="15.75" x14ac:dyDescent="0.25">
      <c r="A202" s="9">
        <v>2000</v>
      </c>
      <c r="B202" s="10">
        <f>1-EXP(-((4*Параметры!$B$2/Параметры!$B$3*Параметры!$B$10*Параметры!$B$4)*(Параметры!$B$6*Параметры!$B$7/Параметры!$B$8*1E-24))*(A202*0.0000001)/SIN(RADIANS(Параметры!$B$9)))</f>
        <v>1.6731427677715183E-2</v>
      </c>
      <c r="C202" s="10">
        <f>1-EXP(-((4*Параметры!$B$2/Параметры!$B$3*Параметры!$B$10*Параметры!$B$5)*(Параметры!$B$6*Параметры!$B$7/Параметры!$B$8*1E-24))*(A202*0.0000001)/SIN(RADIANS(Параметры!$B$9)))</f>
        <v>7.3117436708195926E-2</v>
      </c>
    </row>
    <row r="203" spans="1:3" ht="15.75" x14ac:dyDescent="0.25">
      <c r="A203" s="9">
        <v>2010</v>
      </c>
      <c r="B203" s="10">
        <f>1-EXP(-((4*Параметры!$B$2/Параметры!$B$3*Параметры!$B$10*Параметры!$B$4)*(Параметры!$B$6*Параметры!$B$7/Параметры!$B$8*1E-24))*(A203*0.0000001)/SIN(RADIANS(Параметры!$B$9)))</f>
        <v>1.6814377529189461E-2</v>
      </c>
      <c r="C203" s="10">
        <f>1-EXP(-((4*Параметры!$B$2/Параметры!$B$3*Параметры!$B$10*Параметры!$B$5)*(Параметры!$B$6*Параметры!$B$7/Параметры!$B$8*1E-24))*(A203*0.0000001)/SIN(RADIANS(Параметры!$B$9)))</f>
        <v>7.3469253500261456E-2</v>
      </c>
    </row>
    <row r="204" spans="1:3" ht="15.75" x14ac:dyDescent="0.25">
      <c r="A204" s="9">
        <v>2020</v>
      </c>
      <c r="B204" s="10">
        <f>1-EXP(-((4*Параметры!$B$2/Параметры!$B$3*Параметры!$B$10*Параметры!$B$4)*(Параметры!$B$6*Параметры!$B$7/Параметры!$B$8*1E-24))*(A204*0.0000001)/SIN(RADIANS(Параметры!$B$9)))</f>
        <v>1.689732038290348E-2</v>
      </c>
      <c r="C204" s="10">
        <f>1-EXP(-((4*Параметры!$B$2/Параметры!$B$3*Параметры!$B$10*Параметры!$B$5)*(Параметры!$B$6*Параметры!$B$7/Параметры!$B$8*1E-24))*(A204*0.0000001)/SIN(RADIANS(Параметры!$B$9)))</f>
        <v>7.3820936753235755E-2</v>
      </c>
    </row>
    <row r="205" spans="1:3" ht="15.75" x14ac:dyDescent="0.25">
      <c r="A205" s="9">
        <v>2030</v>
      </c>
      <c r="B205" s="10">
        <f>1-EXP(-((4*Параметры!$B$2/Параметры!$B$3*Параметры!$B$10*Параметры!$B$4)*(Параметры!$B$6*Параметры!$B$7/Параметры!$B$8*1E-24))*(A205*0.0000001)/SIN(RADIANS(Параметры!$B$9)))</f>
        <v>1.6980256239447322E-2</v>
      </c>
      <c r="C205" s="10">
        <f>1-EXP(-((4*Параметры!$B$2/Параметры!$B$3*Параметры!$B$10*Параметры!$B$5)*(Параметры!$B$6*Параметры!$B$7/Параметры!$B$8*1E-24))*(A205*0.0000001)/SIN(RADIANS(Параметры!$B$9)))</f>
        <v>7.417248651780628E-2</v>
      </c>
    </row>
    <row r="206" spans="1:3" ht="15.75" x14ac:dyDescent="0.25">
      <c r="A206" s="9">
        <v>2040</v>
      </c>
      <c r="B206" s="10">
        <f>1-EXP(-((4*Параметры!$B$2/Параметры!$B$3*Параметры!$B$10*Параметры!$B$4)*(Параметры!$B$6*Параметры!$B$7/Параметры!$B$8*1E-24))*(A206*0.0000001)/SIN(RADIANS(Параметры!$B$9)))</f>
        <v>1.7063185099411515E-2</v>
      </c>
      <c r="C206" s="10">
        <f>1-EXP(-((4*Параметры!$B$2/Параметры!$B$3*Параметры!$B$10*Параметры!$B$5)*(Параметры!$B$6*Параметры!$B$7/Параметры!$B$8*1E-24))*(A206*0.0000001)/SIN(RADIANS(Параметры!$B$9)))</f>
        <v>7.4523902844641277E-2</v>
      </c>
    </row>
    <row r="207" spans="1:3" ht="15.75" x14ac:dyDescent="0.25">
      <c r="A207" s="9">
        <v>2050</v>
      </c>
      <c r="B207" s="10">
        <f>1-EXP(-((4*Параметры!$B$2/Параметры!$B$3*Параметры!$B$10*Параметры!$B$4)*(Параметры!$B$6*Параметры!$B$7/Параметры!$B$8*1E-24))*(A207*0.0000001)/SIN(RADIANS(Параметры!$B$9)))</f>
        <v>1.7146106963386143E-2</v>
      </c>
      <c r="C207" s="10">
        <f>1-EXP(-((4*Параметры!$B$2/Параметры!$B$3*Параметры!$B$10*Параметры!$B$5)*(Параметры!$B$6*Параметры!$B$7/Параметры!$B$8*1E-24))*(A207*0.0000001)/SIN(RADIANS(Параметры!$B$9)))</f>
        <v>7.4875185784389453E-2</v>
      </c>
    </row>
    <row r="208" spans="1:3" ht="15.75" x14ac:dyDescent="0.25">
      <c r="A208" s="9">
        <v>2060</v>
      </c>
      <c r="B208" s="10">
        <f>1-EXP(-((4*Параметры!$B$2/Параметры!$B$3*Параметры!$B$10*Параметры!$B$4)*(Параметры!$B$6*Параметры!$B$7/Параметры!$B$8*1E-24))*(A208*0.0000001)/SIN(RADIANS(Параметры!$B$9)))</f>
        <v>1.7229021831961511E-2</v>
      </c>
      <c r="C208" s="10">
        <f>1-EXP(-((4*Параметры!$B$2/Параметры!$B$3*Параметры!$B$10*Параметры!$B$5)*(Параметры!$B$6*Параметры!$B$7/Параметры!$B$8*1E-24))*(A208*0.0000001)/SIN(RADIANS(Параметры!$B$9)))</f>
        <v>7.5226335387680865E-2</v>
      </c>
    </row>
    <row r="209" spans="1:3" ht="15.75" x14ac:dyDescent="0.25">
      <c r="A209" s="9">
        <v>2070</v>
      </c>
      <c r="B209" s="10">
        <f>1-EXP(-((4*Параметры!$B$2/Параметры!$B$3*Параметры!$B$10*Параметры!$B$4)*(Параметры!$B$6*Параметры!$B$7/Параметры!$B$8*1E-24))*(A209*0.0000001)/SIN(RADIANS(Параметры!$B$9)))</f>
        <v>1.7311929705727702E-2</v>
      </c>
      <c r="C209" s="10">
        <f>1-EXP(-((4*Параметры!$B$2/Параметры!$B$3*Параметры!$B$10*Параметры!$B$5)*(Параметры!$B$6*Параметры!$B$7/Параметры!$B$8*1E-24))*(A209*0.0000001)/SIN(RADIANS(Параметры!$B$9)))</f>
        <v>7.5577351705125806E-2</v>
      </c>
    </row>
    <row r="210" spans="1:3" ht="15.75" x14ac:dyDescent="0.25">
      <c r="A210" s="9">
        <v>2080</v>
      </c>
      <c r="B210" s="10">
        <f>1-EXP(-((4*Параметры!$B$2/Параметры!$B$3*Параметры!$B$10*Параметры!$B$4)*(Параметры!$B$6*Параметры!$B$7/Параметры!$B$8*1E-24))*(A210*0.0000001)/SIN(RADIANS(Параметры!$B$9)))</f>
        <v>1.7394830585274801E-2</v>
      </c>
      <c r="C210" s="10">
        <f>1-EXP(-((4*Параметры!$B$2/Параметры!$B$3*Параметры!$B$10*Параметры!$B$5)*(Параметры!$B$6*Параметры!$B$7/Параметры!$B$8*1E-24))*(A210*0.0000001)/SIN(RADIANS(Параметры!$B$9)))</f>
        <v>7.5928234787315585E-2</v>
      </c>
    </row>
    <row r="211" spans="1:3" ht="15.75" x14ac:dyDescent="0.25">
      <c r="A211" s="9">
        <v>2090</v>
      </c>
      <c r="B211" s="10">
        <f>1-EXP(-((4*Параметры!$B$2/Параметры!$B$3*Параметры!$B$10*Параметры!$B$4)*(Параметры!$B$6*Параметры!$B$7/Параметры!$B$8*1E-24))*(A211*0.0000001)/SIN(RADIANS(Параметры!$B$9)))</f>
        <v>1.7477724471192779E-2</v>
      </c>
      <c r="C211" s="10">
        <f>1-EXP(-((4*Параметры!$B$2/Параметры!$B$3*Параметры!$B$10*Параметры!$B$5)*(Параметры!$B$6*Параметры!$B$7/Параметры!$B$8*1E-24))*(A211*0.0000001)/SIN(RADIANS(Параметры!$B$9)))</f>
        <v>7.6278984684822526E-2</v>
      </c>
    </row>
    <row r="212" spans="1:3" ht="15.75" x14ac:dyDescent="0.25">
      <c r="A212" s="9">
        <v>2100</v>
      </c>
      <c r="B212" s="10">
        <f>1-EXP(-((4*Параметры!$B$2/Параметры!$B$3*Параметры!$B$10*Параметры!$B$4)*(Параметры!$B$6*Параметры!$B$7/Параметры!$B$8*1E-24))*(A212*0.0000001)/SIN(RADIANS(Параметры!$B$9)))</f>
        <v>1.7560611364071832E-2</v>
      </c>
      <c r="C212" s="10">
        <f>1-EXP(-((4*Параметры!$B$2/Параметры!$B$3*Параметры!$B$10*Параметры!$B$5)*(Параметры!$B$6*Параметры!$B$7/Параметры!$B$8*1E-24))*(A212*0.0000001)/SIN(RADIANS(Параметры!$B$9)))</f>
        <v>7.6629601448199303E-2</v>
      </c>
    </row>
    <row r="213" spans="1:3" ht="15.75" x14ac:dyDescent="0.25">
      <c r="A213" s="9">
        <v>2110</v>
      </c>
      <c r="B213" s="10">
        <f>1-EXP(-((4*Параметры!$B$2/Параметры!$B$3*Параметры!$B$10*Параметры!$B$4)*(Параметры!$B$6*Параметры!$B$7/Параметры!$B$8*1E-24))*(A213*0.0000001)/SIN(RADIANS(Параметры!$B$9)))</f>
        <v>1.7643491264501709E-2</v>
      </c>
      <c r="C213" s="10">
        <f>1-EXP(-((4*Параметры!$B$2/Параметры!$B$3*Параметры!$B$10*Параметры!$B$5)*(Параметры!$B$6*Параметры!$B$7/Параметры!$B$8*1E-24))*(A213*0.0000001)/SIN(RADIANS(Параметры!$B$9)))</f>
        <v>7.6980085127979603E-2</v>
      </c>
    </row>
    <row r="214" spans="1:3" ht="15.75" x14ac:dyDescent="0.25">
      <c r="A214" s="9">
        <v>2120</v>
      </c>
      <c r="B214" s="10">
        <f>1-EXP(-((4*Параметры!$B$2/Параметры!$B$3*Параметры!$B$10*Параметры!$B$4)*(Параметры!$B$6*Параметры!$B$7/Параметры!$B$8*1E-24))*(A214*0.0000001)/SIN(RADIANS(Параметры!$B$9)))</f>
        <v>1.7726364173072273E-2</v>
      </c>
      <c r="C214" s="10">
        <f>1-EXP(-((4*Параметры!$B$2/Параметры!$B$3*Параметры!$B$10*Параметры!$B$5)*(Параметры!$B$6*Параметры!$B$7/Параметры!$B$8*1E-24))*(A214*0.0000001)/SIN(RADIANS(Параметры!$B$9)))</f>
        <v>7.7330435774678241E-2</v>
      </c>
    </row>
    <row r="215" spans="1:3" ht="15.75" x14ac:dyDescent="0.25">
      <c r="A215" s="9">
        <v>2130</v>
      </c>
      <c r="B215" s="10">
        <f>1-EXP(-((4*Параметры!$B$2/Параметры!$B$3*Параметры!$B$10*Параметры!$B$4)*(Параметры!$B$6*Параметры!$B$7/Параметры!$B$8*1E-24))*(A215*0.0000001)/SIN(RADIANS(Параметры!$B$9)))</f>
        <v>1.7809230090373607E-2</v>
      </c>
      <c r="C215" s="10">
        <f>1-EXP(-((4*Параметры!$B$2/Параметры!$B$3*Параметры!$B$10*Параметры!$B$5)*(Параметры!$B$6*Параметры!$B$7/Параметры!$B$8*1E-24))*(A215*0.0000001)/SIN(RADIANS(Параметры!$B$9)))</f>
        <v>7.768065343879027E-2</v>
      </c>
    </row>
    <row r="216" spans="1:3" ht="15.75" x14ac:dyDescent="0.25">
      <c r="A216" s="9">
        <v>2140</v>
      </c>
      <c r="B216" s="10">
        <f>1-EXP(-((4*Параметры!$B$2/Параметры!$B$3*Параметры!$B$10*Параметры!$B$4)*(Параметры!$B$6*Параметры!$B$7/Параметры!$B$8*1E-24))*(A216*0.0000001)/SIN(RADIANS(Параметры!$B$9)))</f>
        <v>1.7892089016995349E-2</v>
      </c>
      <c r="C216" s="10">
        <f>1-EXP(-((4*Параметры!$B$2/Параметры!$B$3*Параметры!$B$10*Параметры!$B$5)*(Параметры!$B$6*Параметры!$B$7/Параметры!$B$8*1E-24))*(A216*0.0000001)/SIN(RADIANS(Параметры!$B$9)))</f>
        <v>7.8030738170792091E-2</v>
      </c>
    </row>
    <row r="217" spans="1:3" ht="15.75" x14ac:dyDescent="0.25">
      <c r="A217" s="9">
        <v>2150</v>
      </c>
      <c r="B217" s="10">
        <f>1-EXP(-((4*Параметры!$B$2/Параметры!$B$3*Параметры!$B$10*Параметры!$B$4)*(Параметры!$B$6*Параметры!$B$7/Параметры!$B$8*1E-24))*(A217*0.0000001)/SIN(RADIANS(Параметры!$B$9)))</f>
        <v>1.7974940953527141E-2</v>
      </c>
      <c r="C217" s="10">
        <f>1-EXP(-((4*Параметры!$B$2/Параметры!$B$3*Параметры!$B$10*Параметры!$B$5)*(Параметры!$B$6*Параметры!$B$7/Параметры!$B$8*1E-24))*(A217*0.0000001)/SIN(RADIANS(Параметры!$B$9)))</f>
        <v>7.8380690021140675E-2</v>
      </c>
    </row>
    <row r="218" spans="1:3" ht="15.75" x14ac:dyDescent="0.25">
      <c r="A218" s="9">
        <v>2160</v>
      </c>
      <c r="B218" s="10">
        <f>1-EXP(-((4*Параметры!$B$2/Параметры!$B$3*Параметры!$B$10*Параметры!$B$4)*(Параметры!$B$6*Параметры!$B$7/Параметры!$B$8*1E-24))*(A218*0.0000001)/SIN(RADIANS(Параметры!$B$9)))</f>
        <v>1.8057785900558843E-2</v>
      </c>
      <c r="C218" s="10">
        <f>1-EXP(-((4*Параметры!$B$2/Параметры!$B$3*Параметры!$B$10*Параметры!$B$5)*(Параметры!$B$6*Параметры!$B$7/Параметры!$B$8*1E-24))*(A218*0.0000001)/SIN(RADIANS(Параметры!$B$9)))</f>
        <v>7.8730509040273899E-2</v>
      </c>
    </row>
    <row r="219" spans="1:3" ht="15.75" x14ac:dyDescent="0.25">
      <c r="A219" s="9">
        <v>2170</v>
      </c>
      <c r="B219" s="10">
        <f>1-EXP(-((4*Параметры!$B$2/Параметры!$B$3*Параметры!$B$10*Параметры!$B$4)*(Параметры!$B$6*Параметры!$B$7/Параметры!$B$8*1E-24))*(A219*0.0000001)/SIN(RADIANS(Параметры!$B$9)))</f>
        <v>1.8140623858680094E-2</v>
      </c>
      <c r="C219" s="10">
        <f>1-EXP(-((4*Параметры!$B$2/Параметры!$B$3*Параметры!$B$10*Параметры!$B$5)*(Параметры!$B$6*Параметры!$B$7/Параметры!$B$8*1E-24))*(A219*0.0000001)/SIN(RADIANS(Параметры!$B$9)))</f>
        <v>7.9080195278610543E-2</v>
      </c>
    </row>
    <row r="220" spans="1:3" ht="15.75" x14ac:dyDescent="0.25">
      <c r="A220" s="9">
        <v>2180</v>
      </c>
      <c r="B220" s="10">
        <f>1-EXP(-((4*Параметры!$B$2/Параметры!$B$3*Параметры!$B$10*Параметры!$B$4)*(Параметры!$B$6*Параметры!$B$7/Параметры!$B$8*1E-24))*(A220*0.0000001)/SIN(RADIANS(Параметры!$B$9)))</f>
        <v>1.8223454828480423E-2</v>
      </c>
      <c r="C220" s="10">
        <f>1-EXP(-((4*Параметры!$B$2/Параметры!$B$3*Параметры!$B$10*Параметры!$B$5)*(Параметры!$B$6*Параметры!$B$7/Параметры!$B$8*1E-24))*(A220*0.0000001)/SIN(RADIANS(Параметры!$B$9)))</f>
        <v>7.9429748786550181E-2</v>
      </c>
    </row>
    <row r="221" spans="1:3" ht="15.75" x14ac:dyDescent="0.25">
      <c r="A221" s="9">
        <v>2190</v>
      </c>
      <c r="B221" s="10">
        <f>1-EXP(-((4*Параметры!$B$2/Параметры!$B$3*Параметры!$B$10*Параметры!$B$4)*(Параметры!$B$6*Параметры!$B$7/Параметры!$B$8*1E-24))*(A221*0.0000001)/SIN(RADIANS(Параметры!$B$9)))</f>
        <v>1.8306278810549359E-2</v>
      </c>
      <c r="C221" s="10">
        <f>1-EXP(-((4*Параметры!$B$2/Параметры!$B$3*Параметры!$B$10*Параметры!$B$5)*(Параметры!$B$6*Параметры!$B$7/Параметры!$B$8*1E-24))*(A221*0.0000001)/SIN(RADIANS(Параметры!$B$9)))</f>
        <v>7.9779169614473289E-2</v>
      </c>
    </row>
    <row r="222" spans="1:3" ht="15.75" x14ac:dyDescent="0.25">
      <c r="A222" s="9">
        <v>2200</v>
      </c>
      <c r="B222" s="10">
        <f>1-EXP(-((4*Параметры!$B$2/Параметры!$B$3*Параметры!$B$10*Параметры!$B$4)*(Параметры!$B$6*Параметры!$B$7/Параметры!$B$8*1E-24))*(A222*0.0000001)/SIN(RADIANS(Параметры!$B$9)))</f>
        <v>1.838909580547643E-2</v>
      </c>
      <c r="C222" s="10">
        <f>1-EXP(-((4*Параметры!$B$2/Параметры!$B$3*Параметры!$B$10*Параметры!$B$5)*(Параметры!$B$6*Параметры!$B$7/Параметры!$B$8*1E-24))*(A222*0.0000001)/SIN(RADIANS(Параметры!$B$9)))</f>
        <v>8.0128457812741138E-2</v>
      </c>
    </row>
    <row r="223" spans="1:3" ht="15.75" x14ac:dyDescent="0.25">
      <c r="A223" s="9">
        <v>2210</v>
      </c>
      <c r="B223" s="10">
        <f>1-EXP(-((4*Параметры!$B$2/Параметры!$B$3*Параметры!$B$10*Параметры!$B$4)*(Параметры!$B$6*Параметры!$B$7/Параметры!$B$8*1E-24))*(A223*0.0000001)/SIN(RADIANS(Параметры!$B$9)))</f>
        <v>1.8471905813851053E-2</v>
      </c>
      <c r="C223" s="10">
        <f>1-EXP(-((4*Параметры!$B$2/Параметры!$B$3*Параметры!$B$10*Параметры!$B$5)*(Параметры!$B$6*Параметры!$B$7/Параметры!$B$8*1E-24))*(A223*0.0000001)/SIN(RADIANS(Параметры!$B$9)))</f>
        <v>8.0477613431696127E-2</v>
      </c>
    </row>
    <row r="224" spans="1:3" ht="15.75" x14ac:dyDescent="0.25">
      <c r="A224" s="9">
        <v>2220</v>
      </c>
      <c r="B224" s="10">
        <f>1-EXP(-((4*Параметры!$B$2/Параметры!$B$3*Параметры!$B$10*Параметры!$B$4)*(Параметры!$B$6*Параметры!$B$7/Параметры!$B$8*1E-24))*(A224*0.0000001)/SIN(RADIANS(Параметры!$B$9)))</f>
        <v>1.8554708836262646E-2</v>
      </c>
      <c r="C224" s="10">
        <f>1-EXP(-((4*Параметры!$B$2/Параметры!$B$3*Параметры!$B$10*Параметры!$B$5)*(Параметры!$B$6*Параметры!$B$7/Параметры!$B$8*1E-24))*(A224*0.0000001)/SIN(RADIANS(Параметры!$B$9)))</f>
        <v>8.0826636521661333E-2</v>
      </c>
    </row>
    <row r="225" spans="1:3" ht="15.75" x14ac:dyDescent="0.25">
      <c r="A225" s="9">
        <v>2230</v>
      </c>
      <c r="B225" s="10">
        <f>1-EXP(-((4*Параметры!$B$2/Параметры!$B$3*Параметры!$B$10*Параметры!$B$4)*(Параметры!$B$6*Параметры!$B$7/Параметры!$B$8*1E-24))*(A225*0.0000001)/SIN(RADIANS(Параметры!$B$9)))</f>
        <v>1.8637504873300514E-2</v>
      </c>
      <c r="C225" s="10">
        <f>1-EXP(-((4*Параметры!$B$2/Параметры!$B$3*Параметры!$B$10*Параметры!$B$5)*(Параметры!$B$6*Параметры!$B$7/Параметры!$B$8*1E-24))*(A225*0.0000001)/SIN(RADIANS(Параметры!$B$9)))</f>
        <v>8.1175527132940739E-2</v>
      </c>
    </row>
    <row r="226" spans="1:3" ht="15.75" x14ac:dyDescent="0.25">
      <c r="A226" s="9">
        <v>2240</v>
      </c>
      <c r="B226" s="10">
        <f>1-EXP(-((4*Параметры!$B$2/Параметры!$B$3*Параметры!$B$10*Параметры!$B$4)*(Параметры!$B$6*Параметры!$B$7/Параметры!$B$8*1E-24))*(A226*0.0000001)/SIN(RADIANS(Параметры!$B$9)))</f>
        <v>1.8720293925554077E-2</v>
      </c>
      <c r="C226" s="10">
        <f>1-EXP(-((4*Параметры!$B$2/Параметры!$B$3*Параметры!$B$10*Параметры!$B$5)*(Параметры!$B$6*Параметры!$B$7/Параметры!$B$8*1E-24))*(A226*0.0000001)/SIN(RADIANS(Параметры!$B$9)))</f>
        <v>8.1524285315819234E-2</v>
      </c>
    </row>
    <row r="227" spans="1:3" ht="15.75" x14ac:dyDescent="0.25">
      <c r="A227" s="9">
        <v>2250</v>
      </c>
      <c r="B227" s="10">
        <f>1-EXP(-((4*Параметры!$B$2/Параметры!$B$3*Параметры!$B$10*Параметры!$B$4)*(Параметры!$B$6*Параметры!$B$7/Параметры!$B$8*1E-24))*(A227*0.0000001)/SIN(RADIANS(Параметры!$B$9)))</f>
        <v>1.8803075993612528E-2</v>
      </c>
      <c r="C227" s="10">
        <f>1-EXP(-((4*Параметры!$B$2/Параметры!$B$3*Параметры!$B$10*Параметры!$B$5)*(Параметры!$B$6*Параметры!$B$7/Параметры!$B$8*1E-24))*(A227*0.0000001)/SIN(RADIANS(Параметры!$B$9)))</f>
        <v>8.1872911120562719E-2</v>
      </c>
    </row>
    <row r="228" spans="1:3" ht="15.75" x14ac:dyDescent="0.25">
      <c r="A228" s="9">
        <v>2260</v>
      </c>
      <c r="B228" s="10">
        <f>1-EXP(-((4*Параметры!$B$2/Параметры!$B$3*Параметры!$B$10*Параметры!$B$4)*(Параметры!$B$6*Параметры!$B$7/Параметры!$B$8*1E-24))*(A228*0.0000001)/SIN(RADIANS(Параметры!$B$9)))</f>
        <v>1.8885851078064952E-2</v>
      </c>
      <c r="C228" s="10">
        <f>1-EXP(-((4*Параметры!$B$2/Параметры!$B$3*Параметры!$B$10*Параметры!$B$5)*(Параметры!$B$6*Параметры!$B$7/Параметры!$B$8*1E-24))*(A228*0.0000001)/SIN(RADIANS(Параметры!$B$9)))</f>
        <v>8.2221404597417891E-2</v>
      </c>
    </row>
    <row r="229" spans="1:3" ht="15.75" x14ac:dyDescent="0.25">
      <c r="A229" s="9">
        <v>2270</v>
      </c>
      <c r="B229" s="10">
        <f>1-EXP(-((4*Параметры!$B$2/Параметры!$B$3*Параметры!$B$10*Параметры!$B$4)*(Параметры!$B$6*Параметры!$B$7/Параметры!$B$8*1E-24))*(A229*0.0000001)/SIN(RADIANS(Параметры!$B$9)))</f>
        <v>1.8968619179500545E-2</v>
      </c>
      <c r="C229" s="10">
        <f>1-EXP(-((4*Параметры!$B$2/Параметры!$B$3*Параметры!$B$10*Параметры!$B$5)*(Параметры!$B$6*Параметры!$B$7/Параметры!$B$8*1E-24))*(A229*0.0000001)/SIN(RADIANS(Параметры!$B$9)))</f>
        <v>8.2569765796612571E-2</v>
      </c>
    </row>
    <row r="230" spans="1:3" ht="15.75" x14ac:dyDescent="0.25">
      <c r="A230" s="9">
        <v>2280</v>
      </c>
      <c r="B230" s="10">
        <f>1-EXP(-((4*Параметры!$B$2/Параметры!$B$3*Параметры!$B$10*Параметры!$B$4)*(Параметры!$B$6*Параметры!$B$7/Параметры!$B$8*1E-24))*(A230*0.0000001)/SIN(RADIANS(Параметры!$B$9)))</f>
        <v>1.9051380298508502E-2</v>
      </c>
      <c r="C230" s="10">
        <f>1-EXP(-((4*Параметры!$B$2/Параметры!$B$3*Параметры!$B$10*Параметры!$B$5)*(Параметры!$B$6*Параметры!$B$7/Параметры!$B$8*1E-24))*(A230*0.0000001)/SIN(RADIANS(Параметры!$B$9)))</f>
        <v>8.2917994768355374E-2</v>
      </c>
    </row>
    <row r="231" spans="1:3" ht="15.75" x14ac:dyDescent="0.25">
      <c r="A231" s="9">
        <v>2290</v>
      </c>
      <c r="B231" s="10">
        <f>1-EXP(-((4*Параметры!$B$2/Параметры!$B$3*Параметры!$B$10*Параметры!$B$4)*(Параметры!$B$6*Параметры!$B$7/Параметры!$B$8*1E-24))*(A231*0.0000001)/SIN(RADIANS(Параметры!$B$9)))</f>
        <v>1.9134134435677796E-2</v>
      </c>
      <c r="C231" s="10">
        <f>1-EXP(-((4*Параметры!$B$2/Параметры!$B$3*Параметры!$B$10*Параметры!$B$5)*(Параметры!$B$6*Параметры!$B$7/Параметры!$B$8*1E-24))*(A231*0.0000001)/SIN(RADIANS(Параметры!$B$9)))</f>
        <v>8.3266091562835709E-2</v>
      </c>
    </row>
    <row r="232" spans="1:3" ht="15.75" x14ac:dyDescent="0.25">
      <c r="A232" s="9">
        <v>2300</v>
      </c>
      <c r="B232" s="10">
        <f>1-EXP(-((4*Параметры!$B$2/Параметры!$B$3*Параметры!$B$10*Параметры!$B$4)*(Параметры!$B$6*Параметры!$B$7/Параметры!$B$8*1E-24))*(A232*0.0000001)/SIN(RADIANS(Параметры!$B$9)))</f>
        <v>1.9216881591597401E-2</v>
      </c>
      <c r="C232" s="10">
        <f>1-EXP(-((4*Параметры!$B$2/Параметры!$B$3*Параметры!$B$10*Параметры!$B$5)*(Параметры!$B$6*Параметры!$B$7/Параметры!$B$8*1E-24))*(A232*0.0000001)/SIN(RADIANS(Параметры!$B$9)))</f>
        <v>8.3614056230224332E-2</v>
      </c>
    </row>
    <row r="233" spans="1:3" ht="15.75" x14ac:dyDescent="0.25">
      <c r="A233" s="9">
        <v>2310</v>
      </c>
      <c r="B233" s="10">
        <f>1-EXP(-((4*Параметры!$B$2/Параметры!$B$3*Параметры!$B$10*Параметры!$B$4)*(Параметры!$B$6*Параметры!$B$7/Параметры!$B$8*1E-24))*(A233*0.0000001)/SIN(RADIANS(Параметры!$B$9)))</f>
        <v>1.929962176685629E-2</v>
      </c>
      <c r="C233" s="10">
        <f>1-EXP(-((4*Параметры!$B$2/Параметры!$B$3*Параметры!$B$10*Параметры!$B$5)*(Параметры!$B$6*Параметры!$B$7/Параметры!$B$8*1E-24))*(A233*0.0000001)/SIN(RADIANS(Параметры!$B$9)))</f>
        <v>8.3961888820672459E-2</v>
      </c>
    </row>
    <row r="234" spans="1:3" ht="15.75" x14ac:dyDescent="0.25">
      <c r="A234" s="9">
        <v>2320</v>
      </c>
      <c r="B234" s="10">
        <f>1-EXP(-((4*Параметры!$B$2/Параметры!$B$3*Параметры!$B$10*Параметры!$B$4)*(Параметры!$B$6*Параметры!$B$7/Параметры!$B$8*1E-24))*(A234*0.0000001)/SIN(RADIANS(Параметры!$B$9)))</f>
        <v>1.9382354962043435E-2</v>
      </c>
      <c r="C234" s="10">
        <f>1-EXP(-((4*Параметры!$B$2/Параметры!$B$3*Параметры!$B$10*Параметры!$B$5)*(Параметры!$B$6*Параметры!$B$7/Параметры!$B$8*1E-24))*(A234*0.0000001)/SIN(RADIANS(Параметры!$B$9)))</f>
        <v>8.4309589384312766E-2</v>
      </c>
    </row>
    <row r="235" spans="1:3" ht="15.75" x14ac:dyDescent="0.25">
      <c r="A235" s="9">
        <v>2330</v>
      </c>
      <c r="B235" s="10">
        <f>1-EXP(-((4*Параметры!$B$2/Параметры!$B$3*Параметры!$B$10*Параметры!$B$4)*(Параметры!$B$6*Параметры!$B$7/Параметры!$B$8*1E-24))*(A235*0.0000001)/SIN(RADIANS(Параметры!$B$9)))</f>
        <v>1.9465081177747479E-2</v>
      </c>
      <c r="C235" s="10">
        <f>1-EXP(-((4*Параметры!$B$2/Параметры!$B$3*Параметры!$B$10*Параметры!$B$5)*(Параметры!$B$6*Параметры!$B$7/Параметры!$B$8*1E-24))*(A235*0.0000001)/SIN(RADIANS(Параметры!$B$9)))</f>
        <v>8.4657157971258501E-2</v>
      </c>
    </row>
    <row r="236" spans="1:3" ht="15.75" x14ac:dyDescent="0.25">
      <c r="A236" s="9">
        <v>2340</v>
      </c>
      <c r="B236" s="10">
        <f>1-EXP(-((4*Параметры!$B$2/Параметры!$B$3*Параметры!$B$10*Параметры!$B$4)*(Параметры!$B$6*Параметры!$B$7/Параметры!$B$8*1E-24))*(A236*0.0000001)/SIN(RADIANS(Параметры!$B$9)))</f>
        <v>1.9547800414557504E-2</v>
      </c>
      <c r="C236" s="10">
        <f>1-EXP(-((4*Параметры!$B$2/Параметры!$B$3*Параметры!$B$10*Параметры!$B$5)*(Параметры!$B$6*Параметры!$B$7/Параметры!$B$8*1E-24))*(A236*0.0000001)/SIN(RADIANS(Параметры!$B$9)))</f>
        <v>8.5004594631604147E-2</v>
      </c>
    </row>
    <row r="237" spans="1:3" ht="15.75" x14ac:dyDescent="0.25">
      <c r="A237" s="9">
        <v>2350</v>
      </c>
      <c r="B237" s="10">
        <f>1-EXP(-((4*Параметры!$B$2/Параметры!$B$3*Параметры!$B$10*Параметры!$B$4)*(Параметры!$B$6*Параметры!$B$7/Параметры!$B$8*1E-24))*(A237*0.0000001)/SIN(RADIANS(Параметры!$B$9)))</f>
        <v>1.9630512673062039E-2</v>
      </c>
      <c r="C237" s="10">
        <f>1-EXP(-((4*Параметры!$B$2/Параметры!$B$3*Параметры!$B$10*Параметры!$B$5)*(Параметры!$B$6*Параметры!$B$7/Параметры!$B$8*1E-24))*(A237*0.0000001)/SIN(RADIANS(Параметры!$B$9)))</f>
        <v>8.5351899415425092E-2</v>
      </c>
    </row>
    <row r="238" spans="1:3" ht="15.75" x14ac:dyDescent="0.25">
      <c r="A238" s="9">
        <v>2360</v>
      </c>
      <c r="B238" s="10">
        <f>1-EXP(-((4*Параметры!$B$2/Параметры!$B$3*Параметры!$B$10*Параметры!$B$4)*(Параметры!$B$6*Параметры!$B$7/Параметры!$B$8*1E-24))*(A238*0.0000001)/SIN(RADIANS(Параметры!$B$9)))</f>
        <v>1.9713217953849838E-2</v>
      </c>
      <c r="C238" s="10">
        <f>1-EXP(-((4*Параметры!$B$2/Параметры!$B$3*Параметры!$B$10*Параметры!$B$5)*(Параметры!$B$6*Параметры!$B$7/Параметры!$B$8*1E-24))*(A238*0.0000001)/SIN(RADIANS(Параметры!$B$9)))</f>
        <v>8.5699072372777629E-2</v>
      </c>
    </row>
    <row r="239" spans="1:3" ht="15.75" x14ac:dyDescent="0.25">
      <c r="A239" s="9">
        <v>2370</v>
      </c>
      <c r="B239" s="10">
        <f>1-EXP(-((4*Параметры!$B$2/Параметры!$B$3*Параметры!$B$10*Параметры!$B$4)*(Параметры!$B$6*Параметры!$B$7/Параметры!$B$8*1E-24))*(A239*0.0000001)/SIN(RADIANS(Параметры!$B$9)))</f>
        <v>1.9795916257509538E-2</v>
      </c>
      <c r="C239" s="10">
        <f>1-EXP(-((4*Параметры!$B$2/Параметры!$B$3*Параметры!$B$10*Параметры!$B$5)*(Параметры!$B$6*Параметры!$B$7/Параметры!$B$8*1E-24))*(A239*0.0000001)/SIN(RADIANS(Параметры!$B$9)))</f>
        <v>8.6046113553699177E-2</v>
      </c>
    </row>
    <row r="240" spans="1:3" ht="15.75" x14ac:dyDescent="0.25">
      <c r="A240" s="9">
        <v>2380</v>
      </c>
      <c r="B240" s="10">
        <f>1-EXP(-((4*Параметры!$B$2/Параметры!$B$3*Параметры!$B$10*Параметры!$B$4)*(Параметры!$B$6*Параметры!$B$7/Параметры!$B$8*1E-24))*(A240*0.0000001)/SIN(RADIANS(Параметры!$B$9)))</f>
        <v>1.9878607584629782E-2</v>
      </c>
      <c r="C240" s="10">
        <f>1-EXP(-((4*Параметры!$B$2/Параметры!$B$3*Параметры!$B$10*Параметры!$B$5)*(Параметры!$B$6*Параметры!$B$7/Параметры!$B$8*1E-24))*(A240*0.0000001)/SIN(RADIANS(Параметры!$B$9)))</f>
        <v>8.639302300820817E-2</v>
      </c>
    </row>
    <row r="241" spans="1:3" ht="15.75" x14ac:dyDescent="0.25">
      <c r="A241" s="9">
        <v>2390</v>
      </c>
      <c r="B241" s="10">
        <f>1-EXP(-((4*Параметры!$B$2/Параметры!$B$3*Параметры!$B$10*Параметры!$B$4)*(Параметры!$B$6*Параметры!$B$7/Параметры!$B$8*1E-24))*(A241*0.0000001)/SIN(RADIANS(Параметры!$B$9)))</f>
        <v>1.9961291935799208E-2</v>
      </c>
      <c r="C241" s="10">
        <f>1-EXP(-((4*Параметры!$B$2/Параметры!$B$3*Параметры!$B$10*Параметры!$B$5)*(Параметры!$B$6*Параметры!$B$7/Параметры!$B$8*1E-24))*(A241*0.0000001)/SIN(RADIANS(Параметры!$B$9)))</f>
        <v>8.6739800786303833E-2</v>
      </c>
    </row>
    <row r="242" spans="1:3" ht="15.75" x14ac:dyDescent="0.25">
      <c r="A242" s="9">
        <v>2400</v>
      </c>
      <c r="B242" s="10">
        <f>1-EXP(-((4*Параметры!$B$2/Параметры!$B$3*Параметры!$B$10*Параметры!$B$4)*(Параметры!$B$6*Параметры!$B$7/Параметры!$B$8*1E-24))*(A242*0.0000001)/SIN(RADIANS(Параметры!$B$9)))</f>
        <v>2.0043969311606125E-2</v>
      </c>
      <c r="C242" s="10">
        <f>1-EXP(-((4*Параметры!$B$2/Параметры!$B$3*Параметры!$B$10*Параметры!$B$5)*(Параметры!$B$6*Параметры!$B$7/Параметры!$B$8*1E-24))*(A242*0.0000001)/SIN(RADIANS(Параметры!$B$9)))</f>
        <v>8.7086446937966633E-2</v>
      </c>
    </row>
    <row r="243" spans="1:3" ht="15.75" x14ac:dyDescent="0.25">
      <c r="A243" s="9">
        <v>2410</v>
      </c>
      <c r="B243" s="10">
        <f>1-EXP(-((4*Параметры!$B$2/Параметры!$B$3*Параметры!$B$10*Параметры!$B$4)*(Параметры!$B$6*Параметры!$B$7/Параметры!$B$8*1E-24))*(A243*0.0000001)/SIN(RADIANS(Параметры!$B$9)))</f>
        <v>2.0126639712639061E-2</v>
      </c>
      <c r="C243" s="10">
        <f>1-EXP(-((4*Параметры!$B$2/Параметры!$B$3*Параметры!$B$10*Параметры!$B$5)*(Параметры!$B$6*Параметры!$B$7/Параметры!$B$8*1E-24))*(A243*0.0000001)/SIN(RADIANS(Параметры!$B$9)))</f>
        <v>8.7432961513158158E-2</v>
      </c>
    </row>
    <row r="244" spans="1:3" ht="15.75" x14ac:dyDescent="0.25">
      <c r="A244" s="9">
        <v>2420</v>
      </c>
      <c r="B244" s="10">
        <f>1-EXP(-((4*Параметры!$B$2/Параметры!$B$3*Параметры!$B$10*Параметры!$B$4)*(Параметры!$B$6*Параметры!$B$7/Параметры!$B$8*1E-24))*(A244*0.0000001)/SIN(RADIANS(Параметры!$B$9)))</f>
        <v>2.0209303139486434E-2</v>
      </c>
      <c r="C244" s="10">
        <f>1-EXP(-((4*Параметры!$B$2/Параметры!$B$3*Параметры!$B$10*Параметры!$B$5)*(Параметры!$B$6*Параметры!$B$7/Параметры!$B$8*1E-24))*(A244*0.0000001)/SIN(RADIANS(Параметры!$B$9)))</f>
        <v>8.7779344561820793E-2</v>
      </c>
    </row>
    <row r="245" spans="1:3" ht="15.75" x14ac:dyDescent="0.25">
      <c r="A245" s="9">
        <v>2430</v>
      </c>
      <c r="B245" s="10">
        <f>1-EXP(-((4*Параметры!$B$2/Параметры!$B$3*Параметры!$B$10*Параметры!$B$4)*(Параметры!$B$6*Параметры!$B$7/Параметры!$B$8*1E-24))*(A245*0.0000001)/SIN(RADIANS(Параметры!$B$9)))</f>
        <v>2.0291959592736664E-2</v>
      </c>
      <c r="C245" s="10">
        <f>1-EXP(-((4*Параметры!$B$2/Параметры!$B$3*Параметры!$B$10*Параметры!$B$5)*(Параметры!$B$6*Параметры!$B$7/Параметры!$B$8*1E-24))*(A245*0.0000001)/SIN(RADIANS(Параметры!$B$9)))</f>
        <v>8.8125596133877937E-2</v>
      </c>
    </row>
    <row r="246" spans="1:3" ht="15.75" x14ac:dyDescent="0.25">
      <c r="A246" s="9">
        <v>2440</v>
      </c>
      <c r="B246" s="10">
        <f>1-EXP(-((4*Параметры!$B$2/Параметры!$B$3*Параметры!$B$10*Параметры!$B$4)*(Параметры!$B$6*Параметры!$B$7/Параметры!$B$8*1E-24))*(A246*0.0000001)/SIN(RADIANS(Параметры!$B$9)))</f>
        <v>2.0374609072977945E-2</v>
      </c>
      <c r="C246" s="10">
        <f>1-EXP(-((4*Параметры!$B$2/Параметры!$B$3*Параметры!$B$10*Параметры!$B$5)*(Параметры!$B$6*Параметры!$B$7/Параметры!$B$8*1E-24))*(A246*0.0000001)/SIN(RADIANS(Параметры!$B$9)))</f>
        <v>8.8471716279234336E-2</v>
      </c>
    </row>
    <row r="247" spans="1:3" ht="15.75" x14ac:dyDescent="0.25">
      <c r="A247" s="9">
        <v>2450</v>
      </c>
      <c r="B247" s="10">
        <f>1-EXP(-((4*Параметры!$B$2/Параметры!$B$3*Параметры!$B$10*Параметры!$B$4)*(Параметры!$B$6*Параметры!$B$7/Параметры!$B$8*1E-24))*(A247*0.0000001)/SIN(RADIANS(Параметры!$B$9)))</f>
        <v>2.0457251580798474E-2</v>
      </c>
      <c r="C247" s="10">
        <f>1-EXP(-((4*Параметры!$B$2/Параметры!$B$3*Параметры!$B$10*Параметры!$B$5)*(Параметры!$B$6*Параметры!$B$7/Параметры!$B$8*1E-24))*(A247*0.0000001)/SIN(RADIANS(Параметры!$B$9)))</f>
        <v>8.8817705047775641E-2</v>
      </c>
    </row>
    <row r="248" spans="1:3" ht="15.75" x14ac:dyDescent="0.25">
      <c r="A248" s="9">
        <v>2460</v>
      </c>
      <c r="B248" s="10">
        <f>1-EXP(-((4*Параметры!$B$2/Параметры!$B$3*Параметры!$B$10*Параметры!$B$4)*(Параметры!$B$6*Параметры!$B$7/Параметры!$B$8*1E-24))*(A248*0.0000001)/SIN(RADIANS(Параметры!$B$9)))</f>
        <v>2.053988711678667E-2</v>
      </c>
      <c r="C248" s="10">
        <f>1-EXP(-((4*Параметры!$B$2/Параметры!$B$3*Параметры!$B$10*Параметры!$B$5)*(Параметры!$B$6*Параметры!$B$7/Параметры!$B$8*1E-24))*(A248*0.0000001)/SIN(RADIANS(Параметры!$B$9)))</f>
        <v>8.9163562489368298E-2</v>
      </c>
    </row>
    <row r="249" spans="1:3" ht="15.75" x14ac:dyDescent="0.25">
      <c r="A249" s="9">
        <v>2470</v>
      </c>
      <c r="B249" s="10">
        <f>1-EXP(-((4*Параметры!$B$2/Параметры!$B$3*Параметры!$B$10*Параметры!$B$4)*(Параметры!$B$6*Параметры!$B$7/Параметры!$B$8*1E-24))*(A249*0.0000001)/SIN(RADIANS(Параметры!$B$9)))</f>
        <v>2.0622515681530507E-2</v>
      </c>
      <c r="C249" s="10">
        <f>1-EXP(-((4*Параметры!$B$2/Параметры!$B$3*Параметры!$B$10*Параметры!$B$5)*(Параметры!$B$6*Параметры!$B$7/Параметры!$B$8*1E-24))*(A249*0.0000001)/SIN(RADIANS(Параметры!$B$9)))</f>
        <v>8.9509288653860319E-2</v>
      </c>
    </row>
    <row r="250" spans="1:3" ht="15.75" x14ac:dyDescent="0.25">
      <c r="A250" s="9">
        <v>2480</v>
      </c>
      <c r="B250" s="10">
        <f>1-EXP(-((4*Параметры!$B$2/Параметры!$B$3*Параметры!$B$10*Параметры!$B$4)*(Параметры!$B$6*Параметры!$B$7/Параметры!$B$8*1E-24))*(A250*0.0000001)/SIN(RADIANS(Параметры!$B$9)))</f>
        <v>2.0705137275618068E-2</v>
      </c>
      <c r="C250" s="10">
        <f>1-EXP(-((4*Параметры!$B$2/Параметры!$B$3*Параметры!$B$10*Параметры!$B$5)*(Параметры!$B$6*Параметры!$B$7/Параметры!$B$8*1E-24))*(A250*0.0000001)/SIN(RADIANS(Параметры!$B$9)))</f>
        <v>8.9854883591080514E-2</v>
      </c>
    </row>
    <row r="251" spans="1:3" ht="15.75" x14ac:dyDescent="0.25">
      <c r="A251" s="9">
        <v>2490</v>
      </c>
      <c r="B251" s="10">
        <f>1-EXP(-((4*Параметры!$B$2/Параметры!$B$3*Параметры!$B$10*Параметры!$B$4)*(Параметры!$B$6*Параметры!$B$7/Параметры!$B$8*1E-24))*(A251*0.0000001)/SIN(RADIANS(Параметры!$B$9)))</f>
        <v>2.0787751899637552E-2</v>
      </c>
      <c r="C251" s="10">
        <f>1-EXP(-((4*Параметры!$B$2/Параметры!$B$3*Параметры!$B$10*Параметры!$B$5)*(Параметры!$B$6*Параметры!$B$7/Параметры!$B$8*1E-24))*(A251*0.0000001)/SIN(RADIANS(Параметры!$B$9)))</f>
        <v>9.0200347350838705E-2</v>
      </c>
    </row>
    <row r="252" spans="1:3" ht="15.75" x14ac:dyDescent="0.25">
      <c r="A252" s="9">
        <v>2500</v>
      </c>
      <c r="B252" s="10">
        <f>1-EXP(-((4*Параметры!$B$2/Параметры!$B$3*Параметры!$B$10*Параметры!$B$4)*(Параметры!$B$6*Параметры!$B$7/Параметры!$B$8*1E-24))*(A252*0.0000001)/SIN(RADIANS(Параметры!$B$9)))</f>
        <v>2.0870359554176932E-2</v>
      </c>
      <c r="C252" s="10">
        <f>1-EXP(-((4*Параметры!$B$2/Параметры!$B$3*Параметры!$B$10*Параметры!$B$5)*(Параметры!$B$6*Параметры!$B$7/Параметры!$B$8*1E-24))*(A252*0.0000001)/SIN(RADIANS(Параметры!$B$9)))</f>
        <v>9.0545679982926064E-2</v>
      </c>
    </row>
    <row r="253" spans="1:3" ht="15.75" x14ac:dyDescent="0.25">
      <c r="A253" s="9">
        <v>2510</v>
      </c>
      <c r="B253" s="10">
        <f>1-EXP(-((4*Параметры!$B$2/Параметры!$B$3*Параметры!$B$10*Параметры!$B$4)*(Параметры!$B$6*Параметры!$B$7/Параметры!$B$8*1E-24))*(A253*0.0000001)/SIN(RADIANS(Параметры!$B$9)))</f>
        <v>2.095296023982407E-2</v>
      </c>
      <c r="C253" s="10">
        <f>1-EXP(-((4*Параметры!$B$2/Параметры!$B$3*Параметры!$B$10*Параметры!$B$5)*(Параметры!$B$6*Параметры!$B$7/Параметры!$B$8*1E-24))*(A253*0.0000001)/SIN(RADIANS(Параметры!$B$9)))</f>
        <v>9.0890881537114554E-2</v>
      </c>
    </row>
    <row r="254" spans="1:3" ht="15.75" x14ac:dyDescent="0.25">
      <c r="A254" s="9">
        <v>2520</v>
      </c>
      <c r="B254" s="10">
        <f>1-EXP(-((4*Параметры!$B$2/Параметры!$B$3*Параметры!$B$10*Параметры!$B$4)*(Параметры!$B$6*Параметры!$B$7/Параметры!$B$8*1E-24))*(A254*0.0000001)/SIN(RADIANS(Параметры!$B$9)))</f>
        <v>2.1035553957166941E-2</v>
      </c>
      <c r="C254" s="10">
        <f>1-EXP(-((4*Параметры!$B$2/Параметры!$B$3*Параметры!$B$10*Параметры!$B$5)*(Параметры!$B$6*Параметры!$B$7/Параметры!$B$8*1E-24))*(A254*0.0000001)/SIN(RADIANS(Параметры!$B$9)))</f>
        <v>9.1235952063157488E-2</v>
      </c>
    </row>
    <row r="255" spans="1:3" ht="15.75" x14ac:dyDescent="0.25">
      <c r="A255" s="9">
        <v>2530</v>
      </c>
      <c r="B255" s="10">
        <f>1-EXP(-((4*Параметры!$B$2/Параметры!$B$3*Параметры!$B$10*Параметры!$B$4)*(Параметры!$B$6*Параметры!$B$7/Параметры!$B$8*1E-24))*(A255*0.0000001)/SIN(RADIANS(Параметры!$B$9)))</f>
        <v>2.1118140706793298E-2</v>
      </c>
      <c r="C255" s="10">
        <f>1-EXP(-((4*Параметры!$B$2/Параметры!$B$3*Параметры!$B$10*Параметры!$B$5)*(Параметры!$B$6*Параметры!$B$7/Параметры!$B$8*1E-24))*(A255*0.0000001)/SIN(RADIANS(Параметры!$B$9)))</f>
        <v>9.1580891610789306E-2</v>
      </c>
    </row>
    <row r="256" spans="1:3" ht="15.75" x14ac:dyDescent="0.25">
      <c r="A256" s="9">
        <v>2540</v>
      </c>
      <c r="B256" s="10">
        <f>1-EXP(-((4*Параметры!$B$2/Параметры!$B$3*Параметры!$B$10*Параметры!$B$4)*(Параметры!$B$6*Параметры!$B$7/Параметры!$B$8*1E-24))*(A256*0.0000001)/SIN(RADIANS(Параметры!$B$9)))</f>
        <v>2.1200720489291114E-2</v>
      </c>
      <c r="C256" s="10">
        <f>1-EXP(-((4*Параметры!$B$2/Параметры!$B$3*Параметры!$B$10*Параметры!$B$5)*(Параметры!$B$6*Параметры!$B$7/Параметры!$B$8*1E-24))*(A256*0.0000001)/SIN(RADIANS(Параметры!$B$9)))</f>
        <v>9.1925700229725349E-2</v>
      </c>
    </row>
    <row r="257" spans="1:3" ht="15.75" x14ac:dyDescent="0.25">
      <c r="A257" s="9">
        <v>2550</v>
      </c>
      <c r="B257" s="10">
        <f>1-EXP(-((4*Параметры!$B$2/Параметры!$B$3*Параметры!$B$10*Параметры!$B$4)*(Параметры!$B$6*Параметры!$B$7/Параметры!$B$8*1E-24))*(A257*0.0000001)/SIN(RADIANS(Параметры!$B$9)))</f>
        <v>2.128329330524803E-2</v>
      </c>
      <c r="C257" s="10">
        <f>1-EXP(-((4*Параметры!$B$2/Параметры!$B$3*Параметры!$B$10*Параметры!$B$5)*(Параметры!$B$6*Параметры!$B$7/Параметры!$B$8*1E-24))*(A257*0.0000001)/SIN(RADIANS(Параметры!$B$9)))</f>
        <v>9.2270377969662309E-2</v>
      </c>
    </row>
    <row r="258" spans="1:3" ht="15.75" x14ac:dyDescent="0.25">
      <c r="A258" s="9">
        <v>2560</v>
      </c>
      <c r="B258" s="10">
        <f>1-EXP(-((4*Параметры!$B$2/Параметры!$B$3*Параметры!$B$10*Параметры!$B$4)*(Параметры!$B$6*Параметры!$B$7/Параметры!$B$8*1E-24))*(A258*0.0000001)/SIN(RADIANS(Параметры!$B$9)))</f>
        <v>2.1365859155251798E-2</v>
      </c>
      <c r="C258" s="10">
        <f>1-EXP(-((4*Параметры!$B$2/Параметры!$B$3*Параметры!$B$10*Параметры!$B$5)*(Параметры!$B$6*Параметры!$B$7/Параметры!$B$8*1E-24))*(A258*0.0000001)/SIN(RADIANS(Параметры!$B$9)))</f>
        <v>9.2614924880277782E-2</v>
      </c>
    </row>
    <row r="259" spans="1:3" ht="15.75" x14ac:dyDescent="0.25">
      <c r="A259" s="9">
        <v>2570</v>
      </c>
      <c r="B259" s="10">
        <f>1-EXP(-((4*Параметры!$B$2/Параметры!$B$3*Параметры!$B$10*Параметры!$B$4)*(Параметры!$B$6*Параметры!$B$7/Параметры!$B$8*1E-24))*(A259*0.0000001)/SIN(RADIANS(Параметры!$B$9)))</f>
        <v>2.144841803989006E-2</v>
      </c>
      <c r="C259" s="10">
        <f>1-EXP(-((4*Параметры!$B$2/Параметры!$B$3*Параметры!$B$10*Параметры!$B$5)*(Параметры!$B$6*Параметры!$B$7/Параметры!$B$8*1E-24))*(A259*0.0000001)/SIN(RADIANS(Параметры!$B$9)))</f>
        <v>9.2959341011230823E-2</v>
      </c>
    </row>
    <row r="260" spans="1:3" ht="15.75" x14ac:dyDescent="0.25">
      <c r="A260" s="9">
        <v>2580</v>
      </c>
      <c r="B260" s="10">
        <f>1-EXP(-((4*Параметры!$B$2/Параметры!$B$3*Параметры!$B$10*Параметры!$B$4)*(Параметры!$B$6*Параметры!$B$7/Параметры!$B$8*1E-24))*(A260*0.0000001)/SIN(RADIANS(Параметры!$B$9)))</f>
        <v>2.1530969959750457E-2</v>
      </c>
      <c r="C260" s="10">
        <f>1-EXP(-((4*Параметры!$B$2/Параметры!$B$3*Параметры!$B$10*Параметры!$B$5)*(Параметры!$B$6*Параметры!$B$7/Параметры!$B$8*1E-24))*(A260*0.0000001)/SIN(RADIANS(Параметры!$B$9)))</f>
        <v>9.3303626412161389E-2</v>
      </c>
    </row>
    <row r="261" spans="1:3" ht="15.75" x14ac:dyDescent="0.25">
      <c r="A261" s="9">
        <v>2590</v>
      </c>
      <c r="B261" s="10">
        <f>1-EXP(-((4*Параметры!$B$2/Параметры!$B$3*Параметры!$B$10*Параметры!$B$4)*(Параметры!$B$6*Параметры!$B$7/Параметры!$B$8*1E-24))*(A261*0.0000001)/SIN(RADIANS(Параметры!$B$9)))</f>
        <v>2.1613514915420518E-2</v>
      </c>
      <c r="C261" s="10">
        <f>1-EXP(-((4*Параметры!$B$2/Параметры!$B$3*Параметры!$B$10*Параметры!$B$5)*(Параметры!$B$6*Параметры!$B$7/Параметры!$B$8*1E-24))*(A261*0.0000001)/SIN(RADIANS(Параметры!$B$9)))</f>
        <v>9.3647781132690677E-2</v>
      </c>
    </row>
    <row r="262" spans="1:3" ht="15.75" x14ac:dyDescent="0.25">
      <c r="A262" s="9">
        <v>2600</v>
      </c>
      <c r="B262" s="10">
        <f>1-EXP(-((4*Параметры!$B$2/Параметры!$B$3*Параметры!$B$10*Параметры!$B$4)*(Параметры!$B$6*Параметры!$B$7/Параметры!$B$8*1E-24))*(A262*0.0000001)/SIN(RADIANS(Параметры!$B$9)))</f>
        <v>2.1696052907487662E-2</v>
      </c>
      <c r="C262" s="10">
        <f>1-EXP(-((4*Параметры!$B$2/Параметры!$B$3*Параметры!$B$10*Параметры!$B$5)*(Параметры!$B$6*Параметры!$B$7/Параметры!$B$8*1E-24))*(A262*0.0000001)/SIN(RADIANS(Параметры!$B$9)))</f>
        <v>9.399180522242101E-2</v>
      </c>
    </row>
    <row r="263" spans="1:3" ht="15.75" x14ac:dyDescent="0.25">
      <c r="A263" s="9">
        <v>2610</v>
      </c>
      <c r="B263" s="10">
        <f>1-EXP(-((4*Параметры!$B$2/Параметры!$B$3*Параметры!$B$10*Параметры!$B$4)*(Параметры!$B$6*Параметры!$B$7/Параметры!$B$8*1E-24))*(A263*0.0000001)/SIN(RADIANS(Параметры!$B$9)))</f>
        <v>2.1778583936539531E-2</v>
      </c>
      <c r="C263" s="10">
        <f>1-EXP(-((4*Параметры!$B$2/Параметры!$B$3*Параметры!$B$10*Параметры!$B$5)*(Параметры!$B$6*Параметры!$B$7/Параметры!$B$8*1E-24))*(A263*0.0000001)/SIN(RADIANS(Параметры!$B$9)))</f>
        <v>9.4335698730935946E-2</v>
      </c>
    </row>
    <row r="264" spans="1:3" ht="15.75" x14ac:dyDescent="0.25">
      <c r="A264" s="9">
        <v>2620</v>
      </c>
      <c r="B264" s="10">
        <f>1-EXP(-((4*Параметры!$B$2/Параметры!$B$3*Параметры!$B$10*Параметры!$B$4)*(Параметры!$B$6*Параметры!$B$7/Параметры!$B$8*1E-24))*(A264*0.0000001)/SIN(RADIANS(Параметры!$B$9)))</f>
        <v>2.1861108003163432E-2</v>
      </c>
      <c r="C264" s="10">
        <f>1-EXP(-((4*Параметры!$B$2/Параметры!$B$3*Параметры!$B$10*Параметры!$B$5)*(Параметры!$B$6*Параметры!$B$7/Параметры!$B$8*1E-24))*(A264*0.0000001)/SIN(RADIANS(Параметры!$B$9)))</f>
        <v>9.4679461707800283E-2</v>
      </c>
    </row>
    <row r="265" spans="1:3" ht="15.75" x14ac:dyDescent="0.25">
      <c r="A265" s="9">
        <v>2630</v>
      </c>
      <c r="B265" s="10">
        <f>1-EXP(-((4*Параметры!$B$2/Параметры!$B$3*Параметры!$B$10*Параметры!$B$4)*(Параметры!$B$6*Параметры!$B$7/Параметры!$B$8*1E-24))*(A265*0.0000001)/SIN(RADIANS(Параметры!$B$9)))</f>
        <v>2.1943625107946674E-2</v>
      </c>
      <c r="C265" s="10">
        <f>1-EXP(-((4*Параметры!$B$2/Параметры!$B$3*Параметры!$B$10*Параметры!$B$5)*(Параметры!$B$6*Параметры!$B$7/Параметры!$B$8*1E-24))*(A265*0.0000001)/SIN(RADIANS(Параметры!$B$9)))</f>
        <v>9.5023094202559721E-2</v>
      </c>
    </row>
    <row r="266" spans="1:3" ht="15.75" x14ac:dyDescent="0.25">
      <c r="A266" s="9">
        <v>2640</v>
      </c>
      <c r="B266" s="10">
        <f>1-EXP(-((4*Параметры!$B$2/Параметры!$B$3*Параметры!$B$10*Параметры!$B$4)*(Параметры!$B$6*Параметры!$B$7/Параметры!$B$8*1E-24))*(A266*0.0000001)/SIN(RADIANS(Параметры!$B$9)))</f>
        <v>2.2026135251476675E-2</v>
      </c>
      <c r="C266" s="10">
        <f>1-EXP(-((4*Параметры!$B$2/Параметры!$B$3*Параметры!$B$10*Параметры!$B$5)*(Параметры!$B$6*Параметры!$B$7/Параметры!$B$8*1E-24))*(A266*0.0000001)/SIN(RADIANS(Параметры!$B$9)))</f>
        <v>9.5366596264741532E-2</v>
      </c>
    </row>
    <row r="267" spans="1:3" ht="15.75" x14ac:dyDescent="0.25">
      <c r="A267" s="9">
        <v>2650</v>
      </c>
      <c r="B267" s="10">
        <f>1-EXP(-((4*Параметры!$B$2/Параметры!$B$3*Параметры!$B$10*Параметры!$B$4)*(Параметры!$B$6*Параметры!$B$7/Параметры!$B$8*1E-24))*(A267*0.0000001)/SIN(RADIANS(Параметры!$B$9)))</f>
        <v>2.2108638434340633E-2</v>
      </c>
      <c r="C267" s="10">
        <f>1-EXP(-((4*Параметры!$B$2/Параметры!$B$3*Параметры!$B$10*Параметры!$B$5)*(Параметры!$B$6*Параметры!$B$7/Параметры!$B$8*1E-24))*(A267*0.0000001)/SIN(RADIANS(Параметры!$B$9)))</f>
        <v>9.5709967943853891E-2</v>
      </c>
    </row>
    <row r="268" spans="1:3" ht="15.75" x14ac:dyDescent="0.25">
      <c r="A268" s="9">
        <v>2660</v>
      </c>
      <c r="B268" s="10">
        <f>1-EXP(-((4*Параметры!$B$2/Параметры!$B$3*Параметры!$B$10*Параметры!$B$4)*(Параметры!$B$6*Параметры!$B$7/Параметры!$B$8*1E-24))*(A268*0.0000001)/SIN(RADIANS(Параметры!$B$9)))</f>
        <v>2.2191134657125744E-2</v>
      </c>
      <c r="C268" s="10">
        <f>1-EXP(-((4*Параметры!$B$2/Параметры!$B$3*Параметры!$B$10*Параметры!$B$5)*(Параметры!$B$6*Параметры!$B$7/Параметры!$B$8*1E-24))*(A268*0.0000001)/SIN(RADIANS(Параметры!$B$9)))</f>
        <v>9.6053209289386321E-2</v>
      </c>
    </row>
    <row r="269" spans="1:3" ht="15.75" x14ac:dyDescent="0.25">
      <c r="A269" s="9">
        <v>2670</v>
      </c>
      <c r="B269" s="10">
        <f>1-EXP(-((4*Параметры!$B$2/Параметры!$B$3*Параметры!$B$10*Параметры!$B$4)*(Параметры!$B$6*Параметры!$B$7/Параметры!$B$8*1E-24))*(A269*0.0000001)/SIN(RADIANS(Параметры!$B$9)))</f>
        <v>2.2273623920419205E-2</v>
      </c>
      <c r="C269" s="10">
        <f>1-EXP(-((4*Параметры!$B$2/Параметры!$B$3*Параметры!$B$10*Параметры!$B$5)*(Параметры!$B$6*Параметры!$B$7/Параметры!$B$8*1E-24))*(A269*0.0000001)/SIN(RADIANS(Параметры!$B$9)))</f>
        <v>9.6396320350809583E-2</v>
      </c>
    </row>
    <row r="270" spans="1:3" ht="15.75" x14ac:dyDescent="0.25">
      <c r="A270" s="9">
        <v>2680</v>
      </c>
      <c r="B270" s="10">
        <f>1-EXP(-((4*Параметры!$B$2/Параметры!$B$3*Параметры!$B$10*Параметры!$B$4)*(Параметры!$B$6*Параметры!$B$7/Параметры!$B$8*1E-24))*(A270*0.0000001)/SIN(RADIANS(Параметры!$B$9)))</f>
        <v>2.2356106224808103E-2</v>
      </c>
      <c r="C270" s="10">
        <f>1-EXP(-((4*Параметры!$B$2/Параметры!$B$3*Параметры!$B$10*Параметры!$B$5)*(Параметры!$B$6*Параметры!$B$7/Параметры!$B$8*1E-24))*(A270*0.0000001)/SIN(RADIANS(Параметры!$B$9)))</f>
        <v>9.6739301177575676E-2</v>
      </c>
    </row>
    <row r="271" spans="1:3" ht="15.75" x14ac:dyDescent="0.25">
      <c r="A271" s="9">
        <v>2690</v>
      </c>
      <c r="B271" s="10">
        <f>1-EXP(-((4*Параметры!$B$2/Параметры!$B$3*Параметры!$B$10*Параметры!$B$4)*(Параметры!$B$6*Параметры!$B$7/Параметры!$B$8*1E-24))*(A271*0.0000001)/SIN(RADIANS(Параметры!$B$9)))</f>
        <v>2.2438581570879523E-2</v>
      </c>
      <c r="C271" s="10">
        <f>1-EXP(-((4*Параметры!$B$2/Параметры!$B$3*Параметры!$B$10*Параметры!$B$5)*(Параметры!$B$6*Параметры!$B$7/Параметры!$B$8*1E-24))*(A271*0.0000001)/SIN(RADIANS(Параметры!$B$9)))</f>
        <v>9.7082151819117501E-2</v>
      </c>
    </row>
    <row r="272" spans="1:3" ht="15.75" x14ac:dyDescent="0.25">
      <c r="A272" s="9">
        <v>2700</v>
      </c>
      <c r="B272" s="10">
        <f>1-EXP(-((4*Параметры!$B$2/Параметры!$B$3*Параметры!$B$10*Параметры!$B$4)*(Параметры!$B$6*Параметры!$B$7/Параметры!$B$8*1E-24))*(A272*0.0000001)/SIN(RADIANS(Параметры!$B$9)))</f>
        <v>2.2521049959220552E-2</v>
      </c>
      <c r="C272" s="10">
        <f>1-EXP(-((4*Параметры!$B$2/Параметры!$B$3*Параметры!$B$10*Параметры!$B$5)*(Параметры!$B$6*Параметры!$B$7/Параметры!$B$8*1E-24))*(A272*0.0000001)/SIN(RADIANS(Параметры!$B$9)))</f>
        <v>9.7424872324849754E-2</v>
      </c>
    </row>
    <row r="273" spans="1:3" ht="15.75" x14ac:dyDescent="0.25">
      <c r="A273" s="9">
        <v>2710</v>
      </c>
      <c r="B273" s="10">
        <f>1-EXP(-((4*Параметры!$B$2/Параметры!$B$3*Параметры!$B$10*Параметры!$B$4)*(Параметры!$B$6*Параметры!$B$7/Параметры!$B$8*1E-24))*(A273*0.0000001)/SIN(RADIANS(Параметры!$B$9)))</f>
        <v>2.2603511390417941E-2</v>
      </c>
      <c r="C273" s="10">
        <f>1-EXP(-((4*Параметры!$B$2/Параметры!$B$3*Параметры!$B$10*Параметры!$B$5)*(Параметры!$B$6*Параметры!$B$7/Параметры!$B$8*1E-24))*(A273*0.0000001)/SIN(RADIANS(Параметры!$B$9)))</f>
        <v>9.7767462744167921E-2</v>
      </c>
    </row>
    <row r="274" spans="1:3" ht="15.75" x14ac:dyDescent="0.25">
      <c r="A274" s="9">
        <v>2720</v>
      </c>
      <c r="B274" s="10">
        <f>1-EXP(-((4*Параметры!$B$2/Параметры!$B$3*Параметры!$B$10*Параметры!$B$4)*(Параметры!$B$6*Параметры!$B$7/Параметры!$B$8*1E-24))*(A274*0.0000001)/SIN(RADIANS(Параметры!$B$9)))</f>
        <v>2.2685965865058888E-2</v>
      </c>
      <c r="C274" s="10">
        <f>1-EXP(-((4*Параметры!$B$2/Параметры!$B$3*Параметры!$B$10*Параметры!$B$5)*(Параметры!$B$6*Параметры!$B$7/Параметры!$B$8*1E-24))*(A274*0.0000001)/SIN(RADIANS(Параметры!$B$9)))</f>
        <v>9.810992312644895E-2</v>
      </c>
    </row>
    <row r="275" spans="1:3" ht="15.75" x14ac:dyDescent="0.25">
      <c r="A275" s="9">
        <v>2730</v>
      </c>
      <c r="B275" s="10">
        <f>1-EXP(-((4*Параметры!$B$2/Параметры!$B$3*Параметры!$B$10*Параметры!$B$4)*(Параметры!$B$6*Параметры!$B$7/Параметры!$B$8*1E-24))*(A275*0.0000001)/SIN(RADIANS(Параметры!$B$9)))</f>
        <v>2.2768413383730035E-2</v>
      </c>
      <c r="C275" s="10">
        <f>1-EXP(-((4*Параметры!$B$2/Параметры!$B$3*Параметры!$B$10*Параметры!$B$5)*(Параметры!$B$6*Параметры!$B$7/Параметры!$B$8*1E-24))*(A275*0.0000001)/SIN(RADIANS(Параметры!$B$9)))</f>
        <v>9.8452253521050914E-2</v>
      </c>
    </row>
    <row r="276" spans="1:3" ht="15.75" x14ac:dyDescent="0.25">
      <c r="A276" s="9">
        <v>2740</v>
      </c>
      <c r="B276" s="10">
        <f>1-EXP(-((4*Параметры!$B$2/Параметры!$B$3*Параметры!$B$10*Параметры!$B$4)*(Параметры!$B$6*Параметры!$B$7/Параметры!$B$8*1E-24))*(A276*0.0000001)/SIN(RADIANS(Параметры!$B$9)))</f>
        <v>2.2850853947018246E-2</v>
      </c>
      <c r="C276" s="10">
        <f>1-EXP(-((4*Параметры!$B$2/Параметры!$B$3*Параметры!$B$10*Параметры!$B$5)*(Параметры!$B$6*Параметры!$B$7/Параметры!$B$8*1E-24))*(A276*0.0000001)/SIN(RADIANS(Параметры!$B$9)))</f>
        <v>9.8794453977313346E-2</v>
      </c>
    </row>
    <row r="277" spans="1:3" ht="15.75" x14ac:dyDescent="0.25">
      <c r="A277" s="9">
        <v>2750</v>
      </c>
      <c r="B277" s="10">
        <f>1-EXP(-((4*Параметры!$B$2/Параметры!$B$3*Параметры!$B$10*Параметры!$B$4)*(Параметры!$B$6*Параметры!$B$7/Параметры!$B$8*1E-24))*(A277*0.0000001)/SIN(RADIANS(Параметры!$B$9)))</f>
        <v>2.2933287555510273E-2</v>
      </c>
      <c r="C277" s="10">
        <f>1-EXP(-((4*Параметры!$B$2/Параметры!$B$3*Параметры!$B$10*Параметры!$B$5)*(Параметры!$B$6*Параметры!$B$7/Параметры!$B$8*1E-24))*(A277*0.0000001)/SIN(RADIANS(Параметры!$B$9)))</f>
        <v>9.9136524544556903E-2</v>
      </c>
    </row>
    <row r="278" spans="1:3" ht="15.75" x14ac:dyDescent="0.25">
      <c r="A278" s="9">
        <v>2760</v>
      </c>
      <c r="B278" s="10">
        <f>1-EXP(-((4*Параметры!$B$2/Параметры!$B$3*Параметры!$B$10*Параметры!$B$4)*(Параметры!$B$6*Параметры!$B$7/Параметры!$B$8*1E-24))*(A278*0.0000001)/SIN(RADIANS(Параметры!$B$9)))</f>
        <v>2.3015714209792981E-2</v>
      </c>
      <c r="C278" s="10">
        <f>1-EXP(-((4*Параметры!$B$2/Параметры!$B$3*Параметры!$B$10*Параметры!$B$5)*(Параметры!$B$6*Параметры!$B$7/Параметры!$B$8*1E-24))*(A278*0.0000001)/SIN(RADIANS(Параметры!$B$9)))</f>
        <v>9.9478465272083594E-2</v>
      </c>
    </row>
    <row r="279" spans="1:3" ht="15.75" x14ac:dyDescent="0.25">
      <c r="A279" s="9">
        <v>2770</v>
      </c>
      <c r="B279" s="10">
        <f>1-EXP(-((4*Параметры!$B$2/Параметры!$B$3*Параметры!$B$10*Параметры!$B$4)*(Параметры!$B$6*Параметры!$B$7/Параметры!$B$8*1E-24))*(A279*0.0000001)/SIN(RADIANS(Параметры!$B$9)))</f>
        <v>2.3098133910452789E-2</v>
      </c>
      <c r="C279" s="10">
        <f>1-EXP(-((4*Параметры!$B$2/Параметры!$B$3*Параметры!$B$10*Параметры!$B$5)*(Параметры!$B$6*Параметры!$B$7/Параметры!$B$8*1E-24))*(A279*0.0000001)/SIN(RADIANS(Параметры!$B$9)))</f>
        <v>9.9820276209176551E-2</v>
      </c>
    </row>
    <row r="280" spans="1:3" ht="15.75" x14ac:dyDescent="0.25">
      <c r="A280" s="9">
        <v>2780</v>
      </c>
      <c r="B280" s="10">
        <f>1-EXP(-((4*Параметры!$B$2/Параметры!$B$3*Параметры!$B$10*Параметры!$B$4)*(Параметры!$B$6*Параметры!$B$7/Параметры!$B$8*1E-24))*(A280*0.0000001)/SIN(RADIANS(Параметры!$B$9)))</f>
        <v>2.3180546658076562E-2</v>
      </c>
      <c r="C280" s="10">
        <f>1-EXP(-((4*Параметры!$B$2/Параметры!$B$3*Параметры!$B$10*Параметры!$B$5)*(Параметры!$B$6*Параметры!$B$7/Параметры!$B$8*1E-24))*(A280*0.0000001)/SIN(RADIANS(Параметры!$B$9)))</f>
        <v>0.10016195740510048</v>
      </c>
    </row>
    <row r="281" spans="1:3" ht="15.75" x14ac:dyDescent="0.25">
      <c r="A281" s="9">
        <v>2790</v>
      </c>
      <c r="B281" s="10">
        <f>1-EXP(-((4*Параметры!$B$2/Параметры!$B$3*Параметры!$B$10*Параметры!$B$4)*(Параметры!$B$6*Параметры!$B$7/Параметры!$B$8*1E-24))*(A281*0.0000001)/SIN(RADIANS(Параметры!$B$9)))</f>
        <v>2.3262952453250718E-2</v>
      </c>
      <c r="C281" s="10">
        <f>1-EXP(-((4*Параметры!$B$2/Параметры!$B$3*Параметры!$B$10*Параметры!$B$5)*(Параметры!$B$6*Параметры!$B$7/Параметры!$B$8*1E-24))*(A281*0.0000001)/SIN(RADIANS(Параметры!$B$9)))</f>
        <v>0.10050350890910109</v>
      </c>
    </row>
    <row r="282" spans="1:3" ht="15.75" x14ac:dyDescent="0.25">
      <c r="A282" s="9">
        <v>2800</v>
      </c>
      <c r="B282" s="10">
        <f>1-EXP(-((4*Параметры!$B$2/Параметры!$B$3*Параметры!$B$10*Параметры!$B$4)*(Параметры!$B$6*Параметры!$B$7/Параметры!$B$8*1E-24))*(A282*0.0000001)/SIN(RADIANS(Параметры!$B$9)))</f>
        <v>2.3345351296561789E-2</v>
      </c>
      <c r="C282" s="10">
        <f>1-EXP(-((4*Параметры!$B$2/Параметры!$B$3*Параметры!$B$10*Параметры!$B$5)*(Параметры!$B$6*Параметры!$B$7/Параметры!$B$8*1E-24))*(A282*0.0000001)/SIN(RADIANS(Параметры!$B$9)))</f>
        <v>0.10084493077040568</v>
      </c>
    </row>
    <row r="283" spans="1:3" ht="15.75" x14ac:dyDescent="0.25">
      <c r="A283" s="9">
        <v>2810</v>
      </c>
      <c r="B283" s="10">
        <f>1-EXP(-((4*Параметры!$B$2/Параметры!$B$3*Параметры!$B$10*Параметры!$B$4)*(Параметры!$B$6*Параметры!$B$7/Параметры!$B$8*1E-24))*(A283*0.0000001)/SIN(RADIANS(Параметры!$B$9)))</f>
        <v>2.3427743188596195E-2</v>
      </c>
      <c r="C283" s="10">
        <f>1-EXP(-((4*Параметры!$B$2/Параметры!$B$3*Параметры!$B$10*Параметры!$B$5)*(Параметры!$B$6*Параметры!$B$7/Параметры!$B$8*1E-24))*(A283*0.0000001)/SIN(RADIANS(Параметры!$B$9)))</f>
        <v>0.10118622303822267</v>
      </c>
    </row>
    <row r="284" spans="1:3" ht="15.75" x14ac:dyDescent="0.25">
      <c r="A284" s="9">
        <v>2820</v>
      </c>
      <c r="B284" s="10">
        <f>1-EXP(-((4*Параметры!$B$2/Параметры!$B$3*Параметры!$B$10*Параметры!$B$4)*(Параметры!$B$6*Параметры!$B$7/Параметры!$B$8*1E-24))*(A284*0.0000001)/SIN(RADIANS(Параметры!$B$9)))</f>
        <v>2.3510128129940577E-2</v>
      </c>
      <c r="C284" s="10">
        <f>1-EXP(-((4*Параметры!$B$2/Параметры!$B$3*Параметры!$B$10*Параметры!$B$5)*(Параметры!$B$6*Параметры!$B$7/Параметры!$B$8*1E-24))*(A284*0.0000001)/SIN(RADIANS(Параметры!$B$9)))</f>
        <v>0.10152738576174181</v>
      </c>
    </row>
    <row r="285" spans="1:3" ht="15.75" x14ac:dyDescent="0.25">
      <c r="A285" s="9">
        <v>2830</v>
      </c>
      <c r="B285" s="10">
        <f>1-EXP(-((4*Параметры!$B$2/Параметры!$B$3*Параметры!$B$10*Параметры!$B$4)*(Параметры!$B$6*Параметры!$B$7/Параметры!$B$8*1E-24))*(A285*0.0000001)/SIN(RADIANS(Параметры!$B$9)))</f>
        <v>2.3592506121181023E-2</v>
      </c>
      <c r="C285" s="10">
        <f>1-EXP(-((4*Параметры!$B$2/Параметры!$B$3*Параметры!$B$10*Параметры!$B$5)*(Параметры!$B$6*Параметры!$B$7/Параметры!$B$8*1E-24))*(A285*0.0000001)/SIN(RADIANS(Параметры!$B$9)))</f>
        <v>0.10186841899013421</v>
      </c>
    </row>
    <row r="286" spans="1:3" ht="15.75" x14ac:dyDescent="0.25">
      <c r="A286" s="9">
        <v>2840</v>
      </c>
      <c r="B286" s="10">
        <f>1-EXP(-((4*Параметры!$B$2/Параметры!$B$3*Параметры!$B$10*Параметры!$B$4)*(Параметры!$B$6*Параметры!$B$7/Параметры!$B$8*1E-24))*(A286*0.0000001)/SIN(RADIANS(Параметры!$B$9)))</f>
        <v>2.3674877162904062E-2</v>
      </c>
      <c r="C286" s="10">
        <f>1-EXP(-((4*Параметры!$B$2/Параметры!$B$3*Параметры!$B$10*Параметры!$B$5)*(Параметры!$B$6*Параметры!$B$7/Параметры!$B$8*1E-24))*(A286*0.0000001)/SIN(RADIANS(Параметры!$B$9)))</f>
        <v>0.10220932277255235</v>
      </c>
    </row>
    <row r="287" spans="1:3" ht="15.75" x14ac:dyDescent="0.25">
      <c r="A287" s="9">
        <v>2850</v>
      </c>
      <c r="B287" s="10">
        <f>1-EXP(-((4*Параметры!$B$2/Параметры!$B$3*Параметры!$B$10*Параметры!$B$4)*(Параметры!$B$6*Параметры!$B$7/Параметры!$B$8*1E-24))*(A287*0.0000001)/SIN(RADIANS(Параметры!$B$9)))</f>
        <v>2.3757241255695782E-2</v>
      </c>
      <c r="C287" s="10">
        <f>1-EXP(-((4*Параметры!$B$2/Параметры!$B$3*Параметры!$B$10*Параметры!$B$5)*(Параметры!$B$6*Параметры!$B$7/Параметры!$B$8*1E-24))*(A287*0.0000001)/SIN(RADIANS(Параметры!$B$9)))</f>
        <v>0.10255009715813024</v>
      </c>
    </row>
    <row r="288" spans="1:3" ht="15.75" x14ac:dyDescent="0.25">
      <c r="A288" s="9">
        <v>2860</v>
      </c>
      <c r="B288" s="10">
        <f>1-EXP(-((4*Параметры!$B$2/Параметры!$B$3*Параметры!$B$10*Параметры!$B$4)*(Параметры!$B$6*Параметры!$B$7/Параметры!$B$8*1E-24))*(A288*0.0000001)/SIN(RADIANS(Параметры!$B$9)))</f>
        <v>2.3839598400142603E-2</v>
      </c>
      <c r="C288" s="10">
        <f>1-EXP(-((4*Параметры!$B$2/Параметры!$B$3*Параметры!$B$10*Параметры!$B$5)*(Параметры!$B$6*Параметры!$B$7/Параметры!$B$8*1E-24))*(A288*0.0000001)/SIN(RADIANS(Параметры!$B$9)))</f>
        <v>0.10289074219598271</v>
      </c>
    </row>
    <row r="289" spans="1:3" ht="15.75" x14ac:dyDescent="0.25">
      <c r="A289" s="9">
        <v>2870</v>
      </c>
      <c r="B289" s="10">
        <f>1-EXP(-((4*Параметры!$B$2/Параметры!$B$3*Параметры!$B$10*Параметры!$B$4)*(Параметры!$B$6*Параметры!$B$7/Параметры!$B$8*1E-24))*(A289*0.0000001)/SIN(RADIANS(Параметры!$B$9)))</f>
        <v>2.3921948596830611E-2</v>
      </c>
      <c r="C289" s="10">
        <f>1-EXP(-((4*Параметры!$B$2/Параметры!$B$3*Параметры!$B$10*Параметры!$B$5)*(Параметры!$B$6*Параметры!$B$7/Параметры!$B$8*1E-24))*(A289*0.0000001)/SIN(RADIANS(Параметры!$B$9)))</f>
        <v>0.10323125793520649</v>
      </c>
    </row>
    <row r="290" spans="1:3" ht="15.75" x14ac:dyDescent="0.25">
      <c r="A290" s="9">
        <v>2880</v>
      </c>
      <c r="B290" s="10">
        <f>1-EXP(-((4*Параметры!$B$2/Параметры!$B$3*Параметры!$B$10*Параметры!$B$4)*(Параметры!$B$6*Параметры!$B$7/Параметры!$B$8*1E-24))*(A290*0.0000001)/SIN(RADIANS(Параметры!$B$9)))</f>
        <v>2.4004291846345893E-2</v>
      </c>
      <c r="C290" s="10">
        <f>1-EXP(-((4*Параметры!$B$2/Параметры!$B$3*Параметры!$B$10*Параметры!$B$5)*(Параметры!$B$6*Параметры!$B$7/Параметры!$B$8*1E-24))*(A290*0.0000001)/SIN(RADIANS(Параметры!$B$9)))</f>
        <v>0.10357164442487943</v>
      </c>
    </row>
    <row r="291" spans="1:3" ht="15.75" x14ac:dyDescent="0.25">
      <c r="A291" s="9">
        <v>2890</v>
      </c>
      <c r="B291" s="10">
        <f>1-EXP(-((4*Параметры!$B$2/Параметры!$B$3*Параметры!$B$10*Параметры!$B$4)*(Параметры!$B$6*Параметры!$B$7/Параметры!$B$8*1E-24))*(A291*0.0000001)/SIN(RADIANS(Параметры!$B$9)))</f>
        <v>2.4086628149274536E-2</v>
      </c>
      <c r="C291" s="10">
        <f>1-EXP(-((4*Параметры!$B$2/Параметры!$B$3*Параметры!$B$10*Параметры!$B$5)*(Параметры!$B$6*Параметры!$B$7/Параметры!$B$8*1E-24))*(A291*0.0000001)/SIN(RADIANS(Параметры!$B$9)))</f>
        <v>0.10391190171406062</v>
      </c>
    </row>
    <row r="292" spans="1:3" ht="15.75" x14ac:dyDescent="0.25">
      <c r="A292" s="9">
        <v>2900</v>
      </c>
      <c r="B292" s="10">
        <f>1-EXP(-((4*Параметры!$B$2/Параметры!$B$3*Параметры!$B$10*Параметры!$B$4)*(Параметры!$B$6*Параметры!$B$7/Параметры!$B$8*1E-24))*(A292*0.0000001)/SIN(RADIANS(Параметры!$B$9)))</f>
        <v>2.4168957506202515E-2</v>
      </c>
      <c r="C292" s="10">
        <f>1-EXP(-((4*Параметры!$B$2/Параметры!$B$3*Параметры!$B$10*Параметры!$B$5)*(Параметры!$B$6*Параметры!$B$7/Параметры!$B$8*1E-24))*(A292*0.0000001)/SIN(RADIANS(Параметры!$B$9)))</f>
        <v>0.10425202985179083</v>
      </c>
    </row>
    <row r="293" spans="1:3" ht="15.75" x14ac:dyDescent="0.25">
      <c r="A293" s="9">
        <v>2910</v>
      </c>
      <c r="B293" s="10">
        <f>1-EXP(-((4*Параметры!$B$2/Параметры!$B$3*Параметры!$B$10*Параметры!$B$4)*(Параметры!$B$6*Параметры!$B$7/Параметры!$B$8*1E-24))*(A293*0.0000001)/SIN(RADIANS(Параметры!$B$9)))</f>
        <v>2.4251279917715918E-2</v>
      </c>
      <c r="C293" s="10">
        <f>1-EXP(-((4*Параметры!$B$2/Параметры!$B$3*Параметры!$B$10*Параметры!$B$5)*(Параметры!$B$6*Параметры!$B$7/Параметры!$B$8*1E-24))*(A293*0.0000001)/SIN(RADIANS(Параметры!$B$9)))</f>
        <v>0.10459202888709218</v>
      </c>
    </row>
    <row r="294" spans="1:3" ht="15.75" x14ac:dyDescent="0.25">
      <c r="A294" s="9">
        <v>2920</v>
      </c>
      <c r="B294" s="10">
        <f>1-EXP(-((4*Параметры!$B$2/Параметры!$B$3*Параметры!$B$10*Параметры!$B$4)*(Параметры!$B$6*Параметры!$B$7/Параметры!$B$8*1E-24))*(A294*0.0000001)/SIN(RADIANS(Параметры!$B$9)))</f>
        <v>2.4333595384400608E-2</v>
      </c>
      <c r="C294" s="10">
        <f>1-EXP(-((4*Параметры!$B$2/Параметры!$B$3*Параметры!$B$10*Параметры!$B$5)*(Параметры!$B$6*Параметры!$B$7/Параметры!$B$8*1E-24))*(A294*0.0000001)/SIN(RADIANS(Параметры!$B$9)))</f>
        <v>0.10493189886896781</v>
      </c>
    </row>
    <row r="295" spans="1:3" ht="15.75" x14ac:dyDescent="0.25">
      <c r="A295" s="9">
        <v>2930</v>
      </c>
      <c r="B295" s="10">
        <f>1-EXP(-((4*Параметры!$B$2/Параметры!$B$3*Параметры!$B$10*Параметры!$B$4)*(Параметры!$B$6*Параметры!$B$7/Параметры!$B$8*1E-24))*(A295*0.0000001)/SIN(RADIANS(Параметры!$B$9)))</f>
        <v>2.4415903906842562E-2</v>
      </c>
      <c r="C295" s="10">
        <f>1-EXP(-((4*Параметры!$B$2/Параметры!$B$3*Параметры!$B$10*Параметры!$B$5)*(Параметры!$B$6*Параметры!$B$7/Параметры!$B$8*1E-24))*(A295*0.0000001)/SIN(RADIANS(Параметры!$B$9)))</f>
        <v>0.10527163984640275</v>
      </c>
    </row>
    <row r="296" spans="1:3" ht="15.75" x14ac:dyDescent="0.25">
      <c r="A296" s="9">
        <v>2940</v>
      </c>
      <c r="B296" s="10">
        <f>1-EXP(-((4*Параметры!$B$2/Параметры!$B$3*Параметры!$B$10*Параметры!$B$4)*(Параметры!$B$6*Параметры!$B$7/Параметры!$B$8*1E-24))*(A296*0.0000001)/SIN(RADIANS(Параметры!$B$9)))</f>
        <v>2.4498205485627422E-2</v>
      </c>
      <c r="C296" s="10">
        <f>1-EXP(-((4*Параметры!$B$2/Параметры!$B$3*Параметры!$B$10*Параметры!$B$5)*(Параметры!$B$6*Параметры!$B$7/Параметры!$B$8*1E-24))*(A296*0.0000001)/SIN(RADIANS(Параметры!$B$9)))</f>
        <v>0.10561125186836307</v>
      </c>
    </row>
    <row r="297" spans="1:3" ht="15.75" x14ac:dyDescent="0.25">
      <c r="A297" s="9">
        <v>2950</v>
      </c>
      <c r="B297" s="10">
        <f>1-EXP(-((4*Параметры!$B$2/Параметры!$B$3*Параметры!$B$10*Параметры!$B$4)*(Параметры!$B$6*Параметры!$B$7/Параметры!$B$8*1E-24))*(A297*0.0000001)/SIN(RADIANS(Параметры!$B$9)))</f>
        <v>2.4580500121340942E-2</v>
      </c>
      <c r="C297" s="10">
        <f>1-EXP(-((4*Параметры!$B$2/Параметры!$B$3*Параметры!$B$10*Параметры!$B$5)*(Параметры!$B$6*Параметры!$B$7/Параметры!$B$8*1E-24))*(A297*0.0000001)/SIN(RADIANS(Параметры!$B$9)))</f>
        <v>0.10595073498379648</v>
      </c>
    </row>
    <row r="298" spans="1:3" ht="15.75" x14ac:dyDescent="0.25">
      <c r="A298" s="9">
        <v>2960</v>
      </c>
      <c r="B298" s="10">
        <f>1-EXP(-((4*Параметры!$B$2/Параметры!$B$3*Параметры!$B$10*Параметры!$B$4)*(Параметры!$B$6*Параметры!$B$7/Параметры!$B$8*1E-24))*(A298*0.0000001)/SIN(RADIANS(Параметры!$B$9)))</f>
        <v>2.4662787814569098E-2</v>
      </c>
      <c r="C298" s="10">
        <f>1-EXP(-((4*Параметры!$B$2/Параметры!$B$3*Параметры!$B$10*Параметры!$B$5)*(Параметры!$B$6*Параметры!$B$7/Параметры!$B$8*1E-24))*(A298*0.0000001)/SIN(RADIANS(Параметры!$B$9)))</f>
        <v>0.10629008924163197</v>
      </c>
    </row>
    <row r="299" spans="1:3" ht="15.75" x14ac:dyDescent="0.25">
      <c r="A299" s="9">
        <v>2970</v>
      </c>
      <c r="B299" s="10">
        <f>1-EXP(-((4*Параметры!$B$2/Параметры!$B$3*Параметры!$B$10*Параметры!$B$4)*(Параметры!$B$6*Параметры!$B$7/Параметры!$B$8*1E-24))*(A299*0.0000001)/SIN(RADIANS(Параметры!$B$9)))</f>
        <v>2.4745068565897421E-2</v>
      </c>
      <c r="C299" s="10">
        <f>1-EXP(-((4*Параметры!$B$2/Параметры!$B$3*Параметры!$B$10*Параметры!$B$5)*(Параметры!$B$6*Параметры!$B$7/Параметры!$B$8*1E-24))*(A299*0.0000001)/SIN(RADIANS(Параметры!$B$9)))</f>
        <v>0.10662931469078007</v>
      </c>
    </row>
    <row r="300" spans="1:3" ht="15.75" x14ac:dyDescent="0.25">
      <c r="A300" s="9">
        <v>2980</v>
      </c>
      <c r="B300" s="10">
        <f>1-EXP(-((4*Параметры!$B$2/Параметры!$B$3*Параметры!$B$10*Параметры!$B$4)*(Параметры!$B$6*Параметры!$B$7/Параметры!$B$8*1E-24))*(A300*0.0000001)/SIN(RADIANS(Параметры!$B$9)))</f>
        <v>2.4827342375911554E-2</v>
      </c>
      <c r="C300" s="10">
        <f>1-EXP(-((4*Параметры!$B$2/Параметры!$B$3*Параметры!$B$10*Параметры!$B$5)*(Параметры!$B$6*Параметры!$B$7/Параметры!$B$8*1E-24))*(A300*0.0000001)/SIN(RADIANS(Параметры!$B$9)))</f>
        <v>0.10696841138013269</v>
      </c>
    </row>
    <row r="301" spans="1:3" ht="15.75" x14ac:dyDescent="0.25">
      <c r="A301" s="9">
        <v>2990</v>
      </c>
      <c r="B301" s="10">
        <f>1-EXP(-((4*Параметры!$B$2/Параметры!$B$3*Параметры!$B$10*Параметры!$B$4)*(Параметры!$B$6*Параметры!$B$7/Параметры!$B$8*1E-24))*(A301*0.0000001)/SIN(RADIANS(Параметры!$B$9)))</f>
        <v>2.4909609245197029E-2</v>
      </c>
      <c r="C301" s="10">
        <f>1-EXP(-((4*Параметры!$B$2/Параметры!$B$3*Параметры!$B$10*Параметры!$B$5)*(Параметры!$B$6*Параметры!$B$7/Параметры!$B$8*1E-24))*(A301*0.0000001)/SIN(RADIANS(Параметры!$B$9)))</f>
        <v>0.10730737935856316</v>
      </c>
    </row>
    <row r="302" spans="1:3" ht="15.75" x14ac:dyDescent="0.25">
      <c r="A302" s="9">
        <v>3000</v>
      </c>
      <c r="B302" s="10">
        <f>1-EXP(-((4*Параметры!$B$2/Параметры!$B$3*Параметры!$B$10*Параметры!$B$4)*(Параметры!$B$6*Параметры!$B$7/Параметры!$B$8*1E-24))*(A302*0.0000001)/SIN(RADIANS(Параметры!$B$9)))</f>
        <v>2.4991869174339376E-2</v>
      </c>
      <c r="C302" s="10">
        <f>1-EXP(-((4*Параметры!$B$2/Параметры!$B$3*Параметры!$B$10*Параметры!$B$5)*(Параметры!$B$6*Параметры!$B$7/Параметры!$B$8*1E-24))*(A302*0.0000001)/SIN(RADIANS(Параметры!$B$9)))</f>
        <v>0.1076462186749263</v>
      </c>
    </row>
    <row r="303" spans="1:3" ht="15.75" x14ac:dyDescent="0.25">
      <c r="A303" s="9">
        <v>3010</v>
      </c>
      <c r="B303" s="10">
        <f>1-EXP(-((4*Параметры!$B$2/Параметры!$B$3*Параметры!$B$10*Параметры!$B$4)*(Параметры!$B$6*Параметры!$B$7/Параметры!$B$8*1E-24))*(A303*0.0000001)/SIN(RADIANS(Параметры!$B$9)))</f>
        <v>2.5074122163924129E-2</v>
      </c>
      <c r="C303" s="10">
        <f>1-EXP(-((4*Параметры!$B$2/Параметры!$B$3*Параметры!$B$10*Параметры!$B$5)*(Параметры!$B$6*Параметры!$B$7/Параметры!$B$8*1E-24))*(A303*0.0000001)/SIN(RADIANS(Параметры!$B$9)))</f>
        <v>0.10798492937805826</v>
      </c>
    </row>
    <row r="304" spans="1:3" ht="15.75" x14ac:dyDescent="0.25">
      <c r="A304" s="9">
        <v>3020</v>
      </c>
      <c r="B304" s="10">
        <f>1-EXP(-((4*Параметры!$B$2/Параметры!$B$3*Параметры!$B$10*Параметры!$B$4)*(Параметры!$B$6*Параметры!$B$7/Параметры!$B$8*1E-24))*(A304*0.0000001)/SIN(RADIANS(Параметры!$B$9)))</f>
        <v>2.5156368214536706E-2</v>
      </c>
      <c r="C304" s="10">
        <f>1-EXP(-((4*Параметры!$B$2/Параметры!$B$3*Параметры!$B$10*Параметры!$B$5)*(Параметры!$B$6*Параметры!$B$7/Параметры!$B$8*1E-24))*(A304*0.0000001)/SIN(RADIANS(Параметры!$B$9)))</f>
        <v>0.10832351151677688</v>
      </c>
    </row>
    <row r="305" spans="1:3" ht="15.75" x14ac:dyDescent="0.25">
      <c r="A305" s="9">
        <v>3030</v>
      </c>
      <c r="B305" s="10">
        <f>1-EXP(-((4*Параметры!$B$2/Параметры!$B$3*Параметры!$B$10*Параметры!$B$4)*(Параметры!$B$6*Параметры!$B$7/Параметры!$B$8*1E-24))*(A305*0.0000001)/SIN(RADIANS(Параметры!$B$9)))</f>
        <v>2.523860732676253E-2</v>
      </c>
      <c r="C305" s="10">
        <f>1-EXP(-((4*Параметры!$B$2/Параметры!$B$3*Параметры!$B$10*Параметры!$B$5)*(Параметры!$B$6*Параметры!$B$7/Параметры!$B$8*1E-24))*(A305*0.0000001)/SIN(RADIANS(Параметры!$B$9)))</f>
        <v>0.10866196513988136</v>
      </c>
    </row>
    <row r="306" spans="1:3" ht="15.75" x14ac:dyDescent="0.25">
      <c r="A306" s="9">
        <v>3040</v>
      </c>
      <c r="B306" s="10">
        <f>1-EXP(-((4*Параметры!$B$2/Параметры!$B$3*Параметры!$B$10*Параметры!$B$4)*(Параметры!$B$6*Параметры!$B$7/Параметры!$B$8*1E-24))*(A306*0.0000001)/SIN(RADIANS(Параметры!$B$9)))</f>
        <v>2.5320839501186909E-2</v>
      </c>
      <c r="C306" s="10">
        <f>1-EXP(-((4*Параметры!$B$2/Параметры!$B$3*Параметры!$B$10*Параметры!$B$5)*(Параметры!$B$6*Параметры!$B$7/Параметры!$B$8*1E-24))*(A306*0.0000001)/SIN(RADIANS(Параметры!$B$9)))</f>
        <v>0.10900029029615221</v>
      </c>
    </row>
    <row r="307" spans="1:3" ht="15.75" x14ac:dyDescent="0.25">
      <c r="A307" s="9">
        <v>3050</v>
      </c>
      <c r="B307" s="10">
        <f>1-EXP(-((4*Параметры!$B$2/Параметры!$B$3*Параметры!$B$10*Параметры!$B$4)*(Параметры!$B$6*Параметры!$B$7/Параметры!$B$8*1E-24))*(A307*0.0000001)/SIN(RADIANS(Параметры!$B$9)))</f>
        <v>2.5403064738395043E-2</v>
      </c>
      <c r="C307" s="10">
        <f>1-EXP(-((4*Параметры!$B$2/Параметры!$B$3*Параметры!$B$10*Параметры!$B$5)*(Параметры!$B$6*Параметры!$B$7/Параметры!$B$8*1E-24))*(A307*0.0000001)/SIN(RADIANS(Параметры!$B$9)))</f>
        <v>0.10933848703435189</v>
      </c>
    </row>
    <row r="308" spans="1:3" ht="15.75" x14ac:dyDescent="0.25">
      <c r="A308" s="9">
        <v>3060</v>
      </c>
      <c r="B308" s="10">
        <f>1-EXP(-((4*Параметры!$B$2/Параметры!$B$3*Параметры!$B$10*Параметры!$B$4)*(Параметры!$B$6*Параметры!$B$7/Параметры!$B$8*1E-24))*(A308*0.0000001)/SIN(RADIANS(Параметры!$B$9)))</f>
        <v>2.548528303897224E-2</v>
      </c>
      <c r="C308" s="10">
        <f>1-EXP(-((4*Параметры!$B$2/Параметры!$B$3*Параметры!$B$10*Параметры!$B$5)*(Параметры!$B$6*Параметры!$B$7/Параметры!$B$8*1E-24))*(A308*0.0000001)/SIN(RADIANS(Параметры!$B$9)))</f>
        <v>0.10967655540322374</v>
      </c>
    </row>
    <row r="309" spans="1:3" ht="15.75" x14ac:dyDescent="0.25">
      <c r="A309" s="9">
        <v>3070</v>
      </c>
      <c r="B309" s="10">
        <f>1-EXP(-((4*Параметры!$B$2/Параметры!$B$3*Параметры!$B$10*Параметры!$B$4)*(Параметры!$B$6*Параметры!$B$7/Параметры!$B$8*1E-24))*(A309*0.0000001)/SIN(RADIANS(Параметры!$B$9)))</f>
        <v>2.5567494403503588E-2</v>
      </c>
      <c r="C309" s="10">
        <f>1-EXP(-((4*Параметры!$B$2/Параметры!$B$3*Параметры!$B$10*Параметры!$B$5)*(Параметры!$B$6*Параметры!$B$7/Параметры!$B$8*1E-24))*(A309*0.0000001)/SIN(RADIANS(Параметры!$B$9)))</f>
        <v>0.110014495451493</v>
      </c>
    </row>
    <row r="310" spans="1:3" ht="15.75" x14ac:dyDescent="0.25">
      <c r="A310" s="9">
        <v>3080</v>
      </c>
      <c r="B310" s="10">
        <f>1-EXP(-((4*Параметры!$B$2/Параметры!$B$3*Параметры!$B$10*Параметры!$B$4)*(Параметры!$B$6*Параметры!$B$7/Параметры!$B$8*1E-24))*(A310*0.0000001)/SIN(RADIANS(Параметры!$B$9)))</f>
        <v>2.5649698832574397E-2</v>
      </c>
      <c r="C310" s="10">
        <f>1-EXP(-((4*Параметры!$B$2/Параметры!$B$3*Параметры!$B$10*Параметры!$B$5)*(Параметры!$B$6*Параметры!$B$7/Параметры!$B$8*1E-24))*(A310*0.0000001)/SIN(RADIANS(Параметры!$B$9)))</f>
        <v>0.11035230722786638</v>
      </c>
    </row>
    <row r="311" spans="1:3" ht="15.75" x14ac:dyDescent="0.25">
      <c r="A311" s="9">
        <v>3090</v>
      </c>
      <c r="B311" s="10">
        <f>1-EXP(-((4*Параметры!$B$2/Параметры!$B$3*Параметры!$B$10*Параметры!$B$4)*(Параметры!$B$6*Параметры!$B$7/Параметры!$B$8*1E-24))*(A311*0.0000001)/SIN(RADIANS(Параметры!$B$9)))</f>
        <v>2.5731896326769643E-2</v>
      </c>
      <c r="C311" s="10">
        <f>1-EXP(-((4*Параметры!$B$2/Параметры!$B$3*Параметры!$B$10*Параметры!$B$5)*(Параметры!$B$6*Параметры!$B$7/Параметры!$B$8*1E-24))*(A311*0.0000001)/SIN(RADIANS(Параметры!$B$9)))</f>
        <v>0.11068999078103203</v>
      </c>
    </row>
    <row r="312" spans="1:3" ht="15.75" x14ac:dyDescent="0.25">
      <c r="A312" s="9">
        <v>3100</v>
      </c>
      <c r="B312" s="10">
        <f>1-EXP(-((4*Параметры!$B$2/Параметры!$B$3*Параметры!$B$10*Параметры!$B$4)*(Параметры!$B$6*Параметры!$B$7/Параметры!$B$8*1E-24))*(A312*0.0000001)/SIN(RADIANS(Параметры!$B$9)))</f>
        <v>2.5814086886674414E-2</v>
      </c>
      <c r="C312" s="10">
        <f>1-EXP(-((4*Параметры!$B$2/Параметры!$B$3*Параметры!$B$10*Параметры!$B$5)*(Параметры!$B$6*Параметры!$B$7/Параметры!$B$8*1E-24))*(A312*0.0000001)/SIN(RADIANS(Параметры!$B$9)))</f>
        <v>0.11102754615965948</v>
      </c>
    </row>
    <row r="313" spans="1:3" ht="15.75" x14ac:dyDescent="0.25">
      <c r="A313" s="9">
        <v>3110</v>
      </c>
      <c r="B313" s="10">
        <f>1-EXP(-((4*Параметры!$B$2/Параметры!$B$3*Параметры!$B$10*Параметры!$B$4)*(Параметры!$B$6*Параметры!$B$7/Параметры!$B$8*1E-24))*(A313*0.0000001)/SIN(RADIANS(Параметры!$B$9)))</f>
        <v>2.5896270512873576E-2</v>
      </c>
      <c r="C313" s="10">
        <f>1-EXP(-((4*Параметры!$B$2/Параметры!$B$3*Параметры!$B$10*Параметры!$B$5)*(Параметры!$B$6*Параметры!$B$7/Параметры!$B$8*1E-24))*(A313*0.0000001)/SIN(RADIANS(Параметры!$B$9)))</f>
        <v>0.11136497341240015</v>
      </c>
    </row>
    <row r="314" spans="1:3" ht="15.75" x14ac:dyDescent="0.25">
      <c r="A314" s="9">
        <v>3120</v>
      </c>
      <c r="B314" s="10">
        <f>1-EXP(-((4*Параметры!$B$2/Параметры!$B$3*Параметры!$B$10*Параметры!$B$4)*(Параметры!$B$6*Параметры!$B$7/Параметры!$B$8*1E-24))*(A314*0.0000001)/SIN(RADIANS(Параметры!$B$9)))</f>
        <v>2.5978447205952215E-2</v>
      </c>
      <c r="C314" s="10">
        <f>1-EXP(-((4*Параметры!$B$2/Параметры!$B$3*Параметры!$B$10*Параметры!$B$5)*(Параметры!$B$6*Параметры!$B$7/Параметры!$B$8*1E-24))*(A314*0.0000001)/SIN(RADIANS(Параметры!$B$9)))</f>
        <v>0.11170227258788668</v>
      </c>
    </row>
    <row r="315" spans="1:3" ht="15.75" x14ac:dyDescent="0.25">
      <c r="A315" s="9">
        <v>3130</v>
      </c>
      <c r="B315" s="10">
        <f>1-EXP(-((4*Параметры!$B$2/Параметры!$B$3*Параметры!$B$10*Параметры!$B$4)*(Параметры!$B$6*Параметры!$B$7/Параметры!$B$8*1E-24))*(A315*0.0000001)/SIN(RADIANS(Параметры!$B$9)))</f>
        <v>2.6060616966495087E-2</v>
      </c>
      <c r="C315" s="10">
        <f>1-EXP(-((4*Параметры!$B$2/Параметры!$B$3*Параметры!$B$10*Параметры!$B$5)*(Параметры!$B$6*Параметры!$B$7/Параметры!$B$8*1E-24))*(A315*0.0000001)/SIN(RADIANS(Параметры!$B$9)))</f>
        <v>0.11203944373473329</v>
      </c>
    </row>
    <row r="316" spans="1:3" ht="15.75" x14ac:dyDescent="0.25">
      <c r="A316" s="9">
        <v>3140</v>
      </c>
      <c r="B316" s="10">
        <f>1-EXP(-((4*Параметры!$B$2/Параметры!$B$3*Параметры!$B$10*Параметры!$B$4)*(Параметры!$B$6*Параметры!$B$7/Параметры!$B$8*1E-24))*(A316*0.0000001)/SIN(RADIANS(Параметры!$B$9)))</f>
        <v>2.6142779795087057E-2</v>
      </c>
      <c r="C316" s="10">
        <f>1-EXP(-((4*Параметры!$B$2/Параметры!$B$3*Параметры!$B$10*Параметры!$B$5)*(Параметры!$B$6*Параметры!$B$7/Параметры!$B$8*1E-24))*(A316*0.0000001)/SIN(RADIANS(Параметры!$B$9)))</f>
        <v>0.1123764869015359</v>
      </c>
    </row>
    <row r="317" spans="1:3" ht="15.75" x14ac:dyDescent="0.25">
      <c r="A317" s="9">
        <v>3150</v>
      </c>
      <c r="B317" s="10">
        <f>1-EXP(-((4*Параметры!$B$2/Параметры!$B$3*Параметры!$B$10*Параметры!$B$4)*(Параметры!$B$6*Параметры!$B$7/Параметры!$B$8*1E-24))*(A317*0.0000001)/SIN(RADIANS(Параметры!$B$9)))</f>
        <v>2.6224935692312989E-2</v>
      </c>
      <c r="C317" s="10">
        <f>1-EXP(-((4*Параметры!$B$2/Параметры!$B$3*Параметры!$B$10*Параметры!$B$5)*(Параметры!$B$6*Параметры!$B$7/Параметры!$B$8*1E-24))*(A317*0.0000001)/SIN(RADIANS(Параметры!$B$9)))</f>
        <v>0.11271340213687187</v>
      </c>
    </row>
    <row r="318" spans="1:3" ht="15.75" x14ac:dyDescent="0.25">
      <c r="A318" s="9">
        <v>3160</v>
      </c>
      <c r="B318" s="10">
        <f>1-EXP(-((4*Параметры!$B$2/Параметры!$B$3*Параметры!$B$10*Параметры!$B$4)*(Параметры!$B$6*Параметры!$B$7/Параметры!$B$8*1E-24))*(A318*0.0000001)/SIN(RADIANS(Параметры!$B$9)))</f>
        <v>2.630708465875764E-2</v>
      </c>
      <c r="C318" s="10">
        <f>1-EXP(-((4*Параметры!$B$2/Параметры!$B$3*Параметры!$B$10*Параметры!$B$5)*(Параметры!$B$6*Параметры!$B$7/Параметры!$B$8*1E-24))*(A318*0.0000001)/SIN(RADIANS(Параметры!$B$9)))</f>
        <v>0.11305018948930012</v>
      </c>
    </row>
    <row r="319" spans="1:3" ht="15.75" x14ac:dyDescent="0.25">
      <c r="A319" s="9">
        <v>3170</v>
      </c>
      <c r="B319" s="10">
        <f>1-EXP(-((4*Параметры!$B$2/Параметры!$B$3*Параметры!$B$10*Параметры!$B$4)*(Параметры!$B$6*Параметры!$B$7/Параметры!$B$8*1E-24))*(A319*0.0000001)/SIN(RADIANS(Параметры!$B$9)))</f>
        <v>2.6389226695005652E-2</v>
      </c>
      <c r="C319" s="10">
        <f>1-EXP(-((4*Параметры!$B$2/Параметры!$B$3*Параметры!$B$10*Параметры!$B$5)*(Параметры!$B$6*Параметры!$B$7/Параметры!$B$8*1E-24))*(A319*0.0000001)/SIN(RADIANS(Параметры!$B$9)))</f>
        <v>0.11338684900736129</v>
      </c>
    </row>
    <row r="320" spans="1:3" ht="15.75" x14ac:dyDescent="0.25">
      <c r="A320" s="9">
        <v>3180</v>
      </c>
      <c r="B320" s="10">
        <f>1-EXP(-((4*Параметры!$B$2/Параметры!$B$3*Параметры!$B$10*Параметры!$B$4)*(Параметры!$B$6*Параметры!$B$7/Параметры!$B$8*1E-24))*(A320*0.0000001)/SIN(RADIANS(Параметры!$B$9)))</f>
        <v>2.6471361801641557E-2</v>
      </c>
      <c r="C320" s="10">
        <f>1-EXP(-((4*Параметры!$B$2/Параметры!$B$3*Параметры!$B$10*Параметры!$B$5)*(Параметры!$B$6*Параметры!$B$7/Параметры!$B$8*1E-24))*(A320*0.0000001)/SIN(RADIANS(Параметры!$B$9)))</f>
        <v>0.11372338073957722</v>
      </c>
    </row>
    <row r="321" spans="1:3" ht="15.75" x14ac:dyDescent="0.25">
      <c r="A321" s="9">
        <v>3190</v>
      </c>
      <c r="B321" s="10">
        <f>1-EXP(-((4*Параметры!$B$2/Параметры!$B$3*Параметры!$B$10*Параметры!$B$4)*(Параметры!$B$6*Параметры!$B$7/Параметры!$B$8*1E-24))*(A321*0.0000001)/SIN(RADIANS(Параметры!$B$9)))</f>
        <v>2.6553489979250111E-2</v>
      </c>
      <c r="C321" s="10">
        <f>1-EXP(-((4*Параметры!$B$2/Параметры!$B$3*Параметры!$B$10*Параметры!$B$5)*(Параметры!$B$6*Параметры!$B$7/Параметры!$B$8*1E-24))*(A321*0.0000001)/SIN(RADIANS(Параметры!$B$9)))</f>
        <v>0.11405978473445177</v>
      </c>
    </row>
    <row r="322" spans="1:3" ht="15.75" x14ac:dyDescent="0.25">
      <c r="A322" s="9">
        <v>3200</v>
      </c>
      <c r="B322" s="10">
        <f>1-EXP(-((4*Параметры!$B$2/Параметры!$B$3*Параметры!$B$10*Параметры!$B$4)*(Параметры!$B$6*Параметры!$B$7/Параметры!$B$8*1E-24))*(A322*0.0000001)/SIN(RADIANS(Параметры!$B$9)))</f>
        <v>2.6635611228415734E-2</v>
      </c>
      <c r="C322" s="10">
        <f>1-EXP(-((4*Параметры!$B$2/Параметры!$B$3*Параметры!$B$10*Параметры!$B$5)*(Параметры!$B$6*Параметры!$B$7/Параметры!$B$8*1E-24))*(A322*0.0000001)/SIN(RADIANS(Параметры!$B$9)))</f>
        <v>0.11439606104047007</v>
      </c>
    </row>
    <row r="323" spans="1:3" ht="15.75" x14ac:dyDescent="0.25">
      <c r="A323" s="9">
        <v>3210</v>
      </c>
      <c r="B323" s="10">
        <f>1-EXP(-((4*Параметры!$B$2/Параметры!$B$3*Параметры!$B$10*Параметры!$B$4)*(Параметры!$B$6*Параметры!$B$7/Параметры!$B$8*1E-24))*(A323*0.0000001)/SIN(RADIANS(Параметры!$B$9)))</f>
        <v>2.671772554972307E-2</v>
      </c>
      <c r="C323" s="10">
        <f>1-EXP(-((4*Параметры!$B$2/Параметры!$B$3*Параметры!$B$10*Параметры!$B$5)*(Параметры!$B$6*Параметры!$B$7/Параметры!$B$8*1E-24))*(A323*0.0000001)/SIN(RADIANS(Параметры!$B$9)))</f>
        <v>0.1147322097060991</v>
      </c>
    </row>
    <row r="324" spans="1:3" ht="15.75" x14ac:dyDescent="0.25">
      <c r="A324" s="9">
        <v>3220</v>
      </c>
      <c r="B324" s="10">
        <f>1-EXP(-((4*Параметры!$B$2/Параметры!$B$3*Параметры!$B$10*Параметры!$B$4)*(Параметры!$B$6*Параметры!$B$7/Параметры!$B$8*1E-24))*(A324*0.0000001)/SIN(RADIANS(Параметры!$B$9)))</f>
        <v>2.6799832943756319E-2</v>
      </c>
      <c r="C324" s="10">
        <f>1-EXP(-((4*Параметры!$B$2/Параметры!$B$3*Параметры!$B$10*Параметры!$B$5)*(Параметры!$B$6*Параметры!$B$7/Параметры!$B$8*1E-24))*(A324*0.0000001)/SIN(RADIANS(Параметры!$B$9)))</f>
        <v>0.11506823077978734</v>
      </c>
    </row>
    <row r="325" spans="1:3" ht="15.75" x14ac:dyDescent="0.25">
      <c r="A325" s="9">
        <v>3230</v>
      </c>
      <c r="B325" s="10">
        <f>1-EXP(-((4*Параметры!$B$2/Параметры!$B$3*Параметры!$B$10*Параметры!$B$4)*(Параметры!$B$6*Параметры!$B$7/Параметры!$B$8*1E-24))*(A325*0.0000001)/SIN(RADIANS(Параметры!$B$9)))</f>
        <v>2.6881933411100123E-2</v>
      </c>
      <c r="C325" s="10">
        <f>1-EXP(-((4*Параметры!$B$2/Параметры!$B$3*Параметры!$B$10*Параметры!$B$5)*(Параметры!$B$6*Параметры!$B$7/Параметры!$B$8*1E-24))*(A325*0.0000001)/SIN(RADIANS(Параметры!$B$9)))</f>
        <v>0.11540412430996472</v>
      </c>
    </row>
    <row r="326" spans="1:3" ht="15.75" x14ac:dyDescent="0.25">
      <c r="A326" s="9">
        <v>3240</v>
      </c>
      <c r="B326" s="10">
        <f>1-EXP(-((4*Параметры!$B$2/Параметры!$B$3*Параметры!$B$10*Параметры!$B$4)*(Параметры!$B$6*Параметры!$B$7/Параметры!$B$8*1E-24))*(A326*0.0000001)/SIN(RADIANS(Параметры!$B$9)))</f>
        <v>2.6964026952338682E-2</v>
      </c>
      <c r="C326" s="10">
        <f>1-EXP(-((4*Параметры!$B$2/Параметры!$B$3*Параметры!$B$10*Параметры!$B$5)*(Параметры!$B$6*Параметры!$B$7/Параметры!$B$8*1E-24))*(A326*0.0000001)/SIN(RADIANS(Параметры!$B$9)))</f>
        <v>0.11573989034504295</v>
      </c>
    </row>
    <row r="327" spans="1:3" ht="15.75" x14ac:dyDescent="0.25">
      <c r="A327" s="9">
        <v>3250</v>
      </c>
      <c r="B327" s="10">
        <f>1-EXP(-((4*Параметры!$B$2/Параметры!$B$3*Параметры!$B$10*Параметры!$B$4)*(Параметры!$B$6*Параметры!$B$7/Параметры!$B$8*1E-24))*(A327*0.0000001)/SIN(RADIANS(Параметры!$B$9)))</f>
        <v>2.7046113568056418E-2</v>
      </c>
      <c r="C327" s="10">
        <f>1-EXP(-((4*Параметры!$B$2/Параметры!$B$3*Параметры!$B$10*Параметры!$B$5)*(Параметры!$B$6*Параметры!$B$7/Параметры!$B$8*1E-24))*(A327*0.0000001)/SIN(RADIANS(Параметры!$B$9)))</f>
        <v>0.11607552893341555</v>
      </c>
    </row>
    <row r="328" spans="1:3" ht="15.75" x14ac:dyDescent="0.25">
      <c r="A328" s="9">
        <v>3260</v>
      </c>
      <c r="B328" s="10">
        <f>1-EXP(-((4*Параметры!$B$2/Параметры!$B$3*Параметры!$B$10*Параметры!$B$4)*(Параметры!$B$6*Параметры!$B$7/Параметры!$B$8*1E-24))*(A328*0.0000001)/SIN(RADIANS(Параметры!$B$9)))</f>
        <v>2.7128193258837419E-2</v>
      </c>
      <c r="C328" s="10">
        <f>1-EXP(-((4*Параметры!$B$2/Параметры!$B$3*Параметры!$B$10*Параметры!$B$5)*(Параметры!$B$6*Параметры!$B$7/Параметры!$B$8*1E-24))*(A328*0.0000001)/SIN(RADIANS(Параметры!$B$9)))</f>
        <v>0.11641104012345715</v>
      </c>
    </row>
    <row r="329" spans="1:3" ht="15.75" x14ac:dyDescent="0.25">
      <c r="A329" s="9">
        <v>3270</v>
      </c>
      <c r="B329" s="10">
        <f>1-EXP(-((4*Параметры!$B$2/Параметры!$B$3*Параметры!$B$10*Параметры!$B$4)*(Параметры!$B$6*Параметры!$B$7/Параметры!$B$8*1E-24))*(A329*0.0000001)/SIN(RADIANS(Параметры!$B$9)))</f>
        <v>2.7210266025265994E-2</v>
      </c>
      <c r="C329" s="10">
        <f>1-EXP(-((4*Параметры!$B$2/Параметры!$B$3*Параметры!$B$10*Параметры!$B$5)*(Параметры!$B$6*Параметры!$B$7/Параметры!$B$8*1E-24))*(A329*0.0000001)/SIN(RADIANS(Параметры!$B$9)))</f>
        <v>0.11674642396352453</v>
      </c>
    </row>
    <row r="330" spans="1:3" ht="15.75" x14ac:dyDescent="0.25">
      <c r="A330" s="9">
        <v>3280</v>
      </c>
      <c r="B330" s="10">
        <f>1-EXP(-((4*Параметры!$B$2/Параметры!$B$3*Параметры!$B$10*Параметры!$B$4)*(Параметры!$B$6*Параметры!$B$7/Параметры!$B$8*1E-24))*(A330*0.0000001)/SIN(RADIANS(Параметры!$B$9)))</f>
        <v>2.7292331867926234E-2</v>
      </c>
      <c r="C330" s="10">
        <f>1-EXP(-((4*Параметры!$B$2/Параметры!$B$3*Параметры!$B$10*Параметры!$B$5)*(Параметры!$B$6*Параметры!$B$7/Параметры!$B$8*1E-24))*(A330*0.0000001)/SIN(RADIANS(Параметры!$B$9)))</f>
        <v>0.11708168050195589</v>
      </c>
    </row>
    <row r="331" spans="1:3" ht="15.75" x14ac:dyDescent="0.25">
      <c r="A331" s="9">
        <v>3290</v>
      </c>
      <c r="B331" s="10">
        <f>1-EXP(-((4*Параметры!$B$2/Параметры!$B$3*Параметры!$B$10*Параметры!$B$4)*(Параметры!$B$6*Параметры!$B$7/Параметры!$B$8*1E-24))*(A331*0.0000001)/SIN(RADIANS(Параметры!$B$9)))</f>
        <v>2.7374390787402225E-2</v>
      </c>
      <c r="C331" s="10">
        <f>1-EXP(-((4*Параметры!$B$2/Параметры!$B$3*Параметры!$B$10*Параметры!$B$5)*(Параметры!$B$6*Параметры!$B$7/Параметры!$B$8*1E-24))*(A331*0.0000001)/SIN(RADIANS(Параметры!$B$9)))</f>
        <v>0.11741680978707103</v>
      </c>
    </row>
    <row r="332" spans="1:3" ht="15.75" x14ac:dyDescent="0.25">
      <c r="A332" s="9">
        <v>3300</v>
      </c>
      <c r="B332" s="10">
        <f>1-EXP(-((4*Параметры!$B$2/Параметры!$B$3*Параметры!$B$10*Параметры!$B$4)*(Параметры!$B$6*Параметры!$B$7/Параметры!$B$8*1E-24))*(A332*0.0000001)/SIN(RADIANS(Параметры!$B$9)))</f>
        <v>2.7456442784278168E-2</v>
      </c>
      <c r="C332" s="10">
        <f>1-EXP(-((4*Параметры!$B$2/Параметры!$B$3*Параметры!$B$10*Параметры!$B$5)*(Параметры!$B$6*Параметры!$B$7/Параметры!$B$8*1E-24))*(A332*0.0000001)/SIN(RADIANS(Параметры!$B$9)))</f>
        <v>0.11775181186717165</v>
      </c>
    </row>
    <row r="333" spans="1:3" ht="15.75" x14ac:dyDescent="0.25">
      <c r="A333" s="9">
        <v>3310</v>
      </c>
      <c r="B333" s="10">
        <f>1-EXP(-((4*Параметры!$B$2/Параметры!$B$3*Параметры!$B$10*Параметры!$B$4)*(Параметры!$B$6*Параметры!$B$7/Параметры!$B$8*1E-24))*(A333*0.0000001)/SIN(RADIANS(Параметры!$B$9)))</f>
        <v>2.7538487859137817E-2</v>
      </c>
      <c r="C333" s="10">
        <f>1-EXP(-((4*Параметры!$B$2/Параметры!$B$3*Параметры!$B$10*Параметры!$B$5)*(Параметры!$B$6*Параметры!$B$7/Параметры!$B$8*1E-24))*(A333*0.0000001)/SIN(RADIANS(Параметры!$B$9)))</f>
        <v>0.1180866867905408</v>
      </c>
    </row>
    <row r="334" spans="1:3" ht="15.75" x14ac:dyDescent="0.25">
      <c r="A334" s="9">
        <v>3320</v>
      </c>
      <c r="B334" s="10">
        <f>1-EXP(-((4*Параметры!$B$2/Параметры!$B$3*Параметры!$B$10*Параметры!$B$4)*(Параметры!$B$6*Параметры!$B$7/Параметры!$B$8*1E-24))*(A334*0.0000001)/SIN(RADIANS(Параметры!$B$9)))</f>
        <v>2.7620526012565372E-2</v>
      </c>
      <c r="C334" s="10">
        <f>1-EXP(-((4*Параметры!$B$2/Параметры!$B$3*Параметры!$B$10*Параметры!$B$5)*(Параметры!$B$6*Параметры!$B$7/Параметры!$B$8*1E-24))*(A334*0.0000001)/SIN(RADIANS(Параметры!$B$9)))</f>
        <v>0.11842143460544341</v>
      </c>
    </row>
    <row r="335" spans="1:3" ht="15.75" x14ac:dyDescent="0.25">
      <c r="A335" s="9">
        <v>3330</v>
      </c>
      <c r="B335" s="10">
        <f>1-EXP(-((4*Параметры!$B$2/Параметры!$B$3*Параметры!$B$10*Параметры!$B$4)*(Параметры!$B$6*Параметры!$B$7/Параметры!$B$8*1E-24))*(A335*0.0000001)/SIN(RADIANS(Параметры!$B$9)))</f>
        <v>2.7702557245144477E-2</v>
      </c>
      <c r="C335" s="10">
        <f>1-EXP(-((4*Параметры!$B$2/Параметры!$B$3*Параметры!$B$10*Параметры!$B$5)*(Параметры!$B$6*Параметры!$B$7/Параметры!$B$8*1E-24))*(A335*0.0000001)/SIN(RADIANS(Параметры!$B$9)))</f>
        <v>0.11875605536012601</v>
      </c>
    </row>
    <row r="336" spans="1:3" ht="15.75" x14ac:dyDescent="0.25">
      <c r="A336" s="9">
        <v>3340</v>
      </c>
      <c r="B336" s="10">
        <f>1-EXP(-((4*Параметры!$B$2/Параметры!$B$3*Параметры!$B$10*Параметры!$B$4)*(Параметры!$B$6*Параметры!$B$7/Параметры!$B$8*1E-24))*(A336*0.0000001)/SIN(RADIANS(Параметры!$B$9)))</f>
        <v>2.778458155745922E-2</v>
      </c>
      <c r="C336" s="10">
        <f>1-EXP(-((4*Параметры!$B$2/Параметры!$B$3*Параметры!$B$10*Параметры!$B$5)*(Параметры!$B$6*Параметры!$B$7/Параметры!$B$8*1E-24))*(A336*0.0000001)/SIN(RADIANS(Параметры!$B$9)))</f>
        <v>0.11909054910281691</v>
      </c>
    </row>
    <row r="337" spans="1:3" ht="15.75" x14ac:dyDescent="0.25">
      <c r="A337" s="9">
        <v>3350</v>
      </c>
      <c r="B337" s="10">
        <f>1-EXP(-((4*Параметры!$B$2/Параметры!$B$3*Параметры!$B$10*Параметры!$B$4)*(Параметры!$B$6*Параметры!$B$7/Параметры!$B$8*1E-24))*(A337*0.0000001)/SIN(RADIANS(Параметры!$B$9)))</f>
        <v>2.7866598950093247E-2</v>
      </c>
      <c r="C337" s="10">
        <f>1-EXP(-((4*Параметры!$B$2/Параметры!$B$3*Параметры!$B$10*Параметры!$B$5)*(Параметры!$B$6*Параметры!$B$7/Параметры!$B$8*1E-24))*(A337*0.0000001)/SIN(RADIANS(Параметры!$B$9)))</f>
        <v>0.11942491588172599</v>
      </c>
    </row>
    <row r="338" spans="1:3" ht="15.75" x14ac:dyDescent="0.25">
      <c r="A338" s="9">
        <v>3360</v>
      </c>
      <c r="B338" s="10">
        <f>1-EXP(-((4*Параметры!$B$2/Параметры!$B$3*Параметры!$B$10*Параметры!$B$4)*(Параметры!$B$6*Параметры!$B$7/Параметры!$B$8*1E-24))*(A338*0.0000001)/SIN(RADIANS(Параметры!$B$9)))</f>
        <v>2.7948609423630422E-2</v>
      </c>
      <c r="C338" s="10">
        <f>1-EXP(-((4*Параметры!$B$2/Параметры!$B$3*Параметры!$B$10*Параметры!$B$5)*(Параметры!$B$6*Параметры!$B$7/Параметры!$B$8*1E-24))*(A338*0.0000001)/SIN(RADIANS(Параметры!$B$9)))</f>
        <v>0.11975915574504492</v>
      </c>
    </row>
    <row r="339" spans="1:3" ht="15.75" x14ac:dyDescent="0.25">
      <c r="A339" s="9">
        <v>3370</v>
      </c>
      <c r="B339" s="10">
        <f>1-EXP(-((4*Параметры!$B$2/Параметры!$B$3*Параметры!$B$10*Параметры!$B$4)*(Параметры!$B$6*Параметры!$B$7/Параметры!$B$8*1E-24))*(A339*0.0000001)/SIN(RADIANS(Параметры!$B$9)))</f>
        <v>2.8030612978654279E-2</v>
      </c>
      <c r="C339" s="10">
        <f>1-EXP(-((4*Параметры!$B$2/Параметры!$B$3*Параметры!$B$10*Параметры!$B$5)*(Параметры!$B$6*Параметры!$B$7/Параметры!$B$8*1E-24))*(A339*0.0000001)/SIN(RADIANS(Параметры!$B$9)))</f>
        <v>0.12009326874094706</v>
      </c>
    </row>
    <row r="340" spans="1:3" ht="15.75" x14ac:dyDescent="0.25">
      <c r="A340" s="9">
        <v>3380</v>
      </c>
      <c r="B340" s="10">
        <f>1-EXP(-((4*Параметры!$B$2/Параметры!$B$3*Параметры!$B$10*Параметры!$B$4)*(Параметры!$B$6*Параметры!$B$7/Параметры!$B$8*1E-24))*(A340*0.0000001)/SIN(RADIANS(Параметры!$B$9)))</f>
        <v>2.8112609615748685E-2</v>
      </c>
      <c r="C340" s="10">
        <f>1-EXP(-((4*Параметры!$B$2/Параметры!$B$3*Параметры!$B$10*Параметры!$B$5)*(Параметры!$B$6*Параметры!$B$7/Параметры!$B$8*1E-24))*(A340*0.0000001)/SIN(RADIANS(Параметры!$B$9)))</f>
        <v>0.12042725491758743</v>
      </c>
    </row>
    <row r="341" spans="1:3" ht="15.75" x14ac:dyDescent="0.25">
      <c r="A341" s="9">
        <v>3390</v>
      </c>
      <c r="B341" s="10">
        <f>1-EXP(-((4*Параметры!$B$2/Параметры!$B$3*Параметры!$B$10*Параметры!$B$4)*(Параметры!$B$6*Параметры!$B$7/Параметры!$B$8*1E-24))*(A341*0.0000001)/SIN(RADIANS(Параметры!$B$9)))</f>
        <v>2.8194599335497172E-2</v>
      </c>
      <c r="C341" s="10">
        <f>1-EXP(-((4*Параметры!$B$2/Параметры!$B$3*Параметры!$B$10*Параметры!$B$5)*(Параметры!$B$6*Параметры!$B$7/Параметры!$B$8*1E-24))*(A341*0.0000001)/SIN(RADIANS(Параметры!$B$9)))</f>
        <v>0.12076111432310288</v>
      </c>
    </row>
    <row r="342" spans="1:3" ht="15.75" x14ac:dyDescent="0.25">
      <c r="A342" s="9">
        <v>3400</v>
      </c>
      <c r="B342" s="10">
        <f>1-EXP(-((4*Параметры!$B$2/Параметры!$B$3*Параметры!$B$10*Параметры!$B$4)*(Параметры!$B$6*Параметры!$B$7/Параметры!$B$8*1E-24))*(A342*0.0000001)/SIN(RADIANS(Параметры!$B$9)))</f>
        <v>2.8276582138483275E-2</v>
      </c>
      <c r="C342" s="10">
        <f>1-EXP(-((4*Параметры!$B$2/Параметры!$B$3*Параметры!$B$10*Параметры!$B$5)*(Параметры!$B$6*Параметры!$B$7/Параметры!$B$8*1E-24))*(A342*0.0000001)/SIN(RADIANS(Параметры!$B$9)))</f>
        <v>0.12109484700561179</v>
      </c>
    </row>
    <row r="343" spans="1:3" ht="15.75" x14ac:dyDescent="0.25">
      <c r="A343" s="9">
        <v>3410</v>
      </c>
      <c r="B343" s="10">
        <f>1-EXP(-((4*Параметры!$B$2/Параметры!$B$3*Параметры!$B$10*Параметры!$B$4)*(Параметры!$B$6*Параметры!$B$7/Параметры!$B$8*1E-24))*(A343*0.0000001)/SIN(RADIANS(Параметры!$B$9)))</f>
        <v>2.8358558025290415E-2</v>
      </c>
      <c r="C343" s="10">
        <f>1-EXP(-((4*Параметры!$B$2/Параметры!$B$3*Параметры!$B$10*Параметры!$B$5)*(Параметры!$B$6*Параметры!$B$7/Параметры!$B$8*1E-24))*(A343*0.0000001)/SIN(RADIANS(Параметры!$B$9)))</f>
        <v>0.12142845301321459</v>
      </c>
    </row>
    <row r="344" spans="1:3" ht="15.75" x14ac:dyDescent="0.25">
      <c r="A344" s="9">
        <v>3420</v>
      </c>
      <c r="B344" s="10">
        <f>1-EXP(-((4*Параметры!$B$2/Параметры!$B$3*Параметры!$B$10*Параметры!$B$4)*(Параметры!$B$6*Параметры!$B$7/Параметры!$B$8*1E-24))*(A344*0.0000001)/SIN(RADIANS(Параметры!$B$9)))</f>
        <v>2.8440526996502125E-2</v>
      </c>
      <c r="C344" s="10">
        <f>1-EXP(-((4*Параметры!$B$2/Параметры!$B$3*Параметры!$B$10*Параметры!$B$5)*(Параметры!$B$6*Параметры!$B$7/Параметры!$B$8*1E-24))*(A344*0.0000001)/SIN(RADIANS(Параметры!$B$9)))</f>
        <v>0.12176193239399302</v>
      </c>
    </row>
    <row r="345" spans="1:3" ht="15.75" x14ac:dyDescent="0.25">
      <c r="A345" s="9">
        <v>3430</v>
      </c>
      <c r="B345" s="10">
        <f>1-EXP(-((4*Параметры!$B$2/Параметры!$B$3*Параметры!$B$10*Параметры!$B$4)*(Параметры!$B$6*Параметры!$B$7/Параметры!$B$8*1E-24))*(A345*0.0000001)/SIN(RADIANS(Параметры!$B$9)))</f>
        <v>2.8522489052701938E-2</v>
      </c>
      <c r="C345" s="10">
        <f>1-EXP(-((4*Параметры!$B$2/Параметры!$B$3*Параметры!$B$10*Параметры!$B$5)*(Параметры!$B$6*Параметры!$B$7/Параметры!$B$8*1E-24))*(A345*0.0000001)/SIN(RADIANS(Параметры!$B$9)))</f>
        <v>0.12209528519601109</v>
      </c>
    </row>
    <row r="346" spans="1:3" ht="15.75" x14ac:dyDescent="0.25">
      <c r="A346" s="9">
        <v>3440</v>
      </c>
      <c r="B346" s="10">
        <f>1-EXP(-((4*Параметры!$B$2/Параметры!$B$3*Параметры!$B$10*Параметры!$B$4)*(Параметры!$B$6*Параметры!$B$7/Параметры!$B$8*1E-24))*(A346*0.0000001)/SIN(RADIANS(Параметры!$B$9)))</f>
        <v>2.8604444194473055E-2</v>
      </c>
      <c r="C346" s="10">
        <f>1-EXP(-((4*Параметры!$B$2/Параметры!$B$3*Параметры!$B$10*Параметры!$B$5)*(Параметры!$B$6*Параметры!$B$7/Параметры!$B$8*1E-24))*(A346*0.0000001)/SIN(RADIANS(Параметры!$B$9)))</f>
        <v>0.12242851146731415</v>
      </c>
    </row>
    <row r="347" spans="1:3" ht="15.75" x14ac:dyDescent="0.25">
      <c r="A347" s="9">
        <v>3450</v>
      </c>
      <c r="B347" s="10">
        <f>1-EXP(-((4*Параметры!$B$2/Параметры!$B$3*Параметры!$B$10*Параметры!$B$4)*(Параметры!$B$6*Параметры!$B$7/Параметры!$B$8*1E-24))*(A347*0.0000001)/SIN(RADIANS(Параметры!$B$9)))</f>
        <v>2.8686392422398788E-2</v>
      </c>
      <c r="C347" s="10">
        <f>1-EXP(-((4*Параметры!$B$2/Параметры!$B$3*Параметры!$B$10*Параметры!$B$5)*(Параметры!$B$6*Параметры!$B$7/Параметры!$B$8*1E-24))*(A347*0.0000001)/SIN(RADIANS(Параметры!$B$9)))</f>
        <v>0.12276161125592955</v>
      </c>
    </row>
    <row r="348" spans="1:3" ht="15.75" x14ac:dyDescent="0.25">
      <c r="A348" s="9">
        <v>3460</v>
      </c>
      <c r="B348" s="10">
        <f>1-EXP(-((4*Параметры!$B$2/Параметры!$B$3*Параметры!$B$10*Параметры!$B$4)*(Параметры!$B$6*Параметры!$B$7/Параметры!$B$8*1E-24))*(A348*0.0000001)/SIN(RADIANS(Параметры!$B$9)))</f>
        <v>2.8768333737062446E-2</v>
      </c>
      <c r="C348" s="10">
        <f>1-EXP(-((4*Параметры!$B$2/Параметры!$B$3*Параметры!$B$10*Параметры!$B$5)*(Параметры!$B$6*Параметры!$B$7/Параметры!$B$8*1E-24))*(A348*0.0000001)/SIN(RADIANS(Параметры!$B$9)))</f>
        <v>0.12309458460986622</v>
      </c>
    </row>
    <row r="349" spans="1:3" ht="15.75" x14ac:dyDescent="0.25">
      <c r="A349" s="9">
        <v>3470</v>
      </c>
      <c r="B349" s="10">
        <f>1-EXP(-((4*Параметры!$B$2/Параметры!$B$3*Параметры!$B$10*Параметры!$B$4)*(Параметры!$B$6*Параметры!$B$7/Параметры!$B$8*1E-24))*(A349*0.0000001)/SIN(RADIANS(Параметры!$B$9)))</f>
        <v>2.885026813904723E-2</v>
      </c>
      <c r="C349" s="10">
        <f>1-EXP(-((4*Параметры!$B$2/Параметры!$B$3*Параметры!$B$10*Параметры!$B$5)*(Параметры!$B$6*Параметры!$B$7/Параметры!$B$8*1E-24))*(A349*0.0000001)/SIN(RADIANS(Параметры!$B$9)))</f>
        <v>0.123427431577115</v>
      </c>
    </row>
    <row r="350" spans="1:3" ht="15.75" x14ac:dyDescent="0.25">
      <c r="A350" s="9">
        <v>3480</v>
      </c>
      <c r="B350" s="10">
        <f>1-EXP(-((4*Параметры!$B$2/Параметры!$B$3*Параметры!$B$10*Параметры!$B$4)*(Параметры!$B$6*Параметры!$B$7/Параметры!$B$8*1E-24))*(A350*0.0000001)/SIN(RADIANS(Параметры!$B$9)))</f>
        <v>2.8932195628936341E-2</v>
      </c>
      <c r="C350" s="10">
        <f>1-EXP(-((4*Параметры!$B$2/Параметры!$B$3*Параметры!$B$10*Параметры!$B$5)*(Параметры!$B$6*Параметры!$B$7/Параметры!$B$8*1E-24))*(A350*0.0000001)/SIN(RADIANS(Параметры!$B$9)))</f>
        <v>0.12376015220564862</v>
      </c>
    </row>
    <row r="351" spans="1:3" ht="15.75" x14ac:dyDescent="0.25">
      <c r="A351" s="9">
        <v>3490</v>
      </c>
      <c r="B351" s="10">
        <f>1-EXP(-((4*Параметры!$B$2/Параметры!$B$3*Параметры!$B$10*Параметры!$B$4)*(Параметры!$B$6*Параметры!$B$7/Параметры!$B$8*1E-24))*(A351*0.0000001)/SIN(RADIANS(Параметры!$B$9)))</f>
        <v>2.9014116207312868E-2</v>
      </c>
      <c r="C351" s="10">
        <f>1-EXP(-((4*Параметры!$B$2/Параметры!$B$3*Параметры!$B$10*Параметры!$B$5)*(Параметры!$B$6*Параметры!$B$7/Параметры!$B$8*1E-24))*(A351*0.0000001)/SIN(RADIANS(Параметры!$B$9)))</f>
        <v>0.12409274654342117</v>
      </c>
    </row>
    <row r="352" spans="1:3" ht="15.75" x14ac:dyDescent="0.25">
      <c r="A352" s="9">
        <v>3500</v>
      </c>
      <c r="B352" s="10">
        <f>1-EXP(-((4*Параметры!$B$2/Параметры!$B$3*Параметры!$B$10*Параметры!$B$4)*(Параметры!$B$6*Параметры!$B$7/Параметры!$B$8*1E-24))*(A352*0.0000001)/SIN(RADIANS(Параметры!$B$9)))</f>
        <v>2.9096029874759899E-2</v>
      </c>
      <c r="C352" s="10">
        <f>1-EXP(-((4*Параметры!$B$2/Параметры!$B$3*Параметры!$B$10*Параметры!$B$5)*(Параметры!$B$6*Параметры!$B$7/Параметры!$B$8*1E-24))*(A352*0.0000001)/SIN(RADIANS(Параметры!$B$9)))</f>
        <v>0.12442521463836909</v>
      </c>
    </row>
    <row r="353" spans="1:3" ht="15.75" x14ac:dyDescent="0.25">
      <c r="A353" s="9">
        <v>3510</v>
      </c>
      <c r="B353" s="10">
        <f>1-EXP(-((4*Параметры!$B$2/Параметры!$B$3*Параметры!$B$10*Параметры!$B$4)*(Параметры!$B$6*Параметры!$B$7/Параметры!$B$8*1E-24))*(A353*0.0000001)/SIN(RADIANS(Параметры!$B$9)))</f>
        <v>2.9177936631860413E-2</v>
      </c>
      <c r="C353" s="10">
        <f>1-EXP(-((4*Параметры!$B$2/Параметры!$B$3*Параметры!$B$10*Параметры!$B$5)*(Параметры!$B$6*Параметры!$B$7/Параметры!$B$8*1E-24))*(A353*0.0000001)/SIN(RADIANS(Параметры!$B$9)))</f>
        <v>0.12475755653841025</v>
      </c>
    </row>
    <row r="354" spans="1:3" ht="15.75" x14ac:dyDescent="0.25">
      <c r="A354" s="9">
        <v>3520</v>
      </c>
      <c r="B354" s="10">
        <f>1-EXP(-((4*Параметры!$B$2/Параметры!$B$3*Параметры!$B$10*Параметры!$B$4)*(Параметры!$B$6*Параметры!$B$7/Параметры!$B$8*1E-24))*(A354*0.0000001)/SIN(RADIANS(Параметры!$B$9)))</f>
        <v>2.9259836479197276E-2</v>
      </c>
      <c r="C354" s="10">
        <f>1-EXP(-((4*Параметры!$B$2/Параметры!$B$3*Параметры!$B$10*Параметры!$B$5)*(Параметры!$B$6*Параметры!$B$7/Параметры!$B$8*1E-24))*(A354*0.0000001)/SIN(RADIANS(Параметры!$B$9)))</f>
        <v>0.12508977229144447</v>
      </c>
    </row>
    <row r="355" spans="1:3" ht="15.75" x14ac:dyDescent="0.25">
      <c r="A355" s="9">
        <v>3530</v>
      </c>
      <c r="B355" s="10">
        <f>1-EXP(-((4*Параметры!$B$2/Параметры!$B$3*Параметры!$B$10*Параметры!$B$4)*(Параметры!$B$6*Параметры!$B$7/Параметры!$B$8*1E-24))*(A355*0.0000001)/SIN(RADIANS(Параметры!$B$9)))</f>
        <v>2.9341729417353579E-2</v>
      </c>
      <c r="C355" s="10">
        <f>1-EXP(-((4*Параметры!$B$2/Параметры!$B$3*Параметры!$B$10*Параметры!$B$5)*(Параметры!$B$6*Параметры!$B$7/Параметры!$B$8*1E-24))*(A355*0.0000001)/SIN(RADIANS(Параметры!$B$9)))</f>
        <v>0.12542186194535332</v>
      </c>
    </row>
    <row r="356" spans="1:3" ht="15.75" x14ac:dyDescent="0.25">
      <c r="A356" s="9">
        <v>3540</v>
      </c>
      <c r="B356" s="10">
        <f>1-EXP(-((4*Параметры!$B$2/Параметры!$B$3*Параметры!$B$10*Параметры!$B$4)*(Параметры!$B$6*Параметры!$B$7/Параметры!$B$8*1E-24))*(A356*0.0000001)/SIN(RADIANS(Параметры!$B$9)))</f>
        <v>2.9423615446912188E-2</v>
      </c>
      <c r="C356" s="10">
        <f>1-EXP(-((4*Параметры!$B$2/Параметры!$B$3*Параметры!$B$10*Параметры!$B$5)*(Параметры!$B$6*Параметры!$B$7/Параметры!$B$8*1E-24))*(A356*0.0000001)/SIN(RADIANS(Параметры!$B$9)))</f>
        <v>0.12575382554800041</v>
      </c>
    </row>
    <row r="357" spans="1:3" ht="15.75" x14ac:dyDescent="0.25">
      <c r="A357" s="9">
        <v>3550</v>
      </c>
      <c r="B357" s="10">
        <f>1-EXP(-((4*Параметры!$B$2/Параметры!$B$3*Параметры!$B$10*Параметры!$B$4)*(Параметры!$B$6*Параметры!$B$7/Параметры!$B$8*1E-24))*(A357*0.0000001)/SIN(RADIANS(Параметры!$B$9)))</f>
        <v>2.9505494568455748E-2</v>
      </c>
      <c r="C357" s="10">
        <f>1-EXP(-((4*Параметры!$B$2/Параметры!$B$3*Параметры!$B$10*Параметры!$B$5)*(Параметры!$B$6*Параметры!$B$7/Параметры!$B$8*1E-24))*(A357*0.0000001)/SIN(RADIANS(Параметры!$B$9)))</f>
        <v>0.1260856631472308</v>
      </c>
    </row>
    <row r="358" spans="1:3" ht="15.75" x14ac:dyDescent="0.25">
      <c r="A358" s="9">
        <v>3560</v>
      </c>
      <c r="B358" s="10">
        <f>1-EXP(-((4*Параметры!$B$2/Параметры!$B$3*Параметры!$B$10*Параметры!$B$4)*(Параметры!$B$6*Параметры!$B$7/Параметры!$B$8*1E-24))*(A358*0.0000001)/SIN(RADIANS(Параметры!$B$9)))</f>
        <v>2.9587366782567237E-2</v>
      </c>
      <c r="C358" s="10">
        <f>1-EXP(-((4*Параметры!$B$2/Параметры!$B$3*Параметры!$B$10*Параметры!$B$5)*(Параметры!$B$6*Параметры!$B$7/Параметры!$B$8*1E-24))*(A358*0.0000001)/SIN(RADIANS(Параметры!$B$9)))</f>
        <v>0.12641737479087178</v>
      </c>
    </row>
    <row r="359" spans="1:3" ht="15.75" x14ac:dyDescent="0.25">
      <c r="A359" s="9">
        <v>3570</v>
      </c>
      <c r="B359" s="10">
        <f>1-EXP(-((4*Параметры!$B$2/Параметры!$B$3*Параметры!$B$10*Параметры!$B$4)*(Параметры!$B$6*Параметры!$B$7/Параметры!$B$8*1E-24))*(A359*0.0000001)/SIN(RADIANS(Параметры!$B$9)))</f>
        <v>2.9669232089829189E-2</v>
      </c>
      <c r="C359" s="10">
        <f>1-EXP(-((4*Параметры!$B$2/Параметры!$B$3*Параметры!$B$10*Параметры!$B$5)*(Параметры!$B$6*Параметры!$B$7/Параметры!$B$8*1E-24))*(A359*0.0000001)/SIN(RADIANS(Параметры!$B$9)))</f>
        <v>0.12674896052673212</v>
      </c>
    </row>
    <row r="360" spans="1:3" ht="15.75" x14ac:dyDescent="0.25">
      <c r="A360" s="9">
        <v>3580</v>
      </c>
      <c r="B360" s="10">
        <f>1-EXP(-((4*Параметры!$B$2/Параметры!$B$3*Параметры!$B$10*Параметры!$B$4)*(Параметры!$B$6*Параметры!$B$7/Параметры!$B$8*1E-24))*(A360*0.0000001)/SIN(RADIANS(Параметры!$B$9)))</f>
        <v>2.9751090490824361E-2</v>
      </c>
      <c r="C360" s="10">
        <f>1-EXP(-((4*Параметры!$B$2/Параметры!$B$3*Параметры!$B$10*Параметры!$B$5)*(Параметры!$B$6*Параметры!$B$7/Параметры!$B$8*1E-24))*(A360*0.0000001)/SIN(RADIANS(Параметры!$B$9)))</f>
        <v>0.12708042040260281</v>
      </c>
    </row>
    <row r="361" spans="1:3" ht="15.75" x14ac:dyDescent="0.25">
      <c r="A361" s="9">
        <v>3590</v>
      </c>
      <c r="B361" s="10">
        <f>1-EXP(-((4*Параметры!$B$2/Параметры!$B$3*Параметры!$B$10*Параметры!$B$4)*(Параметры!$B$6*Параметры!$B$7/Параметры!$B$8*1E-24))*(A361*0.0000001)/SIN(RADIANS(Параметры!$B$9)))</f>
        <v>2.9832941986135397E-2</v>
      </c>
      <c r="C361" s="10">
        <f>1-EXP(-((4*Параметры!$B$2/Параметры!$B$3*Параметры!$B$10*Параметры!$B$5)*(Параметры!$B$6*Параметры!$B$7/Параметры!$B$8*1E-24))*(A361*0.0000001)/SIN(RADIANS(Параметры!$B$9)))</f>
        <v>0.12741175446625652</v>
      </c>
    </row>
    <row r="362" spans="1:3" ht="15.75" x14ac:dyDescent="0.25">
      <c r="A362" s="9">
        <v>3600</v>
      </c>
      <c r="B362" s="10">
        <f>1-EXP(-((4*Параметры!$B$2/Параметры!$B$3*Параметры!$B$10*Параметры!$B$4)*(Параметры!$B$6*Параметры!$B$7/Параметры!$B$8*1E-24))*(A362*0.0000001)/SIN(RADIANS(Параметры!$B$9)))</f>
        <v>2.9914786576344832E-2</v>
      </c>
      <c r="C362" s="10">
        <f>1-EXP(-((4*Параметры!$B$2/Параметры!$B$3*Параметры!$B$10*Параметры!$B$5)*(Параметры!$B$6*Параметры!$B$7/Параметры!$B$8*1E-24))*(A362*0.0000001)/SIN(RADIANS(Параметры!$B$9)))</f>
        <v>0.12774296276544761</v>
      </c>
    </row>
    <row r="363" spans="1:3" ht="15.75" x14ac:dyDescent="0.25">
      <c r="A363" s="9">
        <v>3610</v>
      </c>
      <c r="B363" s="10">
        <f>1-EXP(-((4*Параметры!$B$2/Параметры!$B$3*Параметры!$B$10*Параметры!$B$4)*(Параметры!$B$6*Параметры!$B$7/Параметры!$B$8*1E-24))*(A363*0.0000001)/SIN(RADIANS(Параметры!$B$9)))</f>
        <v>2.999662426203531E-2</v>
      </c>
      <c r="C363" s="10">
        <f>1-EXP(-((4*Параметры!$B$2/Параметры!$B$3*Параметры!$B$10*Параметры!$B$5)*(Параметры!$B$6*Параметры!$B$7/Параметры!$B$8*1E-24))*(A363*0.0000001)/SIN(RADIANS(Параметры!$B$9)))</f>
        <v>0.12807404534791267</v>
      </c>
    </row>
    <row r="364" spans="1:3" ht="15.75" x14ac:dyDescent="0.25">
      <c r="A364" s="9">
        <v>3620</v>
      </c>
      <c r="B364" s="10">
        <f>1-EXP(-((4*Параметры!$B$2/Параметры!$B$3*Параметры!$B$10*Параметры!$B$4)*(Параметры!$B$6*Параметры!$B$7/Параметры!$B$8*1E-24))*(A364*0.0000001)/SIN(RADIANS(Параметры!$B$9)))</f>
        <v>3.0078455043789032E-2</v>
      </c>
      <c r="C364" s="10">
        <f>1-EXP(-((4*Параметры!$B$2/Параметры!$B$3*Параметры!$B$10*Параметры!$B$5)*(Параметры!$B$6*Параметры!$B$7/Параметры!$B$8*1E-24))*(A364*0.0000001)/SIN(RADIANS(Параметры!$B$9)))</f>
        <v>0.12840500226136986</v>
      </c>
    </row>
    <row r="365" spans="1:3" ht="15.75" x14ac:dyDescent="0.25">
      <c r="A365" s="9">
        <v>3630</v>
      </c>
      <c r="B365" s="10">
        <f>1-EXP(-((4*Параметры!$B$2/Параметры!$B$3*Параметры!$B$10*Параметры!$B$4)*(Параметры!$B$6*Параметры!$B$7/Параметры!$B$8*1E-24))*(A365*0.0000001)/SIN(RADIANS(Параметры!$B$9)))</f>
        <v>3.0160278922188644E-2</v>
      </c>
      <c r="C365" s="10">
        <f>1-EXP(-((4*Параметры!$B$2/Параметры!$B$3*Параметры!$B$10*Параметры!$B$5)*(Параметры!$B$6*Параметры!$B$7/Параметры!$B$8*1E-24))*(A365*0.0000001)/SIN(RADIANS(Параметры!$B$9)))</f>
        <v>0.12873583355351959</v>
      </c>
    </row>
    <row r="366" spans="1:3" ht="15.75" x14ac:dyDescent="0.25">
      <c r="A366" s="9">
        <v>3640</v>
      </c>
      <c r="B366" s="10">
        <f>1-EXP(-((4*Параметры!$B$2/Параметры!$B$3*Параметры!$B$10*Параметры!$B$4)*(Параметры!$B$6*Параметры!$B$7/Параметры!$B$8*1E-24))*(A366*0.0000001)/SIN(RADIANS(Параметры!$B$9)))</f>
        <v>3.0242095897816568E-2</v>
      </c>
      <c r="C366" s="10">
        <f>1-EXP(-((4*Параметры!$B$2/Параметры!$B$3*Параметры!$B$10*Параметры!$B$5)*(Параметры!$B$6*Параметры!$B$7/Параметры!$B$8*1E-24))*(A366*0.0000001)/SIN(RADIANS(Параметры!$B$9)))</f>
        <v>0.12906653927204359</v>
      </c>
    </row>
    <row r="367" spans="1:3" ht="15.75" x14ac:dyDescent="0.25">
      <c r="A367" s="9">
        <v>3650</v>
      </c>
      <c r="B367" s="10">
        <f>1-EXP(-((4*Параметры!$B$2/Параметры!$B$3*Параметры!$B$10*Параметры!$B$4)*(Параметры!$B$6*Параметры!$B$7/Параметры!$B$8*1E-24))*(A367*0.0000001)/SIN(RADIANS(Параметры!$B$9)))</f>
        <v>3.0323905971254894E-2</v>
      </c>
      <c r="C367" s="10">
        <f>1-EXP(-((4*Параметры!$B$2/Параметры!$B$3*Параметры!$B$10*Параметры!$B$5)*(Параметры!$B$6*Параметры!$B$7/Параметры!$B$8*1E-24))*(A367*0.0000001)/SIN(RADIANS(Параметры!$B$9)))</f>
        <v>0.12939711946460619</v>
      </c>
    </row>
    <row r="368" spans="1:3" ht="15.75" x14ac:dyDescent="0.25">
      <c r="A368" s="9">
        <v>3660</v>
      </c>
      <c r="B368" s="10">
        <f>1-EXP(-((4*Параметры!$B$2/Параметры!$B$3*Параметры!$B$10*Параметры!$B$4)*(Параметры!$B$6*Параметры!$B$7/Параметры!$B$8*1E-24))*(A368*0.0000001)/SIN(RADIANS(Параметры!$B$9)))</f>
        <v>3.0405709143086157E-2</v>
      </c>
      <c r="C368" s="10">
        <f>1-EXP(-((4*Параметры!$B$2/Параметры!$B$3*Параметры!$B$10*Параметры!$B$5)*(Параметры!$B$6*Параметры!$B$7/Параметры!$B$8*1E-24))*(A368*0.0000001)/SIN(RADIANS(Параметры!$B$9)))</f>
        <v>0.12972757417885306</v>
      </c>
    </row>
    <row r="369" spans="1:3" ht="15.75" x14ac:dyDescent="0.25">
      <c r="A369" s="9">
        <v>3670</v>
      </c>
      <c r="B369" s="10">
        <f>1-EXP(-((4*Параметры!$B$2/Параметры!$B$3*Параметры!$B$10*Параметры!$B$4)*(Параметры!$B$6*Параметры!$B$7/Параметры!$B$8*1E-24))*(A369*0.0000001)/SIN(RADIANS(Параметры!$B$9)))</f>
        <v>3.0487505413892335E-2</v>
      </c>
      <c r="C369" s="10">
        <f>1-EXP(-((4*Параметры!$B$2/Параметры!$B$3*Параметры!$B$10*Параметры!$B$5)*(Параметры!$B$6*Параметры!$B$7/Параметры!$B$8*1E-24))*(A369*0.0000001)/SIN(RADIANS(Параметры!$B$9)))</f>
        <v>0.13005790346241208</v>
      </c>
    </row>
    <row r="370" spans="1:3" ht="15.75" x14ac:dyDescent="0.25">
      <c r="A370" s="9">
        <v>3680</v>
      </c>
      <c r="B370" s="10">
        <f>1-EXP(-((4*Параметры!$B$2/Параметры!$B$3*Параметры!$B$10*Параметры!$B$4)*(Параметры!$B$6*Параметры!$B$7/Параметры!$B$8*1E-24))*(A370*0.0000001)/SIN(RADIANS(Параметры!$B$9)))</f>
        <v>3.0569294784255852E-2</v>
      </c>
      <c r="C370" s="10">
        <f>1-EXP(-((4*Параметры!$B$2/Параметры!$B$3*Параметры!$B$10*Параметры!$B$5)*(Параметры!$B$6*Параметры!$B$7/Параметры!$B$8*1E-24))*(A370*0.0000001)/SIN(RADIANS(Параметры!$B$9)))</f>
        <v>0.13038810736289286</v>
      </c>
    </row>
    <row r="371" spans="1:3" ht="15.75" x14ac:dyDescent="0.25">
      <c r="A371" s="9">
        <v>3690</v>
      </c>
      <c r="B371" s="10">
        <f>1-EXP(-((4*Параметры!$B$2/Параметры!$B$3*Параметры!$B$10*Параметры!$B$4)*(Параметры!$B$6*Параметры!$B$7/Параметры!$B$8*1E-24))*(A371*0.0000001)/SIN(RADIANS(Параметры!$B$9)))</f>
        <v>3.0651077254758685E-2</v>
      </c>
      <c r="C371" s="10">
        <f>1-EXP(-((4*Параметры!$B$2/Параметры!$B$3*Параметры!$B$10*Параметры!$B$5)*(Параметры!$B$6*Параметры!$B$7/Параметры!$B$8*1E-24))*(A371*0.0000001)/SIN(RADIANS(Параметры!$B$9)))</f>
        <v>0.1307181859278872</v>
      </c>
    </row>
    <row r="372" spans="1:3" ht="15.75" x14ac:dyDescent="0.25">
      <c r="A372" s="9">
        <v>3700</v>
      </c>
      <c r="B372" s="10">
        <f>1-EXP(-((4*Параметры!$B$2/Параметры!$B$3*Параметры!$B$10*Параметры!$B$4)*(Параметры!$B$6*Параметры!$B$7/Параметры!$B$8*1E-24))*(A372*0.0000001)/SIN(RADIANS(Параметры!$B$9)))</f>
        <v>3.0732852825982926E-2</v>
      </c>
      <c r="C372" s="10">
        <f>1-EXP(-((4*Параметры!$B$2/Параметры!$B$3*Параметры!$B$10*Параметры!$B$5)*(Параметры!$B$6*Параметры!$B$7/Параметры!$B$8*1E-24))*(A372*0.0000001)/SIN(RADIANS(Параметры!$B$9)))</f>
        <v>0.13104813920496872</v>
      </c>
    </row>
    <row r="373" spans="1:3" ht="15.75" x14ac:dyDescent="0.25">
      <c r="A373" s="9">
        <v>3710</v>
      </c>
      <c r="B373" s="10">
        <f>1-EXP(-((4*Параметры!$B$2/Параметры!$B$3*Параметры!$B$10*Параметры!$B$4)*(Параметры!$B$6*Параметры!$B$7/Параметры!$B$8*1E-24))*(A373*0.0000001)/SIN(RADIANS(Параметры!$B$9)))</f>
        <v>3.0814621498510664E-2</v>
      </c>
      <c r="C373" s="10">
        <f>1-EXP(-((4*Параметры!$B$2/Параметры!$B$3*Параметры!$B$10*Параметры!$B$5)*(Параметры!$B$6*Параметры!$B$7/Параметры!$B$8*1E-24))*(A373*0.0000001)/SIN(RADIANS(Параметры!$B$9)))</f>
        <v>0.13137796724169271</v>
      </c>
    </row>
    <row r="374" spans="1:3" ht="15.75" x14ac:dyDescent="0.25">
      <c r="A374" s="9">
        <v>3720</v>
      </c>
      <c r="B374" s="10">
        <f>1-EXP(-((4*Параметры!$B$2/Параметры!$B$3*Параметры!$B$10*Параметры!$B$4)*(Параметры!$B$6*Параметры!$B$7/Параметры!$B$8*1E-24))*(A374*0.0000001)/SIN(RADIANS(Параметры!$B$9)))</f>
        <v>3.0896383272923877E-2</v>
      </c>
      <c r="C374" s="10">
        <f>1-EXP(-((4*Параметры!$B$2/Параметры!$B$3*Параметры!$B$10*Параметры!$B$5)*(Параметры!$B$6*Параметры!$B$7/Параметры!$B$8*1E-24))*(A374*0.0000001)/SIN(RADIANS(Параметры!$B$9)))</f>
        <v>0.13170767008559692</v>
      </c>
    </row>
    <row r="375" spans="1:3" ht="15.75" x14ac:dyDescent="0.25">
      <c r="A375" s="9">
        <v>3730</v>
      </c>
      <c r="B375" s="10">
        <f>1-EXP(-((4*Параметры!$B$2/Параметры!$B$3*Параметры!$B$10*Параметры!$B$4)*(Параметры!$B$6*Параметры!$B$7/Параметры!$B$8*1E-24))*(A375*0.0000001)/SIN(RADIANS(Параметры!$B$9)))</f>
        <v>3.0978138149804546E-2</v>
      </c>
      <c r="C375" s="10">
        <f>1-EXP(-((4*Параметры!$B$2/Параметры!$B$3*Параметры!$B$10*Параметры!$B$5)*(Параметры!$B$6*Параметры!$B$7/Параметры!$B$8*1E-24))*(A375*0.0000001)/SIN(RADIANS(Параметры!$B$9)))</f>
        <v>0.13203724778420067</v>
      </c>
    </row>
    <row r="376" spans="1:3" ht="15.75" x14ac:dyDescent="0.25">
      <c r="A376" s="9">
        <v>3740</v>
      </c>
      <c r="B376" s="10">
        <f>1-EXP(-((4*Параметры!$B$2/Параметры!$B$3*Параметры!$B$10*Параметры!$B$4)*(Параметры!$B$6*Параметры!$B$7/Параметры!$B$8*1E-24))*(A376*0.0000001)/SIN(RADIANS(Параметры!$B$9)))</f>
        <v>3.1059886129734315E-2</v>
      </c>
      <c r="C376" s="10">
        <f>1-EXP(-((4*Параметры!$B$2/Параметры!$B$3*Параметры!$B$10*Параметры!$B$5)*(Параметры!$B$6*Параметры!$B$7/Параметры!$B$8*1E-24))*(A376*0.0000001)/SIN(RADIANS(Параметры!$B$9)))</f>
        <v>0.13236670038500531</v>
      </c>
    </row>
    <row r="377" spans="1:3" ht="15.75" x14ac:dyDescent="0.25">
      <c r="A377" s="9">
        <v>3750</v>
      </c>
      <c r="B377" s="10">
        <f>1-EXP(-((4*Параметры!$B$2/Параметры!$B$3*Параметры!$B$10*Параметры!$B$4)*(Параметры!$B$6*Параметры!$B$7/Параметры!$B$8*1E-24))*(A377*0.0000001)/SIN(RADIANS(Параметры!$B$9)))</f>
        <v>3.1141627213295386E-2</v>
      </c>
      <c r="C377" s="10">
        <f>1-EXP(-((4*Параметры!$B$2/Параметры!$B$3*Параметры!$B$10*Параметры!$B$5)*(Параметры!$B$6*Параметры!$B$7/Параметры!$B$8*1E-24))*(A377*0.0000001)/SIN(RADIANS(Параметры!$B$9)))</f>
        <v>0.13269602793549429</v>
      </c>
    </row>
    <row r="378" spans="1:3" ht="15.75" x14ac:dyDescent="0.25">
      <c r="A378" s="9">
        <v>3760</v>
      </c>
      <c r="B378" s="10">
        <f>1-EXP(-((4*Параметры!$B$2/Параметры!$B$3*Параметры!$B$10*Параметры!$B$4)*(Параметры!$B$6*Параметры!$B$7/Параметры!$B$8*1E-24))*(A378*0.0000001)/SIN(RADIANS(Параметры!$B$9)))</f>
        <v>3.1223361401069183E-2</v>
      </c>
      <c r="C378" s="10">
        <f>1-EXP(-((4*Параметры!$B$2/Параметры!$B$3*Параметры!$B$10*Параметры!$B$5)*(Параметры!$B$6*Параметры!$B$7/Параметры!$B$8*1E-24))*(A378*0.0000001)/SIN(RADIANS(Параметры!$B$9)))</f>
        <v>0.13302523048313286</v>
      </c>
    </row>
    <row r="379" spans="1:3" ht="15.75" x14ac:dyDescent="0.25">
      <c r="A379" s="9">
        <v>3770</v>
      </c>
      <c r="B379" s="10">
        <f>1-EXP(-((4*Параметры!$B$2/Параметры!$B$3*Параметры!$B$10*Параметры!$B$4)*(Параметры!$B$6*Параметры!$B$7/Параметры!$B$8*1E-24))*(A379*0.0000001)/SIN(RADIANS(Параметры!$B$9)))</f>
        <v>3.1305088693637684E-2</v>
      </c>
      <c r="C379" s="10">
        <f>1-EXP(-((4*Параметры!$B$2/Параметры!$B$3*Параметры!$B$10*Параметры!$B$5)*(Параметры!$B$6*Параметры!$B$7/Параметры!$B$8*1E-24))*(A379*0.0000001)/SIN(RADIANS(Параметры!$B$9)))</f>
        <v>0.13335430807536841</v>
      </c>
    </row>
    <row r="380" spans="1:3" ht="15.75" x14ac:dyDescent="0.25">
      <c r="A380" s="9">
        <v>3780</v>
      </c>
      <c r="B380" s="10">
        <f>1-EXP(-((4*Параметры!$B$2/Параметры!$B$3*Параметры!$B$10*Параметры!$B$4)*(Параметры!$B$6*Параметры!$B$7/Параметры!$B$8*1E-24))*(A380*0.0000001)/SIN(RADIANS(Параметры!$B$9)))</f>
        <v>3.1386809091582535E-2</v>
      </c>
      <c r="C380" s="10">
        <f>1-EXP(-((4*Параметры!$B$2/Параметры!$B$3*Параметры!$B$10*Параметры!$B$5)*(Параметры!$B$6*Параметры!$B$7/Параметры!$B$8*1E-24))*(A380*0.0000001)/SIN(RADIANS(Параметры!$B$9)))</f>
        <v>0.13368326075963022</v>
      </c>
    </row>
    <row r="381" spans="1:3" ht="15.75" x14ac:dyDescent="0.25">
      <c r="A381" s="9">
        <v>3790</v>
      </c>
      <c r="B381" s="10">
        <f>1-EXP(-((4*Параметры!$B$2/Параметры!$B$3*Параметры!$B$10*Параметры!$B$4)*(Параметры!$B$6*Параметры!$B$7/Параметры!$B$8*1E-24))*(A381*0.0000001)/SIN(RADIANS(Параметры!$B$9)))</f>
        <v>3.1468522595485271E-2</v>
      </c>
      <c r="C381" s="10">
        <f>1-EXP(-((4*Параметры!$B$2/Параметры!$B$3*Параметры!$B$10*Параметры!$B$5)*(Параметры!$B$6*Параметры!$B$7/Параметры!$B$8*1E-24))*(A381*0.0000001)/SIN(RADIANS(Параметры!$B$9)))</f>
        <v>0.1340120885833298</v>
      </c>
    </row>
    <row r="382" spans="1:3" ht="15.75" x14ac:dyDescent="0.25">
      <c r="A382" s="9">
        <v>3800</v>
      </c>
      <c r="B382" s="10">
        <f>1-EXP(-((4*Параметры!$B$2/Параметры!$B$3*Параметры!$B$10*Параметры!$B$4)*(Параметры!$B$6*Параметры!$B$7/Параметры!$B$8*1E-24))*(A382*0.0000001)/SIN(RADIANS(Параметры!$B$9)))</f>
        <v>3.1550229205927649E-2</v>
      </c>
      <c r="C382" s="10">
        <f>1-EXP(-((4*Параметры!$B$2/Параметры!$B$3*Параметры!$B$10*Параметры!$B$5)*(Параметры!$B$6*Параметры!$B$7/Параметры!$B$8*1E-24))*(A382*0.0000001)/SIN(RADIANS(Параметры!$B$9)))</f>
        <v>0.13434079159386014</v>
      </c>
    </row>
    <row r="383" spans="1:3" ht="15.75" x14ac:dyDescent="0.25">
      <c r="A383" s="9">
        <v>3810</v>
      </c>
      <c r="B383" s="10">
        <f>1-EXP(-((4*Параметры!$B$2/Параметры!$B$3*Параметры!$B$10*Параметры!$B$4)*(Параметры!$B$6*Параметры!$B$7/Параметры!$B$8*1E-24))*(A383*0.0000001)/SIN(RADIANS(Параметры!$B$9)))</f>
        <v>3.1631928923491093E-2</v>
      </c>
      <c r="C383" s="10">
        <f>1-EXP(-((4*Параметры!$B$2/Параметры!$B$3*Параметры!$B$10*Параметры!$B$5)*(Параметры!$B$6*Параметры!$B$7/Параметры!$B$8*1E-24))*(A383*0.0000001)/SIN(RADIANS(Параметры!$B$9)))</f>
        <v>0.1346693698385969</v>
      </c>
    </row>
    <row r="384" spans="1:3" ht="15.75" x14ac:dyDescent="0.25">
      <c r="A384" s="9">
        <v>3820</v>
      </c>
      <c r="B384" s="10">
        <f>1-EXP(-((4*Параметры!$B$2/Параметры!$B$3*Параметры!$B$10*Параметры!$B$4)*(Параметры!$B$6*Параметры!$B$7/Параметры!$B$8*1E-24))*(A384*0.0000001)/SIN(RADIANS(Параметры!$B$9)))</f>
        <v>3.1713621748757137E-2</v>
      </c>
      <c r="C384" s="10">
        <f>1-EXP(-((4*Параметры!$B$2/Параметры!$B$3*Параметры!$B$10*Параметры!$B$5)*(Параметры!$B$6*Параметры!$B$7/Параметры!$B$8*1E-24))*(A384*0.0000001)/SIN(RADIANS(Параметры!$B$9)))</f>
        <v>0.13499782336489718</v>
      </c>
    </row>
    <row r="385" spans="1:3" ht="15.75" x14ac:dyDescent="0.25">
      <c r="A385" s="9">
        <v>3830</v>
      </c>
      <c r="B385" s="10">
        <f>1-EXP(-((4*Параметры!$B$2/Параметры!$B$3*Параметры!$B$10*Параметры!$B$4)*(Параметры!$B$6*Параметры!$B$7/Параметры!$B$8*1E-24))*(A385*0.0000001)/SIN(RADIANS(Параметры!$B$9)))</f>
        <v>3.1795307682307095E-2</v>
      </c>
      <c r="C385" s="10">
        <f>1-EXP(-((4*Параметры!$B$2/Параметры!$B$3*Параметры!$B$10*Параметры!$B$5)*(Параметры!$B$6*Параметры!$B$7/Параметры!$B$8*1E-24))*(A385*0.0000001)/SIN(RADIANS(Параметры!$B$9)))</f>
        <v>0.13532615222010047</v>
      </c>
    </row>
    <row r="386" spans="1:3" ht="15.75" x14ac:dyDescent="0.25">
      <c r="A386" s="9">
        <v>3840</v>
      </c>
      <c r="B386" s="10">
        <f>1-EXP(-((4*Параметры!$B$2/Параметры!$B$3*Параметры!$B$10*Параметры!$B$4)*(Параметры!$B$6*Параметры!$B$7/Параметры!$B$8*1E-24))*(A386*0.0000001)/SIN(RADIANS(Параметры!$B$9)))</f>
        <v>3.1876986724722611E-2</v>
      </c>
      <c r="C386" s="10">
        <f>1-EXP(-((4*Параметры!$B$2/Параметры!$B$3*Параметры!$B$10*Параметры!$B$5)*(Параметры!$B$6*Параметры!$B$7/Параметры!$B$8*1E-24))*(A386*0.0000001)/SIN(RADIANS(Параметры!$B$9)))</f>
        <v>0.13565435645152812</v>
      </c>
    </row>
    <row r="387" spans="1:3" ht="15.75" x14ac:dyDescent="0.25">
      <c r="A387" s="9">
        <v>3850</v>
      </c>
      <c r="B387" s="10">
        <f>1-EXP(-((4*Параметры!$B$2/Параметры!$B$3*Параметры!$B$10*Параметры!$B$4)*(Параметры!$B$6*Параметры!$B$7/Параметры!$B$8*1E-24))*(A387*0.0000001)/SIN(RADIANS(Параметры!$B$9)))</f>
        <v>3.1958658876584889E-2</v>
      </c>
      <c r="C387" s="10">
        <f>1-EXP(-((4*Параметры!$B$2/Параметры!$B$3*Параметры!$B$10*Параметры!$B$5)*(Параметры!$B$6*Параметры!$B$7/Параметры!$B$8*1E-24))*(A387*0.0000001)/SIN(RADIANS(Параметры!$B$9)))</f>
        <v>0.13598243610648364</v>
      </c>
    </row>
    <row r="388" spans="1:3" ht="15.75" x14ac:dyDescent="0.25">
      <c r="A388" s="9">
        <v>3860</v>
      </c>
      <c r="B388" s="10">
        <f>1-EXP(-((4*Параметры!$B$2/Параметры!$B$3*Параметры!$B$10*Параметры!$B$4)*(Параметры!$B$6*Параметры!$B$7/Параметры!$B$8*1E-24))*(A388*0.0000001)/SIN(RADIANS(Параметры!$B$9)))</f>
        <v>3.2040324138475129E-2</v>
      </c>
      <c r="C388" s="10">
        <f>1-EXP(-((4*Параметры!$B$2/Параметры!$B$3*Параметры!$B$10*Параметры!$B$5)*(Параметры!$B$6*Параметры!$B$7/Параметры!$B$8*1E-24))*(A388*0.0000001)/SIN(RADIANS(Параметры!$B$9)))</f>
        <v>0.13631039123225253</v>
      </c>
    </row>
    <row r="389" spans="1:3" ht="15.75" x14ac:dyDescent="0.25">
      <c r="A389" s="9">
        <v>3870</v>
      </c>
      <c r="B389" s="10">
        <f>1-EXP(-((4*Параметры!$B$2/Параметры!$B$3*Параметры!$B$10*Параметры!$B$4)*(Параметры!$B$6*Параметры!$B$7/Параметры!$B$8*1E-24))*(A389*0.0000001)/SIN(RADIANS(Параметры!$B$9)))</f>
        <v>3.2121982510974756E-2</v>
      </c>
      <c r="C389" s="10">
        <f>1-EXP(-((4*Параметры!$B$2/Параметры!$B$3*Параметры!$B$10*Параметры!$B$5)*(Параметры!$B$6*Параметры!$B$7/Параметры!$B$8*1E-24))*(A389*0.0000001)/SIN(RADIANS(Параметры!$B$9)))</f>
        <v>0.13663822187610219</v>
      </c>
    </row>
    <row r="390" spans="1:3" ht="15.75" x14ac:dyDescent="0.25">
      <c r="A390" s="9">
        <v>3880</v>
      </c>
      <c r="B390" s="10">
        <f>1-EXP(-((4*Параметры!$B$2/Параметры!$B$3*Параметры!$B$10*Параметры!$B$4)*(Параметры!$B$6*Параметры!$B$7/Параметры!$B$8*1E-24))*(A390*0.0000001)/SIN(RADIANS(Параметры!$B$9)))</f>
        <v>3.220363399466486E-2</v>
      </c>
      <c r="C390" s="10">
        <f>1-EXP(-((4*Параметры!$B$2/Параметры!$B$3*Параметры!$B$10*Параметры!$B$5)*(Параметры!$B$6*Параметры!$B$7/Параметры!$B$8*1E-24))*(A390*0.0000001)/SIN(RADIANS(Параметры!$B$9)))</f>
        <v>0.13696592808528241</v>
      </c>
    </row>
    <row r="391" spans="1:3" ht="15.75" x14ac:dyDescent="0.25">
      <c r="A391" s="9">
        <v>3890</v>
      </c>
      <c r="B391" s="10">
        <f>1-EXP(-((4*Параметры!$B$2/Параметры!$B$3*Параметры!$B$10*Параметры!$B$4)*(Параметры!$B$6*Параметры!$B$7/Параметры!$B$8*1E-24))*(A391*0.0000001)/SIN(RADIANS(Параметры!$B$9)))</f>
        <v>3.2285278590126754E-2</v>
      </c>
      <c r="C391" s="10">
        <f>1-EXP(-((4*Параметры!$B$2/Параметры!$B$3*Параметры!$B$10*Параметры!$B$5)*(Параметры!$B$6*Параметры!$B$7/Параметры!$B$8*1E-24))*(A391*0.0000001)/SIN(RADIANS(Параметры!$B$9)))</f>
        <v>0.13729350990702471</v>
      </c>
    </row>
    <row r="392" spans="1:3" ht="15.75" x14ac:dyDescent="0.25">
      <c r="A392" s="9">
        <v>3900</v>
      </c>
      <c r="B392" s="10">
        <f>1-EXP(-((4*Параметры!$B$2/Параметры!$B$3*Параметры!$B$10*Параметры!$B$4)*(Параметры!$B$6*Параметры!$B$7/Параметры!$B$8*1E-24))*(A392*0.0000001)/SIN(RADIANS(Параметры!$B$9)))</f>
        <v>3.2366916297941306E-2</v>
      </c>
      <c r="C392" s="10">
        <f>1-EXP(-((4*Параметры!$B$2/Параметры!$B$3*Параметры!$B$10*Параметры!$B$5)*(Параметры!$B$6*Параметры!$B$7/Параметры!$B$8*1E-24))*(A392*0.0000001)/SIN(RADIANS(Параметры!$B$9)))</f>
        <v>0.1376209673885429</v>
      </c>
    </row>
    <row r="393" spans="1:3" ht="15.75" x14ac:dyDescent="0.25">
      <c r="A393" s="9">
        <v>3910</v>
      </c>
      <c r="B393" s="10">
        <f>1-EXP(-((4*Параметры!$B$2/Параметры!$B$3*Параметры!$B$10*Параметры!$B$4)*(Параметры!$B$6*Параметры!$B$7/Параметры!$B$8*1E-24))*(A393*0.0000001)/SIN(RADIANS(Параметры!$B$9)))</f>
        <v>3.2448547118689608E-2</v>
      </c>
      <c r="C393" s="10">
        <f>1-EXP(-((4*Параметры!$B$2/Параметры!$B$3*Параметры!$B$10*Параметры!$B$5)*(Параметры!$B$6*Параметры!$B$7/Параметры!$B$8*1E-24))*(A393*0.0000001)/SIN(RADIANS(Параметры!$B$9)))</f>
        <v>0.13794830057703278</v>
      </c>
    </row>
    <row r="394" spans="1:3" ht="15.75" x14ac:dyDescent="0.25">
      <c r="A394" s="9">
        <v>3920</v>
      </c>
      <c r="B394" s="10">
        <f>1-EXP(-((4*Параметры!$B$2/Параметры!$B$3*Параметры!$B$10*Параметры!$B$4)*(Параметры!$B$6*Параметры!$B$7/Параметры!$B$8*1E-24))*(A394*0.0000001)/SIN(RADIANS(Параметры!$B$9)))</f>
        <v>3.2530171052952861E-2</v>
      </c>
      <c r="C394" s="10">
        <f>1-EXP(-((4*Параметры!$B$2/Параметры!$B$3*Параметры!$B$10*Параметры!$B$5)*(Параметры!$B$6*Параметры!$B$7/Параметры!$B$8*1E-24))*(A394*0.0000001)/SIN(RADIANS(Параметры!$B$9)))</f>
        <v>0.13827550951967216</v>
      </c>
    </row>
    <row r="395" spans="1:3" ht="15.75" x14ac:dyDescent="0.25">
      <c r="A395" s="9">
        <v>3930</v>
      </c>
      <c r="B395" s="10">
        <f>1-EXP(-((4*Параметры!$B$2/Параметры!$B$3*Параметры!$B$10*Параметры!$B$4)*(Параметры!$B$6*Параметры!$B$7/Параметры!$B$8*1E-24))*(A395*0.0000001)/SIN(RADIANS(Параметры!$B$9)))</f>
        <v>3.2611788101311823E-2</v>
      </c>
      <c r="C395" s="10">
        <f>1-EXP(-((4*Параметры!$B$2/Параметры!$B$3*Параметры!$B$10*Параметры!$B$5)*(Параметры!$B$6*Параметры!$B$7/Параметры!$B$8*1E-24))*(A395*0.0000001)/SIN(RADIANS(Параметры!$B$9)))</f>
        <v>0.1386025942636212</v>
      </c>
    </row>
    <row r="396" spans="1:3" ht="15.75" x14ac:dyDescent="0.25">
      <c r="A396" s="9">
        <v>3940</v>
      </c>
      <c r="B396" s="10">
        <f>1-EXP(-((4*Параметры!$B$2/Параметры!$B$3*Параметры!$B$10*Параметры!$B$4)*(Параметры!$B$6*Параметры!$B$7/Параметры!$B$8*1E-24))*(A396*0.0000001)/SIN(RADIANS(Параметры!$B$9)))</f>
        <v>3.2693398264347362E-2</v>
      </c>
      <c r="C396" s="10">
        <f>1-EXP(-((4*Параметры!$B$2/Параметры!$B$3*Параметры!$B$10*Параметры!$B$5)*(Параметры!$B$6*Параметры!$B$7/Параметры!$B$8*1E-24))*(A396*0.0000001)/SIN(RADIANS(Параметры!$B$9)))</f>
        <v>0.13892955485602188</v>
      </c>
    </row>
    <row r="397" spans="1:3" ht="15.75" x14ac:dyDescent="0.25">
      <c r="A397" s="9">
        <v>3950</v>
      </c>
      <c r="B397" s="10">
        <f>1-EXP(-((4*Параметры!$B$2/Параметры!$B$3*Параметры!$B$10*Параметры!$B$4)*(Параметры!$B$6*Параметры!$B$7/Параметры!$B$8*1E-24))*(A397*0.0000001)/SIN(RADIANS(Параметры!$B$9)))</f>
        <v>3.2775001542640569E-2</v>
      </c>
      <c r="C397" s="10">
        <f>1-EXP(-((4*Параметры!$B$2/Параметры!$B$3*Параметры!$B$10*Параметры!$B$5)*(Параметры!$B$6*Параметры!$B$7/Параметры!$B$8*1E-24))*(A397*0.0000001)/SIN(RADIANS(Параметры!$B$9)))</f>
        <v>0.13925639134399848</v>
      </c>
    </row>
    <row r="398" spans="1:3" ht="15.75" x14ac:dyDescent="0.25">
      <c r="A398" s="9">
        <v>3960</v>
      </c>
      <c r="B398" s="10">
        <f>1-EXP(-((4*Параметры!$B$2/Параметры!$B$3*Параметры!$B$10*Параметры!$B$4)*(Параметры!$B$6*Параметры!$B$7/Параметры!$B$8*1E-24))*(A398*0.0000001)/SIN(RADIANS(Параметры!$B$9)))</f>
        <v>3.2856597936771981E-2</v>
      </c>
      <c r="C398" s="10">
        <f>1-EXP(-((4*Параметры!$B$2/Параметры!$B$3*Параметры!$B$10*Параметры!$B$5)*(Параметры!$B$6*Параметры!$B$7/Параметры!$B$8*1E-24))*(A398*0.0000001)/SIN(RADIANS(Параметры!$B$9)))</f>
        <v>0.13958310377465721</v>
      </c>
    </row>
    <row r="399" spans="1:3" ht="15.75" x14ac:dyDescent="0.25">
      <c r="A399" s="9">
        <v>3970</v>
      </c>
      <c r="B399" s="10">
        <f>1-EXP(-((4*Параметры!$B$2/Параметры!$B$3*Параметры!$B$10*Параметры!$B$4)*(Параметры!$B$6*Параметры!$B$7/Параметры!$B$8*1E-24))*(A399*0.0000001)/SIN(RADIANS(Параметры!$B$9)))</f>
        <v>3.2938187447322576E-2</v>
      </c>
      <c r="C399" s="10">
        <f>1-EXP(-((4*Параметры!$B$2/Параметры!$B$3*Параметры!$B$10*Параметры!$B$5)*(Параметры!$B$6*Параметры!$B$7/Параметры!$B$8*1E-24))*(A399*0.0000001)/SIN(RADIANS(Параметры!$B$9)))</f>
        <v>0.13990969219508664</v>
      </c>
    </row>
    <row r="400" spans="1:3" ht="15.75" x14ac:dyDescent="0.25">
      <c r="A400" s="9">
        <v>3980</v>
      </c>
      <c r="B400" s="10">
        <f>1-EXP(-((4*Параметры!$B$2/Параметры!$B$3*Параметры!$B$10*Параметры!$B$4)*(Параметры!$B$6*Параметры!$B$7/Параметры!$B$8*1E-24))*(A400*0.0000001)/SIN(RADIANS(Параметры!$B$9)))</f>
        <v>3.3019770074873001E-2</v>
      </c>
      <c r="C400" s="10">
        <f>1-EXP(-((4*Параметры!$B$2/Параметры!$B$3*Параметры!$B$10*Параметры!$B$5)*(Параметры!$B$6*Параметры!$B$7/Параметры!$B$8*1E-24))*(A400*0.0000001)/SIN(RADIANS(Параметры!$B$9)))</f>
        <v>0.14023615665235722</v>
      </c>
    </row>
    <row r="401" spans="1:3" ht="15.75" x14ac:dyDescent="0.25">
      <c r="A401" s="9">
        <v>3990</v>
      </c>
      <c r="B401" s="10">
        <f>1-EXP(-((4*Параметры!$B$2/Параметры!$B$3*Параметры!$B$10*Параметры!$B$4)*(Параметры!$B$6*Параметры!$B$7/Параметры!$B$8*1E-24))*(A401*0.0000001)/SIN(RADIANS(Параметры!$B$9)))</f>
        <v>3.3101345820003791E-2</v>
      </c>
      <c r="C401" s="10">
        <f>1-EXP(-((4*Параметры!$B$2/Параметры!$B$3*Параметры!$B$10*Параметры!$B$5)*(Параметры!$B$6*Параметры!$B$7/Параметры!$B$8*1E-24))*(A401*0.0000001)/SIN(RADIANS(Параметры!$B$9)))</f>
        <v>0.14056249719352165</v>
      </c>
    </row>
    <row r="402" spans="1:3" ht="15.75" x14ac:dyDescent="0.25">
      <c r="A402" s="9">
        <v>4000</v>
      </c>
      <c r="B402" s="10">
        <f>1-EXP(-((4*Параметры!$B$2/Параметры!$B$3*Параметры!$B$10*Параметры!$B$4)*(Параметры!$B$6*Параметры!$B$7/Параметры!$B$8*1E-24))*(A402*0.0000001)/SIN(RADIANS(Параметры!$B$9)))</f>
        <v>3.3182914683295706E-2</v>
      </c>
      <c r="C402" s="10">
        <f>1-EXP(-((4*Параметры!$B$2/Параметры!$B$3*Параметры!$B$10*Параметры!$B$5)*(Параметры!$B$6*Параметры!$B$7/Параметры!$B$8*1E-24))*(A402*0.0000001)/SIN(RADIANS(Параметры!$B$9)))</f>
        <v>0.14088871386561475</v>
      </c>
    </row>
    <row r="403" spans="1:3" ht="15.75" x14ac:dyDescent="0.25">
      <c r="A403" s="9">
        <v>4010</v>
      </c>
      <c r="B403" s="10">
        <f>1-EXP(-((4*Параметры!$B$2/Параметры!$B$3*Параметры!$B$10*Параметры!$B$4)*(Параметры!$B$6*Параметры!$B$7/Параметры!$B$8*1E-24))*(A403*0.0000001)/SIN(RADIANS(Параметры!$B$9)))</f>
        <v>3.3264476665329168E-2</v>
      </c>
      <c r="C403" s="10">
        <f>1-EXP(-((4*Параметры!$B$2/Параметры!$B$3*Параметры!$B$10*Параметры!$B$5)*(Параметры!$B$6*Параметры!$B$7/Параметры!$B$8*1E-24))*(A403*0.0000001)/SIN(RADIANS(Параметры!$B$9)))</f>
        <v>0.14121480671565356</v>
      </c>
    </row>
    <row r="404" spans="1:3" ht="15.75" x14ac:dyDescent="0.25">
      <c r="A404" s="9">
        <v>4020</v>
      </c>
      <c r="B404" s="10">
        <f>1-EXP(-((4*Параметры!$B$2/Параметры!$B$3*Параметры!$B$10*Параметры!$B$4)*(Параметры!$B$6*Параметры!$B$7/Параметры!$B$8*1E-24))*(A404*0.0000001)/SIN(RADIANS(Параметры!$B$9)))</f>
        <v>3.3346031766684825E-2</v>
      </c>
      <c r="C404" s="10">
        <f>1-EXP(-((4*Параметры!$B$2/Параметры!$B$3*Параметры!$B$10*Параметры!$B$5)*(Параметры!$B$6*Параметры!$B$7/Параметры!$B$8*1E-24))*(A404*0.0000001)/SIN(RADIANS(Параметры!$B$9)))</f>
        <v>0.14154077579063729</v>
      </c>
    </row>
    <row r="405" spans="1:3" ht="15.75" x14ac:dyDescent="0.25">
      <c r="A405" s="9">
        <v>4030</v>
      </c>
      <c r="B405" s="10">
        <f>1-EXP(-((4*Параметры!$B$2/Параметры!$B$3*Параметры!$B$10*Параметры!$B$4)*(Параметры!$B$6*Параметры!$B$7/Параметры!$B$8*1E-24))*(A405*0.0000001)/SIN(RADIANS(Параметры!$B$9)))</f>
        <v>3.3427579987943101E-2</v>
      </c>
      <c r="C405" s="10">
        <f>1-EXP(-((4*Параметры!$B$2/Параметры!$B$3*Параметры!$B$10*Параметры!$B$5)*(Параметры!$B$6*Параметры!$B$7/Параметры!$B$8*1E-24))*(A405*0.0000001)/SIN(RADIANS(Параметры!$B$9)))</f>
        <v>0.141866621137547</v>
      </c>
    </row>
    <row r="406" spans="1:3" ht="15.75" x14ac:dyDescent="0.25">
      <c r="A406" s="9">
        <v>4040</v>
      </c>
      <c r="B406" s="10">
        <f>1-EXP(-((4*Параметры!$B$2/Параметры!$B$3*Параметры!$B$10*Параметры!$B$4)*(Параметры!$B$6*Параметры!$B$7/Параметры!$B$8*1E-24))*(A406*0.0000001)/SIN(RADIANS(Параметры!$B$9)))</f>
        <v>3.3509121329684421E-2</v>
      </c>
      <c r="C406" s="10">
        <f>1-EXP(-((4*Параметры!$B$2/Параметры!$B$3*Параметры!$B$10*Параметры!$B$5)*(Параметры!$B$6*Параметры!$B$7/Параметры!$B$8*1E-24))*(A406*0.0000001)/SIN(RADIANS(Параметры!$B$9)))</f>
        <v>0.14219234280334636</v>
      </c>
    </row>
    <row r="407" spans="1:3" ht="15.75" x14ac:dyDescent="0.25">
      <c r="A407" s="9">
        <v>4050</v>
      </c>
      <c r="B407" s="10">
        <f>1-EXP(-((4*Параметры!$B$2/Параметры!$B$3*Параметры!$B$10*Параметры!$B$4)*(Параметры!$B$6*Параметры!$B$7/Параметры!$B$8*1E-24))*(A407*0.0000001)/SIN(RADIANS(Параметры!$B$9)))</f>
        <v>3.3590655792489099E-2</v>
      </c>
      <c r="C407" s="10">
        <f>1-EXP(-((4*Параметры!$B$2/Параметры!$B$3*Параметры!$B$10*Параметры!$B$5)*(Параметры!$B$6*Параметры!$B$7/Параметры!$B$8*1E-24))*(A407*0.0000001)/SIN(RADIANS(Параметры!$B$9)))</f>
        <v>0.14251794083498093</v>
      </c>
    </row>
    <row r="408" spans="1:3" ht="15.75" x14ac:dyDescent="0.25">
      <c r="A408" s="9">
        <v>4060</v>
      </c>
      <c r="B408" s="10">
        <f>1-EXP(-((4*Параметры!$B$2/Параметры!$B$3*Параметры!$B$10*Параметры!$B$4)*(Параметры!$B$6*Параметры!$B$7/Параметры!$B$8*1E-24))*(A408*0.0000001)/SIN(RADIANS(Параметры!$B$9)))</f>
        <v>3.3672183376937448E-2</v>
      </c>
      <c r="C408" s="10">
        <f>1-EXP(-((4*Параметры!$B$2/Параметры!$B$3*Параметры!$B$10*Параметры!$B$5)*(Параметры!$B$6*Параметры!$B$7/Параметры!$B$8*1E-24))*(A408*0.0000001)/SIN(RADIANS(Параметры!$B$9)))</f>
        <v>0.14284341527937849</v>
      </c>
    </row>
    <row r="409" spans="1:3" ht="15.75" x14ac:dyDescent="0.25">
      <c r="A409" s="9">
        <v>4070</v>
      </c>
      <c r="B409" s="10">
        <f>1-EXP(-((4*Параметры!$B$2/Параметры!$B$3*Параметры!$B$10*Параметры!$B$4)*(Параметры!$B$6*Параметры!$B$7/Параметры!$B$8*1E-24))*(A409*0.0000001)/SIN(RADIANS(Параметры!$B$9)))</f>
        <v>3.3753704083609781E-2</v>
      </c>
      <c r="C409" s="10">
        <f>1-EXP(-((4*Параметры!$B$2/Параметры!$B$3*Параметры!$B$10*Параметры!$B$5)*(Параметры!$B$6*Параметры!$B$7/Параметры!$B$8*1E-24))*(A409*0.0000001)/SIN(RADIANS(Параметры!$B$9)))</f>
        <v>0.14316876618344909</v>
      </c>
    </row>
    <row r="410" spans="1:3" ht="15.75" x14ac:dyDescent="0.25">
      <c r="A410" s="9">
        <v>4080</v>
      </c>
      <c r="B410" s="10">
        <f>1-EXP(-((4*Параметры!$B$2/Параметры!$B$3*Параметры!$B$10*Параметры!$B$4)*(Параметры!$B$6*Параметры!$B$7/Параметры!$B$8*1E-24))*(A410*0.0000001)/SIN(RADIANS(Параметры!$B$9)))</f>
        <v>3.3835217913086302E-2</v>
      </c>
      <c r="C410" s="10">
        <f>1-EXP(-((4*Параметры!$B$2/Параметры!$B$3*Параметры!$B$10*Параметры!$B$5)*(Параметры!$B$6*Параметры!$B$7/Параметры!$B$8*1E-24))*(A410*0.0000001)/SIN(RADIANS(Параметры!$B$9)))</f>
        <v>0.14349399359408499</v>
      </c>
    </row>
    <row r="411" spans="1:3" ht="15.75" x14ac:dyDescent="0.25">
      <c r="A411" s="9">
        <v>4090</v>
      </c>
      <c r="B411" s="10">
        <f>1-EXP(-((4*Параметры!$B$2/Параметры!$B$3*Параметры!$B$10*Параметры!$B$4)*(Параметры!$B$6*Параметры!$B$7/Параметры!$B$8*1E-24))*(A411*0.0000001)/SIN(RADIANS(Параметры!$B$9)))</f>
        <v>3.3916724865947212E-2</v>
      </c>
      <c r="C411" s="10">
        <f>1-EXP(-((4*Параметры!$B$2/Параметры!$B$3*Параметры!$B$10*Параметры!$B$5)*(Параметры!$B$6*Параметры!$B$7/Параметры!$B$8*1E-24))*(A411*0.0000001)/SIN(RADIANS(Параметры!$B$9)))</f>
        <v>0.14381909755816047</v>
      </c>
    </row>
    <row r="412" spans="1:3" ht="15.75" x14ac:dyDescent="0.25">
      <c r="A412" s="9">
        <v>4100</v>
      </c>
      <c r="B412" s="10">
        <f>1-EXP(-((4*Параметры!$B$2/Параметры!$B$3*Параметры!$B$10*Параметры!$B$4)*(Параметры!$B$6*Параметры!$B$7/Параметры!$B$8*1E-24))*(A412*0.0000001)/SIN(RADIANS(Параметры!$B$9)))</f>
        <v>3.3998224942772493E-2</v>
      </c>
      <c r="C412" s="10">
        <f>1-EXP(-((4*Параметры!$B$2/Параметры!$B$3*Параметры!$B$10*Параметры!$B$5)*(Параметры!$B$6*Параметры!$B$7/Параметры!$B$8*1E-24))*(A412*0.0000001)/SIN(RADIANS(Параметры!$B$9)))</f>
        <v>0.14414407812253216</v>
      </c>
    </row>
    <row r="413" spans="1:3" ht="15.75" x14ac:dyDescent="0.25">
      <c r="A413" s="9">
        <v>4110</v>
      </c>
      <c r="B413" s="10">
        <f>1-EXP(-((4*Параметры!$B$2/Параметры!$B$3*Параметры!$B$10*Параметры!$B$4)*(Параметры!$B$6*Параметры!$B$7/Параметры!$B$8*1E-24))*(A413*0.0000001)/SIN(RADIANS(Параметры!$B$9)))</f>
        <v>3.4079718144142457E-2</v>
      </c>
      <c r="C413" s="10">
        <f>1-EXP(-((4*Параметры!$B$2/Параметры!$B$3*Параметры!$B$10*Параметры!$B$5)*(Параметры!$B$6*Параметры!$B$7/Параметры!$B$8*1E-24))*(A413*0.0000001)/SIN(RADIANS(Параметры!$B$9)))</f>
        <v>0.14446893533403893</v>
      </c>
    </row>
    <row r="414" spans="1:3" ht="15.75" x14ac:dyDescent="0.25">
      <c r="A414" s="9">
        <v>4120</v>
      </c>
      <c r="B414" s="10">
        <f>1-EXP(-((4*Параметры!$B$2/Параметры!$B$3*Параметры!$B$10*Параметры!$B$4)*(Параметры!$B$6*Параметры!$B$7/Параметры!$B$8*1E-24))*(A414*0.0000001)/SIN(RADIANS(Параметры!$B$9)))</f>
        <v>3.4161204470636863E-2</v>
      </c>
      <c r="C414" s="10">
        <f>1-EXP(-((4*Параметры!$B$2/Параметры!$B$3*Параметры!$B$10*Параметры!$B$5)*(Параметры!$B$6*Параметры!$B$7/Параметры!$B$8*1E-24))*(A414*0.0000001)/SIN(RADIANS(Параметры!$B$9)))</f>
        <v>0.14479366923950188</v>
      </c>
    </row>
    <row r="415" spans="1:3" ht="15.75" x14ac:dyDescent="0.25">
      <c r="A415" s="9">
        <v>4130</v>
      </c>
      <c r="B415" s="10">
        <f>1-EXP(-((4*Параметры!$B$2/Параметры!$B$3*Параметры!$B$10*Параметры!$B$4)*(Параметры!$B$6*Параметры!$B$7/Параметры!$B$8*1E-24))*(A415*0.0000001)/SIN(RADIANS(Параметры!$B$9)))</f>
        <v>3.4242683922835915E-2</v>
      </c>
      <c r="C415" s="10">
        <f>1-EXP(-((4*Параметры!$B$2/Параметры!$B$3*Параметры!$B$10*Параметры!$B$5)*(Параметры!$B$6*Параметры!$B$7/Параметры!$B$8*1E-24))*(A415*0.0000001)/SIN(RADIANS(Параметры!$B$9)))</f>
        <v>0.14511827988572412</v>
      </c>
    </row>
    <row r="416" spans="1:3" ht="15.75" x14ac:dyDescent="0.25">
      <c r="A416" s="9">
        <v>4140</v>
      </c>
      <c r="B416" s="10">
        <f>1-EXP(-((4*Параметры!$B$2/Параметры!$B$3*Параметры!$B$10*Параметры!$B$4)*(Параметры!$B$6*Параметры!$B$7/Параметры!$B$8*1E-24))*(A416*0.0000001)/SIN(RADIANS(Параметры!$B$9)))</f>
        <v>3.4324156501319369E-2</v>
      </c>
      <c r="C416" s="10">
        <f>1-EXP(-((4*Параметры!$B$2/Параметры!$B$3*Параметры!$B$10*Параметры!$B$5)*(Параметры!$B$6*Параметры!$B$7/Параметры!$B$8*1E-24))*(A416*0.0000001)/SIN(RADIANS(Параметры!$B$9)))</f>
        <v>0.14544276731949135</v>
      </c>
    </row>
    <row r="417" spans="1:3" ht="15.75" x14ac:dyDescent="0.25">
      <c r="A417" s="9">
        <v>4150</v>
      </c>
      <c r="B417" s="10">
        <f>1-EXP(-((4*Параметры!$B$2/Параметры!$B$3*Параметры!$B$10*Параметры!$B$4)*(Параметры!$B$6*Параметры!$B$7/Параметры!$B$8*1E-24))*(A417*0.0000001)/SIN(RADIANS(Параметры!$B$9)))</f>
        <v>3.4405622206667208E-2</v>
      </c>
      <c r="C417" s="10">
        <f>1-EXP(-((4*Параметры!$B$2/Параметры!$B$3*Параметры!$B$10*Параметры!$B$5)*(Параметры!$B$6*Параметры!$B$7/Параметры!$B$8*1E-24))*(A417*0.0000001)/SIN(RADIANS(Параметры!$B$9)))</f>
        <v>0.14576713158757115</v>
      </c>
    </row>
    <row r="418" spans="1:3" ht="15.75" x14ac:dyDescent="0.25">
      <c r="A418" s="9">
        <v>4160</v>
      </c>
      <c r="B418" s="10">
        <f>1-EXP(-((4*Параметры!$B$2/Параметры!$B$3*Параметры!$B$10*Параметры!$B$4)*(Параметры!$B$6*Параметры!$B$7/Параметры!$B$8*1E-24))*(A418*0.0000001)/SIN(RADIANS(Параметры!$B$9)))</f>
        <v>3.4487081039459189E-2</v>
      </c>
      <c r="C418" s="10">
        <f>1-EXP(-((4*Параметры!$B$2/Параметры!$B$3*Параметры!$B$10*Параметры!$B$5)*(Параметры!$B$6*Параметры!$B$7/Параметры!$B$8*1E-24))*(A418*0.0000001)/SIN(RADIANS(Параметры!$B$9)))</f>
        <v>0.14609137273671358</v>
      </c>
    </row>
    <row r="419" spans="1:3" ht="15.75" x14ac:dyDescent="0.25">
      <c r="A419" s="9">
        <v>4170</v>
      </c>
      <c r="B419" s="10">
        <f>1-EXP(-((4*Параметры!$B$2/Параметры!$B$3*Параметры!$B$10*Параметры!$B$4)*(Параметры!$B$6*Параметры!$B$7/Параметры!$B$8*1E-24))*(A419*0.0000001)/SIN(RADIANS(Параметры!$B$9)))</f>
        <v>3.456853300027507E-2</v>
      </c>
      <c r="C419" s="10">
        <f>1-EXP(-((4*Параметры!$B$2/Параметры!$B$3*Параметры!$B$10*Параметры!$B$5)*(Параметры!$B$6*Параметры!$B$7/Параметры!$B$8*1E-24))*(A419*0.0000001)/SIN(RADIANS(Параметры!$B$9)))</f>
        <v>0.14641549081365091</v>
      </c>
    </row>
    <row r="420" spans="1:3" ht="15.75" x14ac:dyDescent="0.25">
      <c r="A420" s="9">
        <v>4180</v>
      </c>
      <c r="B420" s="10">
        <f>1-EXP(-((4*Параметры!$B$2/Параметры!$B$3*Параметры!$B$10*Параметры!$B$4)*(Параметры!$B$6*Параметры!$B$7/Параметры!$B$8*1E-24))*(A420*0.0000001)/SIN(RADIANS(Параметры!$B$9)))</f>
        <v>3.4649978089694722E-2</v>
      </c>
      <c r="C420" s="10">
        <f>1-EXP(-((4*Параметры!$B$2/Параметры!$B$3*Параметры!$B$10*Параметры!$B$5)*(Параметры!$B$6*Параметры!$B$7/Параметры!$B$8*1E-24))*(A420*0.0000001)/SIN(RADIANS(Параметры!$B$9)))</f>
        <v>0.14673948586509755</v>
      </c>
    </row>
    <row r="421" spans="1:3" ht="15.75" x14ac:dyDescent="0.25">
      <c r="A421" s="9">
        <v>4190</v>
      </c>
      <c r="B421" s="10">
        <f>1-EXP(-((4*Параметры!$B$2/Параметры!$B$3*Параметры!$B$10*Параметры!$B$4)*(Параметры!$B$6*Параметры!$B$7/Параметры!$B$8*1E-24))*(A421*0.0000001)/SIN(RADIANS(Параметры!$B$9)))</f>
        <v>3.473141630829768E-2</v>
      </c>
      <c r="C421" s="10">
        <f>1-EXP(-((4*Параметры!$B$2/Параметры!$B$3*Параметры!$B$10*Параметры!$B$5)*(Параметры!$B$6*Параметры!$B$7/Параметры!$B$8*1E-24))*(A421*0.0000001)/SIN(RADIANS(Параметры!$B$9)))</f>
        <v>0.14706335793775049</v>
      </c>
    </row>
    <row r="422" spans="1:3" ht="15.75" x14ac:dyDescent="0.25">
      <c r="A422" s="9">
        <v>4200</v>
      </c>
      <c r="B422" s="10">
        <f>1-EXP(-((4*Параметры!$B$2/Параметры!$B$3*Параметры!$B$10*Параметры!$B$4)*(Параметры!$B$6*Параметры!$B$7/Параметры!$B$8*1E-24))*(A422*0.0000001)/SIN(RADIANS(Параметры!$B$9)))</f>
        <v>3.4812847656663592E-2</v>
      </c>
      <c r="C422" s="10">
        <f>1-EXP(-((4*Параметры!$B$2/Параметры!$B$3*Параметры!$B$10*Параметры!$B$5)*(Параметры!$B$6*Параметры!$B$7/Параметры!$B$8*1E-24))*(A422*0.0000001)/SIN(RADIANS(Параметры!$B$9)))</f>
        <v>0.14738710707828862</v>
      </c>
    </row>
    <row r="423" spans="1:3" ht="15.75" x14ac:dyDescent="0.25">
      <c r="A423" s="9">
        <v>4210</v>
      </c>
      <c r="B423" s="10">
        <f>1-EXP(-((4*Параметры!$B$2/Параметры!$B$3*Параметры!$B$10*Параметры!$B$4)*(Параметры!$B$6*Параметры!$B$7/Параметры!$B$8*1E-24))*(A423*0.0000001)/SIN(RADIANS(Параметры!$B$9)))</f>
        <v>3.4894272135372106E-2</v>
      </c>
      <c r="C423" s="10">
        <f>1-EXP(-((4*Параметры!$B$2/Параметры!$B$3*Параметры!$B$10*Параметры!$B$5)*(Параметры!$B$6*Параметры!$B$7/Параметры!$B$8*1E-24))*(A423*0.0000001)/SIN(RADIANS(Параметры!$B$9)))</f>
        <v>0.14771073333337337</v>
      </c>
    </row>
    <row r="424" spans="1:3" ht="15.75" x14ac:dyDescent="0.25">
      <c r="A424" s="9">
        <v>4220</v>
      </c>
      <c r="B424" s="10">
        <f>1-EXP(-((4*Параметры!$B$2/Параметры!$B$3*Параметры!$B$10*Параметры!$B$4)*(Параметры!$B$6*Параметры!$B$7/Параметры!$B$8*1E-24))*(A424*0.0000001)/SIN(RADIANS(Параметры!$B$9)))</f>
        <v>3.4975689745002758E-2</v>
      </c>
      <c r="C424" s="10">
        <f>1-EXP(-((4*Параметры!$B$2/Параметры!$B$3*Параметры!$B$10*Параметры!$B$5)*(Параметры!$B$6*Параметры!$B$7/Параметры!$B$8*1E-24))*(A424*0.0000001)/SIN(RADIANS(Параметры!$B$9)))</f>
        <v>0.14803423674964833</v>
      </c>
    </row>
    <row r="425" spans="1:3" ht="15.75" x14ac:dyDescent="0.25">
      <c r="A425" s="9">
        <v>4230</v>
      </c>
      <c r="B425" s="10">
        <f>1-EXP(-((4*Параметры!$B$2/Параметры!$B$3*Параметры!$B$10*Параметры!$B$4)*(Параметры!$B$6*Параметры!$B$7/Параметры!$B$8*1E-24))*(A425*0.0000001)/SIN(RADIANS(Параметры!$B$9)))</f>
        <v>3.5057100486134973E-2</v>
      </c>
      <c r="C425" s="10">
        <f>1-EXP(-((4*Параметры!$B$2/Параметры!$B$3*Параметры!$B$10*Параметры!$B$5)*(Параметры!$B$6*Параметры!$B$7/Параметры!$B$8*1E-24))*(A425*0.0000001)/SIN(RADIANS(Параметры!$B$9)))</f>
        <v>0.14835761737373931</v>
      </c>
    </row>
    <row r="426" spans="1:3" ht="15.75" x14ac:dyDescent="0.25">
      <c r="A426" s="9">
        <v>4240</v>
      </c>
      <c r="B426" s="10">
        <f>1-EXP(-((4*Параметры!$B$2/Параметры!$B$3*Параметры!$B$10*Параметры!$B$4)*(Параметры!$B$6*Параметры!$B$7/Параметры!$B$8*1E-24))*(A426*0.0000001)/SIN(RADIANS(Параметры!$B$9)))</f>
        <v>3.5138504359348288E-2</v>
      </c>
      <c r="C426" s="10">
        <f>1-EXP(-((4*Параметры!$B$2/Параметры!$B$3*Параметры!$B$10*Параметры!$B$5)*(Параметры!$B$6*Параметры!$B$7/Параметры!$B$8*1E-24))*(A426*0.0000001)/SIN(RADIANS(Параметры!$B$9)))</f>
        <v>0.14868087525225482</v>
      </c>
    </row>
    <row r="427" spans="1:3" ht="15.75" x14ac:dyDescent="0.25">
      <c r="A427" s="9">
        <v>4250</v>
      </c>
      <c r="B427" s="10">
        <f>1-EXP(-((4*Параметры!$B$2/Параметры!$B$3*Параметры!$B$10*Параметры!$B$4)*(Параметры!$B$6*Параметры!$B$7/Параметры!$B$8*1E-24))*(A427*0.0000001)/SIN(RADIANS(Параметры!$B$9)))</f>
        <v>3.5219901365221906E-2</v>
      </c>
      <c r="C427" s="10">
        <f>1-EXP(-((4*Параметры!$B$2/Параметры!$B$3*Параметры!$B$10*Параметры!$B$5)*(Параметры!$B$6*Параметры!$B$7/Параметры!$B$8*1E-24))*(A427*0.0000001)/SIN(RADIANS(Параметры!$B$9)))</f>
        <v>0.14900401043178513</v>
      </c>
    </row>
    <row r="428" spans="1:3" ht="15.75" x14ac:dyDescent="0.25">
      <c r="A428" s="9">
        <v>4260</v>
      </c>
      <c r="B428" s="10">
        <f>1-EXP(-((4*Параметры!$B$2/Параметры!$B$3*Параметры!$B$10*Параметры!$B$4)*(Параметры!$B$6*Параметры!$B$7/Параметры!$B$8*1E-24))*(A428*0.0000001)/SIN(RADIANS(Параметры!$B$9)))</f>
        <v>3.5301291504335364E-2</v>
      </c>
      <c r="C428" s="10">
        <f>1-EXP(-((4*Параметры!$B$2/Параметры!$B$3*Параметры!$B$10*Параметры!$B$5)*(Параметры!$B$6*Параметры!$B$7/Параметры!$B$8*1E-24))*(A428*0.0000001)/SIN(RADIANS(Параметры!$B$9)))</f>
        <v>0.1493270229589031</v>
      </c>
    </row>
    <row r="429" spans="1:3" ht="15.75" x14ac:dyDescent="0.25">
      <c r="A429" s="9">
        <v>4270</v>
      </c>
      <c r="B429" s="10">
        <f>1-EXP(-((4*Параметры!$B$2/Параметры!$B$3*Параметры!$B$10*Параметры!$B$4)*(Параметры!$B$6*Параметры!$B$7/Параметры!$B$8*1E-24))*(A429*0.0000001)/SIN(RADIANS(Параметры!$B$9)))</f>
        <v>3.5382674777267753E-2</v>
      </c>
      <c r="C429" s="10">
        <f>1-EXP(-((4*Параметры!$B$2/Параметры!$B$3*Параметры!$B$10*Параметры!$B$5)*(Параметры!$B$6*Параметры!$B$7/Параметры!$B$8*1E-24))*(A429*0.0000001)/SIN(RADIANS(Параметры!$B$9)))</f>
        <v>0.14964991288016416</v>
      </c>
    </row>
    <row r="430" spans="1:3" ht="15.75" x14ac:dyDescent="0.25">
      <c r="A430" s="9">
        <v>4280</v>
      </c>
      <c r="B430" s="10">
        <f>1-EXP(-((4*Параметры!$B$2/Параметры!$B$3*Параметры!$B$10*Параметры!$B$4)*(Параметры!$B$6*Параметры!$B$7/Параметры!$B$8*1E-24))*(A430*0.0000001)/SIN(RADIANS(Параметры!$B$9)))</f>
        <v>3.54640511845985E-2</v>
      </c>
      <c r="C430" s="10">
        <f>1-EXP(-((4*Параметры!$B$2/Параметры!$B$3*Параметры!$B$10*Параметры!$B$5)*(Параметры!$B$6*Параметры!$B$7/Параметры!$B$8*1E-24))*(A430*0.0000001)/SIN(RADIANS(Параметры!$B$9)))</f>
        <v>0.14997268024210553</v>
      </c>
    </row>
    <row r="431" spans="1:3" ht="15.75" x14ac:dyDescent="0.25">
      <c r="A431" s="9">
        <v>4290</v>
      </c>
      <c r="B431" s="10">
        <f>1-EXP(-((4*Параметры!$B$2/Параметры!$B$3*Параметры!$B$10*Параметры!$B$4)*(Параметры!$B$6*Параметры!$B$7/Параметры!$B$8*1E-24))*(A431*0.0000001)/SIN(RADIANS(Параметры!$B$9)))</f>
        <v>3.5545420726906696E-2</v>
      </c>
      <c r="C431" s="10">
        <f>1-EXP(-((4*Параметры!$B$2/Параметры!$B$3*Параметры!$B$10*Параметры!$B$5)*(Параметры!$B$6*Параметры!$B$7/Параметры!$B$8*1E-24))*(A431*0.0000001)/SIN(RADIANS(Параметры!$B$9)))</f>
        <v>0.1502953250912471</v>
      </c>
    </row>
    <row r="432" spans="1:3" ht="15.75" x14ac:dyDescent="0.25">
      <c r="A432" s="9">
        <v>4300</v>
      </c>
      <c r="B432" s="10">
        <f>1-EXP(-((4*Параметры!$B$2/Параметры!$B$3*Параметры!$B$10*Параметры!$B$4)*(Параметры!$B$6*Параметры!$B$7/Параметры!$B$8*1E-24))*(A432*0.0000001)/SIN(RADIANS(Параметры!$B$9)))</f>
        <v>3.5626783404771545E-2</v>
      </c>
      <c r="C432" s="10">
        <f>1-EXP(-((4*Параметры!$B$2/Параметры!$B$3*Параметры!$B$10*Параметры!$B$5)*(Параметры!$B$6*Параметры!$B$7/Параметры!$B$8*1E-24))*(A432*0.0000001)/SIN(RADIANS(Параметры!$B$9)))</f>
        <v>0.15061784747409124</v>
      </c>
    </row>
    <row r="433" spans="1:3" ht="15.75" x14ac:dyDescent="0.25">
      <c r="A433" s="9">
        <v>4310</v>
      </c>
      <c r="B433" s="10">
        <f>1-EXP(-((4*Параметры!$B$2/Параметры!$B$3*Параметры!$B$10*Параметры!$B$4)*(Параметры!$B$6*Параметры!$B$7/Параметры!$B$8*1E-24))*(A433*0.0000001)/SIN(RADIANS(Параметры!$B$9)))</f>
        <v>3.5708139218772028E-2</v>
      </c>
      <c r="C433" s="10">
        <f>1-EXP(-((4*Параметры!$B$2/Параметры!$B$3*Параметры!$B$10*Параметры!$B$5)*(Параметры!$B$6*Параметры!$B$7/Параметры!$B$8*1E-24))*(A433*0.0000001)/SIN(RADIANS(Параметры!$B$9)))</f>
        <v>0.15094024743712231</v>
      </c>
    </row>
    <row r="434" spans="1:3" ht="15.75" x14ac:dyDescent="0.25">
      <c r="A434" s="9">
        <v>4320</v>
      </c>
      <c r="B434" s="10">
        <f>1-EXP(-((4*Параметры!$B$2/Параметры!$B$3*Параметры!$B$10*Параметры!$B$4)*(Параметры!$B$6*Параметры!$B$7/Параметры!$B$8*1E-24))*(A434*0.0000001)/SIN(RADIANS(Параметры!$B$9)))</f>
        <v>3.5789488169487349E-2</v>
      </c>
      <c r="C434" s="10">
        <f>1-EXP(-((4*Параметры!$B$2/Параметры!$B$3*Параметры!$B$10*Параметры!$B$5)*(Параметры!$B$6*Параметры!$B$7/Параметры!$B$8*1E-24))*(A434*0.0000001)/SIN(RADIANS(Параметры!$B$9)))</f>
        <v>0.15126252502680715</v>
      </c>
    </row>
    <row r="435" spans="1:3" ht="15.75" x14ac:dyDescent="0.25">
      <c r="A435" s="9">
        <v>4330</v>
      </c>
      <c r="B435" s="10">
        <f>1-EXP(-((4*Параметры!$B$2/Параметры!$B$3*Параметры!$B$10*Параметры!$B$4)*(Параметры!$B$6*Параметры!$B$7/Параметры!$B$8*1E-24))*(A435*0.0000001)/SIN(RADIANS(Параметры!$B$9)))</f>
        <v>3.5870830257496378E-2</v>
      </c>
      <c r="C435" s="10">
        <f>1-EXP(-((4*Параметры!$B$2/Параметры!$B$3*Параметры!$B$10*Параметры!$B$5)*(Параметры!$B$6*Параметры!$B$7/Параметры!$B$8*1E-24))*(A435*0.0000001)/SIN(RADIANS(Параметры!$B$9)))</f>
        <v>0.15158468028959515</v>
      </c>
    </row>
    <row r="436" spans="1:3" ht="15.75" x14ac:dyDescent="0.25">
      <c r="A436" s="9">
        <v>4340</v>
      </c>
      <c r="B436" s="10">
        <f>1-EXP(-((4*Параметры!$B$2/Параметры!$B$3*Параметры!$B$10*Параметры!$B$4)*(Параметры!$B$6*Параметры!$B$7/Параметры!$B$8*1E-24))*(A436*0.0000001)/SIN(RADIANS(Параметры!$B$9)))</f>
        <v>3.5952165483378096E-2</v>
      </c>
      <c r="C436" s="10">
        <f>1-EXP(-((4*Параметры!$B$2/Параметры!$B$3*Параметры!$B$10*Параметры!$B$5)*(Параметры!$B$6*Параметры!$B$7/Параметры!$B$8*1E-24))*(A436*0.0000001)/SIN(RADIANS(Параметры!$B$9)))</f>
        <v>0.15190671327191796</v>
      </c>
    </row>
    <row r="437" spans="1:3" ht="15.75" x14ac:dyDescent="0.25">
      <c r="A437" s="9">
        <v>4350</v>
      </c>
      <c r="B437" s="10">
        <f>1-EXP(-((4*Параметры!$B$2/Параметры!$B$3*Параметры!$B$10*Параметры!$B$4)*(Параметры!$B$6*Параметры!$B$7/Параметры!$B$8*1E-24))*(A437*0.0000001)/SIN(RADIANS(Параметры!$B$9)))</f>
        <v>3.6033493847711373E-2</v>
      </c>
      <c r="C437" s="10">
        <f>1-EXP(-((4*Параметры!$B$2/Параметры!$B$3*Параметры!$B$10*Параметры!$B$5)*(Параметры!$B$6*Параметры!$B$7/Параметры!$B$8*1E-24))*(A437*0.0000001)/SIN(RADIANS(Параметры!$B$9)))</f>
        <v>0.15222862402018933</v>
      </c>
    </row>
    <row r="438" spans="1:3" ht="15.75" x14ac:dyDescent="0.25">
      <c r="A438" s="9">
        <v>4360</v>
      </c>
      <c r="B438" s="10">
        <f>1-EXP(-((4*Параметры!$B$2/Параметры!$B$3*Параметры!$B$10*Параметры!$B$4)*(Параметры!$B$6*Параметры!$B$7/Параметры!$B$8*1E-24))*(A438*0.0000001)/SIN(RADIANS(Параметры!$B$9)))</f>
        <v>3.611481535107508E-2</v>
      </c>
      <c r="C438" s="10">
        <f>1-EXP(-((4*Параметры!$B$2/Параметры!$B$3*Параметры!$B$10*Параметры!$B$5)*(Параметры!$B$6*Параметры!$B$7/Параметры!$B$8*1E-24))*(A438*0.0000001)/SIN(RADIANS(Параметры!$B$9)))</f>
        <v>0.15255041258080593</v>
      </c>
    </row>
    <row r="439" spans="1:3" ht="15.75" x14ac:dyDescent="0.25">
      <c r="A439" s="9">
        <v>4370</v>
      </c>
      <c r="B439" s="10">
        <f>1-EXP(-((4*Параметры!$B$2/Параметры!$B$3*Параметры!$B$10*Параметры!$B$4)*(Параметры!$B$6*Параметры!$B$7/Параметры!$B$8*1E-24))*(A439*0.0000001)/SIN(RADIANS(Параметры!$B$9)))</f>
        <v>3.6196129994048087E-2</v>
      </c>
      <c r="C439" s="10">
        <f>1-EXP(-((4*Параметры!$B$2/Параметры!$B$3*Параметры!$B$10*Параметры!$B$5)*(Параметры!$B$6*Параметры!$B$7/Параметры!$B$8*1E-24))*(A439*0.0000001)/SIN(RADIANS(Параметры!$B$9)))</f>
        <v>0.15287207900014632</v>
      </c>
    </row>
    <row r="440" spans="1:3" ht="15.75" x14ac:dyDescent="0.25">
      <c r="A440" s="9">
        <v>4380</v>
      </c>
      <c r="B440" s="10">
        <f>1-EXP(-((4*Параметры!$B$2/Параметры!$B$3*Параметры!$B$10*Параметры!$B$4)*(Параметры!$B$6*Параметры!$B$7/Параметры!$B$8*1E-24))*(A440*0.0000001)/SIN(RADIANS(Параметры!$B$9)))</f>
        <v>3.6277437777209043E-2</v>
      </c>
      <c r="C440" s="10">
        <f>1-EXP(-((4*Параметры!$B$2/Параметры!$B$3*Параметры!$B$10*Параметры!$B$5)*(Параметры!$B$6*Параметры!$B$7/Параметры!$B$8*1E-24))*(A440*0.0000001)/SIN(RADIANS(Параметры!$B$9)))</f>
        <v>0.15319362332457165</v>
      </c>
    </row>
    <row r="441" spans="1:3" ht="15.75" x14ac:dyDescent="0.25">
      <c r="A441" s="9">
        <v>4390</v>
      </c>
      <c r="B441" s="10">
        <f>1-EXP(-((4*Параметры!$B$2/Параметры!$B$3*Параметры!$B$10*Параметры!$B$4)*(Параметры!$B$6*Параметры!$B$7/Параметры!$B$8*1E-24))*(A441*0.0000001)/SIN(RADIANS(Параметры!$B$9)))</f>
        <v>3.6358738701136706E-2</v>
      </c>
      <c r="C441" s="10">
        <f>1-EXP(-((4*Параметры!$B$2/Параметры!$B$3*Параметры!$B$10*Параметры!$B$5)*(Параметры!$B$6*Параметры!$B$7/Параметры!$B$8*1E-24))*(A441*0.0000001)/SIN(RADIANS(Параметры!$B$9)))</f>
        <v>0.15351504560042561</v>
      </c>
    </row>
    <row r="442" spans="1:3" ht="15.75" x14ac:dyDescent="0.25">
      <c r="A442" s="9">
        <v>4400</v>
      </c>
      <c r="B442" s="10">
        <f>1-EXP(-((4*Параметры!$B$2/Параметры!$B$3*Параметры!$B$10*Параметры!$B$4)*(Параметры!$B$6*Параметры!$B$7/Параметры!$B$8*1E-24))*(A442*0.0000001)/SIN(RADIANS(Параметры!$B$9)))</f>
        <v>3.6440032766409836E-2</v>
      </c>
      <c r="C442" s="10">
        <f>1-EXP(-((4*Параметры!$B$2/Параметры!$B$3*Параметры!$B$10*Параметры!$B$5)*(Параметры!$B$6*Параметры!$B$7/Параметры!$B$8*1E-24))*(A442*0.0000001)/SIN(RADIANS(Параметры!$B$9)))</f>
        <v>0.15383634587403416</v>
      </c>
    </row>
    <row r="443" spans="1:3" ht="15.75" x14ac:dyDescent="0.25">
      <c r="A443" s="9">
        <v>4410</v>
      </c>
      <c r="B443" s="10">
        <f>1-EXP(-((4*Параметры!$B$2/Параметры!$B$3*Параметры!$B$10*Параметры!$B$4)*(Параметры!$B$6*Параметры!$B$7/Параметры!$B$8*1E-24))*(A443*0.0000001)/SIN(RADIANS(Параметры!$B$9)))</f>
        <v>3.6521319973606747E-2</v>
      </c>
      <c r="C443" s="10">
        <f>1-EXP(-((4*Параметры!$B$2/Параметры!$B$3*Параметры!$B$10*Параметры!$B$5)*(Параметры!$B$6*Параметры!$B$7/Параметры!$B$8*1E-24))*(A443*0.0000001)/SIN(RADIANS(Параметры!$B$9)))</f>
        <v>0.15415752419170559</v>
      </c>
    </row>
    <row r="444" spans="1:3" ht="15.75" x14ac:dyDescent="0.25">
      <c r="A444" s="9">
        <v>4420</v>
      </c>
      <c r="B444" s="10">
        <f>1-EXP(-((4*Параметры!$B$2/Параметры!$B$3*Параметры!$B$10*Параметры!$B$4)*(Параметры!$B$6*Параметры!$B$7/Параметры!$B$8*1E-24))*(A444*0.0000001)/SIN(RADIANS(Параметры!$B$9)))</f>
        <v>3.6602600323306311E-2</v>
      </c>
      <c r="C444" s="10">
        <f>1-EXP(-((4*Параметры!$B$2/Параметры!$B$3*Параметры!$B$10*Параметры!$B$5)*(Параметры!$B$6*Параметры!$B$7/Параметры!$B$8*1E-24))*(A444*0.0000001)/SIN(RADIANS(Параметры!$B$9)))</f>
        <v>0.15447858059973085</v>
      </c>
    </row>
    <row r="445" spans="1:3" ht="15.75" x14ac:dyDescent="0.25">
      <c r="A445" s="9">
        <v>4430</v>
      </c>
      <c r="B445" s="10">
        <f>1-EXP(-((4*Параметры!$B$2/Параметры!$B$3*Параметры!$B$10*Параметры!$B$4)*(Параметры!$B$6*Параметры!$B$7/Параметры!$B$8*1E-24))*(A445*0.0000001)/SIN(RADIANS(Параметры!$B$9)))</f>
        <v>3.6683873816086843E-2</v>
      </c>
      <c r="C445" s="10">
        <f>1-EXP(-((4*Параметры!$B$2/Параметры!$B$3*Параметры!$B$10*Параметры!$B$5)*(Параметры!$B$6*Параметры!$B$7/Параметры!$B$8*1E-24))*(A445*0.0000001)/SIN(RADIANS(Параметры!$B$9)))</f>
        <v>0.15479951514438306</v>
      </c>
    </row>
    <row r="446" spans="1:3" ht="15.75" x14ac:dyDescent="0.25">
      <c r="A446" s="9">
        <v>4440</v>
      </c>
      <c r="B446" s="10">
        <f>1-EXP(-((4*Параметры!$B$2/Параметры!$B$3*Параметры!$B$10*Параметры!$B$4)*(Параметры!$B$6*Параметры!$B$7/Параметры!$B$8*1E-24))*(A446*0.0000001)/SIN(RADIANS(Параметры!$B$9)))</f>
        <v>3.6765140452526768E-2</v>
      </c>
      <c r="C446" s="10">
        <f>1-EXP(-((4*Параметры!$B$2/Параметры!$B$3*Параметры!$B$10*Параметры!$B$5)*(Параметры!$B$6*Параметры!$B$7/Параметры!$B$8*1E-24))*(A446*0.0000001)/SIN(RADIANS(Параметры!$B$9)))</f>
        <v>0.15512032787191787</v>
      </c>
    </row>
    <row r="447" spans="1:3" ht="15.75" x14ac:dyDescent="0.25">
      <c r="A447" s="9">
        <v>4450</v>
      </c>
      <c r="B447" s="10">
        <f>1-EXP(-((4*Параметры!$B$2/Параметры!$B$3*Параметры!$B$10*Параметры!$B$4)*(Параметры!$B$6*Параметры!$B$7/Параметры!$B$8*1E-24))*(A447*0.0000001)/SIN(RADIANS(Параметры!$B$9)))</f>
        <v>3.6846400233204735E-2</v>
      </c>
      <c r="C447" s="10">
        <f>1-EXP(-((4*Параметры!$B$2/Параметры!$B$3*Параметры!$B$10*Параметры!$B$5)*(Параметры!$B$6*Параметры!$B$7/Параметры!$B$8*1E-24))*(A447*0.0000001)/SIN(RADIANS(Параметры!$B$9)))</f>
        <v>0.15544101882857353</v>
      </c>
    </row>
    <row r="448" spans="1:3" ht="15.75" x14ac:dyDescent="0.25">
      <c r="A448" s="9">
        <v>4460</v>
      </c>
      <c r="B448" s="10">
        <f>1-EXP(-((4*Параметры!$B$2/Параметры!$B$3*Параметры!$B$10*Параметры!$B$4)*(Параметры!$B$6*Параметры!$B$7/Параметры!$B$8*1E-24))*(A448*0.0000001)/SIN(RADIANS(Параметры!$B$9)))</f>
        <v>3.6927653158698837E-2</v>
      </c>
      <c r="C448" s="10">
        <f>1-EXP(-((4*Параметры!$B$2/Параметры!$B$3*Параметры!$B$10*Параметры!$B$5)*(Параметры!$B$6*Параметры!$B$7/Параметры!$B$8*1E-24))*(A448*0.0000001)/SIN(RADIANS(Параметры!$B$9)))</f>
        <v>0.15576158806057061</v>
      </c>
    </row>
    <row r="449" spans="1:3" ht="15.75" x14ac:dyDescent="0.25">
      <c r="A449" s="9">
        <v>4470</v>
      </c>
      <c r="B449" s="10">
        <f>1-EXP(-((4*Параметры!$B$2/Параметры!$B$3*Параметры!$B$10*Параметры!$B$4)*(Параметры!$B$6*Параметры!$B$7/Параметры!$B$8*1E-24))*(A449*0.0000001)/SIN(RADIANS(Параметры!$B$9)))</f>
        <v>3.70088992295875E-2</v>
      </c>
      <c r="C449" s="10">
        <f>1-EXP(-((4*Параметры!$B$2/Параметры!$B$3*Параметры!$B$10*Параметры!$B$5)*(Параметры!$B$6*Параметры!$B$7/Параметры!$B$8*1E-24))*(A449*0.0000001)/SIN(RADIANS(Параметры!$B$9)))</f>
        <v>0.15608203561411194</v>
      </c>
    </row>
    <row r="450" spans="1:3" ht="15.75" x14ac:dyDescent="0.25">
      <c r="A450" s="9">
        <v>4480</v>
      </c>
      <c r="B450" s="10">
        <f>1-EXP(-((4*Параметры!$B$2/Параметры!$B$3*Параметры!$B$10*Параметры!$B$4)*(Параметры!$B$6*Параметры!$B$7/Параметры!$B$8*1E-24))*(A450*0.0000001)/SIN(RADIANS(Параметры!$B$9)))</f>
        <v>3.7090138446449039E-2</v>
      </c>
      <c r="C450" s="10">
        <f>1-EXP(-((4*Параметры!$B$2/Параметры!$B$3*Параметры!$B$10*Параметры!$B$5)*(Параметры!$B$6*Параметры!$B$7/Параметры!$B$8*1E-24))*(A450*0.0000001)/SIN(RADIANS(Параметры!$B$9)))</f>
        <v>0.15640236153538323</v>
      </c>
    </row>
    <row r="451" spans="1:3" ht="15.75" x14ac:dyDescent="0.25">
      <c r="A451" s="9">
        <v>4490</v>
      </c>
      <c r="B451" s="10">
        <f>1-EXP(-((4*Параметры!$B$2/Параметры!$B$3*Параметры!$B$10*Параметры!$B$4)*(Параметры!$B$6*Параметры!$B$7/Параметры!$B$8*1E-24))*(A451*0.0000001)/SIN(RADIANS(Параметры!$B$9)))</f>
        <v>3.7171370809861659E-2</v>
      </c>
      <c r="C451" s="10">
        <f>1-EXP(-((4*Параметры!$B$2/Параметры!$B$3*Параметры!$B$10*Параметры!$B$5)*(Параметры!$B$6*Параметры!$B$7/Параметры!$B$8*1E-24))*(A451*0.0000001)/SIN(RADIANS(Параметры!$B$9)))</f>
        <v>0.15672256587055244</v>
      </c>
    </row>
    <row r="452" spans="1:3" ht="15.75" x14ac:dyDescent="0.25">
      <c r="A452" s="9">
        <v>4500</v>
      </c>
      <c r="B452" s="10">
        <f>1-EXP(-((4*Параметры!$B$2/Параметры!$B$3*Параметры!$B$10*Параметры!$B$4)*(Параметры!$B$6*Параметры!$B$7/Параметры!$B$8*1E-24))*(A452*0.0000001)/SIN(RADIANS(Параметры!$B$9)))</f>
        <v>3.7252596320403453E-2</v>
      </c>
      <c r="C452" s="10">
        <f>1-EXP(-((4*Параметры!$B$2/Параметры!$B$3*Параметры!$B$10*Параметры!$B$5)*(Параметры!$B$6*Параметры!$B$7/Параметры!$B$8*1E-24))*(A452*0.0000001)/SIN(RADIANS(Параметры!$B$9)))</f>
        <v>0.15704264866576978</v>
      </c>
    </row>
    <row r="453" spans="1:3" ht="15.75" x14ac:dyDescent="0.25">
      <c r="A453" s="9">
        <v>4510</v>
      </c>
      <c r="B453" s="10">
        <f>1-EXP(-((4*Параметры!$B$2/Параметры!$B$3*Параметры!$B$10*Параметры!$B$4)*(Параметры!$B$6*Параметры!$B$7/Параметры!$B$8*1E-24))*(A453*0.0000001)/SIN(RADIANS(Параметры!$B$9)))</f>
        <v>3.7333814978652513E-2</v>
      </c>
      <c r="C453" s="10">
        <f>1-EXP(-((4*Параметры!$B$2/Параметры!$B$3*Параметры!$B$10*Параметры!$B$5)*(Параметры!$B$6*Параметры!$B$7/Параметры!$B$8*1E-24))*(A453*0.0000001)/SIN(RADIANS(Параметры!$B$9)))</f>
        <v>0.15736260996716833</v>
      </c>
    </row>
    <row r="454" spans="1:3" ht="15.75" x14ac:dyDescent="0.25">
      <c r="A454" s="9">
        <v>4520</v>
      </c>
      <c r="B454" s="10">
        <f>1-EXP(-((4*Параметры!$B$2/Параметры!$B$3*Параметры!$B$10*Параметры!$B$4)*(Параметры!$B$6*Параметры!$B$7/Параметры!$B$8*1E-24))*(A454*0.0000001)/SIN(RADIANS(Параметры!$B$9)))</f>
        <v>3.7415026785187044E-2</v>
      </c>
      <c r="C454" s="10">
        <f>1-EXP(-((4*Параметры!$B$2/Параметры!$B$3*Параметры!$B$10*Параметры!$B$5)*(Параметры!$B$6*Параметры!$B$7/Параметры!$B$8*1E-24))*(A454*0.0000001)/SIN(RADIANS(Параметры!$B$9)))</f>
        <v>0.15768244982086355</v>
      </c>
    </row>
    <row r="455" spans="1:3" ht="15.75" x14ac:dyDescent="0.25">
      <c r="A455" s="9">
        <v>4530</v>
      </c>
      <c r="B455" s="10">
        <f>1-EXP(-((4*Параметры!$B$2/Параметры!$B$3*Параметры!$B$10*Параметры!$B$4)*(Параметры!$B$6*Параметры!$B$7/Параметры!$B$8*1E-24))*(A455*0.0000001)/SIN(RADIANS(Параметры!$B$9)))</f>
        <v>3.7496231740584918E-2</v>
      </c>
      <c r="C455" s="10">
        <f>1-EXP(-((4*Параметры!$B$2/Параметры!$B$3*Параметры!$B$10*Параметры!$B$5)*(Параметры!$B$6*Параметры!$B$7/Параметры!$B$8*1E-24))*(A455*0.0000001)/SIN(RADIANS(Параметры!$B$9)))</f>
        <v>0.15800216827295321</v>
      </c>
    </row>
    <row r="456" spans="1:3" ht="15.75" x14ac:dyDescent="0.25">
      <c r="A456" s="9">
        <v>4540</v>
      </c>
      <c r="B456" s="10">
        <f>1-EXP(-((4*Параметры!$B$2/Параметры!$B$3*Параметры!$B$10*Параметры!$B$4)*(Параметры!$B$6*Параметры!$B$7/Параметры!$B$8*1E-24))*(A456*0.0000001)/SIN(RADIANS(Параметры!$B$9)))</f>
        <v>3.7577429845424226E-2</v>
      </c>
      <c r="C456" s="10">
        <f>1-EXP(-((4*Параметры!$B$2/Параметры!$B$3*Параметры!$B$10*Параметры!$B$5)*(Параметры!$B$6*Параметры!$B$7/Параметры!$B$8*1E-24))*(A456*0.0000001)/SIN(RADIANS(Параметры!$B$9)))</f>
        <v>0.1583217653695177</v>
      </c>
    </row>
    <row r="457" spans="1:3" ht="15.75" x14ac:dyDescent="0.25">
      <c r="A457" s="9">
        <v>4550</v>
      </c>
      <c r="B457" s="10">
        <f>1-EXP(-((4*Параметры!$B$2/Параметры!$B$3*Параметры!$B$10*Параметры!$B$4)*(Параметры!$B$6*Параметры!$B$7/Параметры!$B$8*1E-24))*(A457*0.0000001)/SIN(RADIANS(Параметры!$B$9)))</f>
        <v>3.7658621100282841E-2</v>
      </c>
      <c r="C457" s="10">
        <f>1-EXP(-((4*Параметры!$B$2/Параметры!$B$3*Параметры!$B$10*Параметры!$B$5)*(Параметры!$B$6*Параметры!$B$7/Параметры!$B$8*1E-24))*(A457*0.0000001)/SIN(RADIANS(Параметры!$B$9)))</f>
        <v>0.15864124115662015</v>
      </c>
    </row>
    <row r="458" spans="1:3" ht="15.75" x14ac:dyDescent="0.25">
      <c r="A458" s="9">
        <v>4560</v>
      </c>
      <c r="B458" s="10">
        <f>1-EXP(-((4*Параметры!$B$2/Параметры!$B$3*Параметры!$B$10*Параметры!$B$4)*(Параметры!$B$6*Параметры!$B$7/Параметры!$B$8*1E-24))*(A458*0.0000001)/SIN(RADIANS(Параметры!$B$9)))</f>
        <v>3.7739805505738633E-2</v>
      </c>
      <c r="C458" s="10">
        <f>1-EXP(-((4*Параметры!$B$2/Параметры!$B$3*Параметры!$B$10*Параметры!$B$5)*(Параметры!$B$6*Параметры!$B$7/Параметры!$B$8*1E-24))*(A458*0.0000001)/SIN(RADIANS(Параметры!$B$9)))</f>
        <v>0.15896059568030563</v>
      </c>
    </row>
    <row r="459" spans="1:3" ht="15.75" x14ac:dyDescent="0.25">
      <c r="A459" s="9">
        <v>4570</v>
      </c>
      <c r="B459" s="10">
        <f>1-EXP(-((4*Параметры!$B$2/Параметры!$B$3*Параметры!$B$10*Параметры!$B$4)*(Параметры!$B$6*Параметры!$B$7/Параметры!$B$8*1E-24))*(A459*0.0000001)/SIN(RADIANS(Параметры!$B$9)))</f>
        <v>3.7820983062369473E-2</v>
      </c>
      <c r="C459" s="10">
        <f>1-EXP(-((4*Параметры!$B$2/Параметры!$B$3*Параметры!$B$10*Параметры!$B$5)*(Параметры!$B$6*Параметры!$B$7/Параметры!$B$8*1E-24))*(A459*0.0000001)/SIN(RADIANS(Параметры!$B$9)))</f>
        <v>0.15927982898660253</v>
      </c>
    </row>
    <row r="460" spans="1:3" ht="15.75" x14ac:dyDescent="0.25">
      <c r="A460" s="9">
        <v>4580</v>
      </c>
      <c r="B460" s="10">
        <f>1-EXP(-((4*Параметры!$B$2/Параметры!$B$3*Параметры!$B$10*Параметры!$B$4)*(Параметры!$B$6*Параметры!$B$7/Параметры!$B$8*1E-24))*(A460*0.0000001)/SIN(RADIANS(Параметры!$B$9)))</f>
        <v>3.7902153770753011E-2</v>
      </c>
      <c r="C460" s="10">
        <f>1-EXP(-((4*Параметры!$B$2/Параметры!$B$3*Параметры!$B$10*Параметры!$B$5)*(Параметры!$B$6*Параметры!$B$7/Параметры!$B$8*1E-24))*(A460*0.0000001)/SIN(RADIANS(Параметры!$B$9)))</f>
        <v>0.15959894112152095</v>
      </c>
    </row>
    <row r="461" spans="1:3" ht="15.75" x14ac:dyDescent="0.25">
      <c r="A461" s="9">
        <v>4590</v>
      </c>
      <c r="B461" s="10">
        <f>1-EXP(-((4*Параметры!$B$2/Параметры!$B$3*Параметры!$B$10*Параметры!$B$4)*(Параметры!$B$6*Параметры!$B$7/Параметры!$B$8*1E-24))*(A461*0.0000001)/SIN(RADIANS(Параметры!$B$9)))</f>
        <v>3.7983317631467117E-2</v>
      </c>
      <c r="C461" s="10">
        <f>1-EXP(-((4*Параметры!$B$2/Параметры!$B$3*Параметры!$B$10*Параметры!$B$5)*(Параметры!$B$6*Параметры!$B$7/Параметры!$B$8*1E-24))*(A461*0.0000001)/SIN(RADIANS(Параметры!$B$9)))</f>
        <v>0.1599179321310541</v>
      </c>
    </row>
    <row r="462" spans="1:3" ht="15.75" x14ac:dyDescent="0.25">
      <c r="A462" s="9">
        <v>4600</v>
      </c>
      <c r="B462" s="10">
        <f>1-EXP(-((4*Параметры!$B$2/Параметры!$B$3*Параметры!$B$10*Параметры!$B$4)*(Параметры!$B$6*Параметры!$B$7/Параметры!$B$8*1E-24))*(A462*0.0000001)/SIN(RADIANS(Параметры!$B$9)))</f>
        <v>3.806447464508933E-2</v>
      </c>
      <c r="C462" s="10">
        <f>1-EXP(-((4*Параметры!$B$2/Параметры!$B$3*Параметры!$B$10*Параметры!$B$5)*(Параметры!$B$6*Параметры!$B$7/Параметры!$B$8*1E-24))*(A462*0.0000001)/SIN(RADIANS(Параметры!$B$9)))</f>
        <v>0.16023680206117752</v>
      </c>
    </row>
    <row r="463" spans="1:3" ht="15.75" x14ac:dyDescent="0.25">
      <c r="A463" s="9">
        <v>4610</v>
      </c>
      <c r="B463" s="10">
        <f>1-EXP(-((4*Параметры!$B$2/Параметры!$B$3*Параметры!$B$10*Параметры!$B$4)*(Параметры!$B$6*Параметры!$B$7/Параметры!$B$8*1E-24))*(A463*0.0000001)/SIN(RADIANS(Параметры!$B$9)))</f>
        <v>3.814562481219741E-2</v>
      </c>
      <c r="C463" s="10">
        <f>1-EXP(-((4*Параметры!$B$2/Параметры!$B$3*Параметры!$B$10*Параметры!$B$5)*(Параметры!$B$6*Параметры!$B$7/Параметры!$B$8*1E-24))*(A463*0.0000001)/SIN(RADIANS(Параметры!$B$9)))</f>
        <v>0.16055555095784924</v>
      </c>
    </row>
    <row r="464" spans="1:3" ht="15.75" x14ac:dyDescent="0.25">
      <c r="A464" s="9">
        <v>4620</v>
      </c>
      <c r="B464" s="10">
        <f>1-EXP(-((4*Параметры!$B$2/Параметры!$B$3*Параметры!$B$10*Параметры!$B$4)*(Параметры!$B$6*Параметры!$B$7/Параметры!$B$8*1E-24))*(A464*0.0000001)/SIN(RADIANS(Параметры!$B$9)))</f>
        <v>3.8226768133368894E-2</v>
      </c>
      <c r="C464" s="10">
        <f>1-EXP(-((4*Параметры!$B$2/Параметры!$B$3*Параметры!$B$10*Параметры!$B$5)*(Параметры!$B$6*Параметры!$B$7/Параметры!$B$8*1E-24))*(A464*0.0000001)/SIN(RADIANS(Параметры!$B$9)))</f>
        <v>0.16087417886701005</v>
      </c>
    </row>
    <row r="465" spans="1:3" ht="15.75" x14ac:dyDescent="0.25">
      <c r="A465" s="9">
        <v>4630</v>
      </c>
      <c r="B465" s="10">
        <f>1-EXP(-((4*Параметры!$B$2/Параметры!$B$3*Параметры!$B$10*Параметры!$B$4)*(Параметры!$B$6*Параметры!$B$7/Параметры!$B$8*1E-24))*(A465*0.0000001)/SIN(RADIANS(Параметры!$B$9)))</f>
        <v>3.830790460918132E-2</v>
      </c>
      <c r="C465" s="10">
        <f>1-EXP(-((4*Параметры!$B$2/Параметры!$B$3*Параметры!$B$10*Параметры!$B$5)*(Параметры!$B$6*Параметры!$B$7/Параметры!$B$8*1E-24))*(A465*0.0000001)/SIN(RADIANS(Параметры!$B$9)))</f>
        <v>0.16119268583458302</v>
      </c>
    </row>
    <row r="466" spans="1:3" ht="15.75" x14ac:dyDescent="0.25">
      <c r="A466" s="9">
        <v>4640</v>
      </c>
      <c r="B466" s="10">
        <f>1-EXP(-((4*Параметры!$B$2/Параметры!$B$3*Параметры!$B$10*Параметры!$B$4)*(Параметры!$B$6*Параметры!$B$7/Параметры!$B$8*1E-24))*(A466*0.0000001)/SIN(RADIANS(Параметры!$B$9)))</f>
        <v>3.8389034240212117E-2</v>
      </c>
      <c r="C466" s="10">
        <f>1-EXP(-((4*Параметры!$B$2/Параметры!$B$3*Параметры!$B$10*Параметры!$B$5)*(Параметры!$B$6*Параметры!$B$7/Параметры!$B$8*1E-24))*(A466*0.0000001)/SIN(RADIANS(Параметры!$B$9)))</f>
        <v>0.16151107190647407</v>
      </c>
    </row>
    <row r="467" spans="1:3" ht="15.75" x14ac:dyDescent="0.25">
      <c r="A467" s="9">
        <v>4650</v>
      </c>
      <c r="B467" s="10">
        <f>1-EXP(-((4*Параметры!$B$2/Параметры!$B$3*Параметры!$B$10*Параметры!$B$4)*(Параметры!$B$6*Параметры!$B$7/Параметры!$B$8*1E-24))*(A467*0.0000001)/SIN(RADIANS(Параметры!$B$9)))</f>
        <v>3.847015702703882E-2</v>
      </c>
      <c r="C467" s="10">
        <f>1-EXP(-((4*Параметры!$B$2/Параметры!$B$3*Параметры!$B$10*Параметры!$B$5)*(Параметры!$B$6*Параметры!$B$7/Параметры!$B$8*1E-24))*(A467*0.0000001)/SIN(RADIANS(Параметры!$B$9)))</f>
        <v>0.16182933712857162</v>
      </c>
    </row>
    <row r="468" spans="1:3" ht="15.75" x14ac:dyDescent="0.25">
      <c r="A468" s="9">
        <v>4660</v>
      </c>
      <c r="B468" s="10">
        <f>1-EXP(-((4*Параметры!$B$2/Параметры!$B$3*Параметры!$B$10*Параметры!$B$4)*(Параметры!$B$6*Параметры!$B$7/Параметры!$B$8*1E-24))*(A468*0.0000001)/SIN(RADIANS(Параметры!$B$9)))</f>
        <v>3.8551272970238748E-2</v>
      </c>
      <c r="C468" s="10">
        <f>1-EXP(-((4*Параметры!$B$2/Параметры!$B$3*Параметры!$B$10*Параметры!$B$5)*(Параметры!$B$6*Параметры!$B$7/Параметры!$B$8*1E-24))*(A468*0.0000001)/SIN(RADIANS(Параметры!$B$9)))</f>
        <v>0.16214748154674641</v>
      </c>
    </row>
    <row r="469" spans="1:3" ht="15.75" x14ac:dyDescent="0.25">
      <c r="A469" s="9">
        <v>4670</v>
      </c>
      <c r="B469" s="10">
        <f>1-EXP(-((4*Параметры!$B$2/Параметры!$B$3*Параметры!$B$10*Параметры!$B$4)*(Параметры!$B$6*Параметры!$B$7/Параметры!$B$8*1E-24))*(A469*0.0000001)/SIN(RADIANS(Параметры!$B$9)))</f>
        <v>3.8632382070389215E-2</v>
      </c>
      <c r="C469" s="10">
        <f>1-EXP(-((4*Параметры!$B$2/Параметры!$B$3*Параметры!$B$10*Параметры!$B$5)*(Параметры!$B$6*Параметры!$B$7/Параметры!$B$8*1E-24))*(A469*0.0000001)/SIN(RADIANS(Параметры!$B$9)))</f>
        <v>0.16246550520685221</v>
      </c>
    </row>
    <row r="470" spans="1:3" ht="15.75" x14ac:dyDescent="0.25">
      <c r="A470" s="9">
        <v>4680</v>
      </c>
      <c r="B470" s="10">
        <f>1-EXP(-((4*Параметры!$B$2/Параметры!$B$3*Параметры!$B$10*Параметры!$B$4)*(Параметры!$B$6*Параметры!$B$7/Параметры!$B$8*1E-24))*(A470*0.0000001)/SIN(RADIANS(Параметры!$B$9)))</f>
        <v>3.8713484328067538E-2</v>
      </c>
      <c r="C470" s="10">
        <f>1-EXP(-((4*Параметры!$B$2/Параметры!$B$3*Параметры!$B$10*Параметры!$B$5)*(Параметры!$B$6*Параметры!$B$7/Параметры!$B$8*1E-24))*(A470*0.0000001)/SIN(RADIANS(Параметры!$B$9)))</f>
        <v>0.16278340815472503</v>
      </c>
    </row>
    <row r="471" spans="1:3" ht="15.75" x14ac:dyDescent="0.25">
      <c r="A471" s="9">
        <v>4690</v>
      </c>
      <c r="B471" s="10">
        <f>1-EXP(-((4*Параметры!$B$2/Параметры!$B$3*Параметры!$B$10*Параметры!$B$4)*(Параметры!$B$6*Параметры!$B$7/Параметры!$B$8*1E-24))*(A471*0.0000001)/SIN(RADIANS(Параметры!$B$9)))</f>
        <v>3.8794579743851032E-2</v>
      </c>
      <c r="C471" s="10">
        <f>1-EXP(-((4*Параметры!$B$2/Параметры!$B$3*Параметры!$B$10*Параметры!$B$5)*(Параметры!$B$6*Параметры!$B$7/Параметры!$B$8*1E-24))*(A471*0.0000001)/SIN(RADIANS(Параметры!$B$9)))</f>
        <v>0.16310119043618365</v>
      </c>
    </row>
    <row r="472" spans="1:3" ht="15.75" x14ac:dyDescent="0.25">
      <c r="A472" s="9">
        <v>4700</v>
      </c>
      <c r="B472" s="10">
        <f>1-EXP(-((4*Параметры!$B$2/Параметры!$B$3*Параметры!$B$10*Параметры!$B$4)*(Параметры!$B$6*Параметры!$B$7/Параметры!$B$8*1E-24))*(A472*0.0000001)/SIN(RADIANS(Параметры!$B$9)))</f>
        <v>3.8875668318316792E-2</v>
      </c>
      <c r="C472" s="10">
        <f>1-EXP(-((4*Параметры!$B$2/Параметры!$B$3*Параметры!$B$10*Параметры!$B$5)*(Параметры!$B$6*Параметры!$B$7/Параметры!$B$8*1E-24))*(A472*0.0000001)/SIN(RADIANS(Параметры!$B$9)))</f>
        <v>0.16341885209702933</v>
      </c>
    </row>
    <row r="473" spans="1:3" ht="15.75" x14ac:dyDescent="0.25">
      <c r="A473" s="9">
        <v>4710</v>
      </c>
      <c r="B473" s="10">
        <f>1-EXP(-((4*Параметры!$B$2/Параметры!$B$3*Параметры!$B$10*Параметры!$B$4)*(Параметры!$B$6*Параметры!$B$7/Параметры!$B$8*1E-24))*(A473*0.0000001)/SIN(RADIANS(Параметры!$B$9)))</f>
        <v>3.8956750052041911E-2</v>
      </c>
      <c r="C473" s="10">
        <f>1-EXP(-((4*Параметры!$B$2/Параметры!$B$3*Параметры!$B$10*Параметры!$B$5)*(Параметры!$B$6*Параметры!$B$7/Параметры!$B$8*1E-24))*(A473*0.0000001)/SIN(RADIANS(Параметры!$B$9)))</f>
        <v>0.16373639318304622</v>
      </c>
    </row>
    <row r="474" spans="1:3" ht="15.75" x14ac:dyDescent="0.25">
      <c r="A474" s="9">
        <v>4720</v>
      </c>
      <c r="B474" s="10">
        <f>1-EXP(-((4*Параметры!$B$2/Параметры!$B$3*Параметры!$B$10*Параметры!$B$4)*(Параметры!$B$6*Параметры!$B$7/Параметры!$B$8*1E-24))*(A474*0.0000001)/SIN(RADIANS(Параметры!$B$9)))</f>
        <v>3.9037824945603705E-2</v>
      </c>
      <c r="C474" s="10">
        <f>1-EXP(-((4*Параметры!$B$2/Параметры!$B$3*Параметры!$B$10*Параметры!$B$5)*(Параметры!$B$6*Параметры!$B$7/Параметры!$B$8*1E-24))*(A474*0.0000001)/SIN(RADIANS(Параметры!$B$9)))</f>
        <v>0.16405381374000072</v>
      </c>
    </row>
    <row r="475" spans="1:3" ht="15.75" x14ac:dyDescent="0.25">
      <c r="A475" s="9">
        <v>4730</v>
      </c>
      <c r="B475" s="10">
        <f>1-EXP(-((4*Параметры!$B$2/Параметры!$B$3*Параметры!$B$10*Параметры!$B$4)*(Параметры!$B$6*Параметры!$B$7/Параметры!$B$8*1E-24))*(A475*0.0000001)/SIN(RADIANS(Параметры!$B$9)))</f>
        <v>3.9118892999578936E-2</v>
      </c>
      <c r="C475" s="10">
        <f>1-EXP(-((4*Параметры!$B$2/Параметры!$B$3*Параметры!$B$10*Параметры!$B$5)*(Параметры!$B$6*Параметры!$B$7/Параметры!$B$8*1E-24))*(A475*0.0000001)/SIN(RADIANS(Параметры!$B$9)))</f>
        <v>0.16437111381364211</v>
      </c>
    </row>
    <row r="476" spans="1:3" ht="15.75" x14ac:dyDescent="0.25">
      <c r="A476" s="9">
        <v>4740</v>
      </c>
      <c r="B476" s="10">
        <f>1-EXP(-((4*Параметры!$B$2/Параметры!$B$3*Параметры!$B$10*Параметры!$B$4)*(Параметры!$B$6*Параметры!$B$7/Параметры!$B$8*1E-24))*(A476*0.0000001)/SIN(RADIANS(Параметры!$B$9)))</f>
        <v>3.9199954214544808E-2</v>
      </c>
      <c r="C476" s="10">
        <f>1-EXP(-((4*Параметры!$B$2/Параметры!$B$3*Параметры!$B$10*Параметры!$B$5)*(Параметры!$B$6*Параметры!$B$7/Параметры!$B$8*1E-24))*(A476*0.0000001)/SIN(RADIANS(Параметры!$B$9)))</f>
        <v>0.16468829344970226</v>
      </c>
    </row>
    <row r="477" spans="1:3" ht="15.75" x14ac:dyDescent="0.25">
      <c r="A477" s="9">
        <v>4750</v>
      </c>
      <c r="B477" s="10">
        <f>1-EXP(-((4*Параметры!$B$2/Параметры!$B$3*Параметры!$B$10*Параметры!$B$4)*(Параметры!$B$6*Параметры!$B$7/Параметры!$B$8*1E-24))*(A477*0.0000001)/SIN(RADIANS(Параметры!$B$9)))</f>
        <v>3.9281008591078193E-2</v>
      </c>
      <c r="C477" s="10">
        <f>1-EXP(-((4*Параметры!$B$2/Параметры!$B$3*Параметры!$B$10*Параметры!$B$5)*(Параметры!$B$6*Параметры!$B$7/Параметры!$B$8*1E-24))*(A477*0.0000001)/SIN(RADIANS(Параметры!$B$9)))</f>
        <v>0.16500535269389571</v>
      </c>
    </row>
    <row r="478" spans="1:3" ht="15.75" x14ac:dyDescent="0.25">
      <c r="A478" s="9">
        <v>4760</v>
      </c>
      <c r="B478" s="10">
        <f>1-EXP(-((4*Параметры!$B$2/Параметры!$B$3*Параметры!$B$10*Параметры!$B$4)*(Параметры!$B$6*Параметры!$B$7/Параметры!$B$8*1E-24))*(A478*0.0000001)/SIN(RADIANS(Параметры!$B$9)))</f>
        <v>3.9362056129755962E-2</v>
      </c>
      <c r="C478" s="10">
        <f>1-EXP(-((4*Параметры!$B$2/Параметры!$B$3*Параметры!$B$10*Параметры!$B$5)*(Параметры!$B$6*Параметры!$B$7/Параметры!$B$8*1E-24))*(A478*0.0000001)/SIN(RADIANS(Параметры!$B$9)))</f>
        <v>0.16532229159191947</v>
      </c>
    </row>
    <row r="479" spans="1:3" ht="15.75" x14ac:dyDescent="0.25">
      <c r="A479" s="9">
        <v>4770</v>
      </c>
      <c r="B479" s="10">
        <f>1-EXP(-((4*Параметры!$B$2/Параметры!$B$3*Параметры!$B$10*Параметры!$B$4)*(Параметры!$B$6*Параметры!$B$7/Параметры!$B$8*1E-24))*(A479*0.0000001)/SIN(RADIANS(Параметры!$B$9)))</f>
        <v>3.9443096831154989E-2</v>
      </c>
      <c r="C479" s="10">
        <f>1-EXP(-((4*Параметры!$B$2/Параметры!$B$3*Параметры!$B$10*Параметры!$B$5)*(Параметры!$B$6*Параметры!$B$7/Параметры!$B$8*1E-24))*(A479*0.0000001)/SIN(RADIANS(Параметры!$B$9)))</f>
        <v>0.16563911018945343</v>
      </c>
    </row>
    <row r="480" spans="1:3" ht="15.75" x14ac:dyDescent="0.25">
      <c r="A480" s="9">
        <v>4780</v>
      </c>
      <c r="B480" s="10">
        <f>1-EXP(-((4*Параметры!$B$2/Параметры!$B$3*Параметры!$B$10*Параметры!$B$4)*(Параметры!$B$6*Параметры!$B$7/Параметры!$B$8*1E-24))*(A480*0.0000001)/SIN(RADIANS(Параметры!$B$9)))</f>
        <v>3.9524130695852144E-2</v>
      </c>
      <c r="C480" s="10">
        <f>1-EXP(-((4*Параметры!$B$2/Параметры!$B$3*Параметры!$B$10*Параметры!$B$5)*(Параметры!$B$6*Параметры!$B$7/Параметры!$B$8*1E-24))*(A480*0.0000001)/SIN(RADIANS(Параметры!$B$9)))</f>
        <v>0.16595580853215997</v>
      </c>
    </row>
    <row r="481" spans="1:3" ht="15.75" x14ac:dyDescent="0.25">
      <c r="A481" s="9">
        <v>4790</v>
      </c>
      <c r="B481" s="10">
        <f>1-EXP(-((4*Параметры!$B$2/Параметры!$B$3*Параметры!$B$10*Параметры!$B$4)*(Параметры!$B$6*Параметры!$B$7/Параметры!$B$8*1E-24))*(A481*0.0000001)/SIN(RADIANS(Параметры!$B$9)))</f>
        <v>3.9605157724424078E-2</v>
      </c>
      <c r="C481" s="10">
        <f>1-EXP(-((4*Параметры!$B$2/Параметры!$B$3*Параметры!$B$10*Параметры!$B$5)*(Параметры!$B$6*Параметры!$B$7/Параметры!$B$8*1E-24))*(A481*0.0000001)/SIN(RADIANS(Параметры!$B$9)))</f>
        <v>0.16627238666568422</v>
      </c>
    </row>
    <row r="482" spans="1:3" ht="15.75" x14ac:dyDescent="0.25">
      <c r="A482" s="9">
        <v>4800</v>
      </c>
      <c r="B482" s="10">
        <f>1-EXP(-((4*Параметры!$B$2/Параметры!$B$3*Параметры!$B$10*Параметры!$B$4)*(Параметры!$B$6*Параметры!$B$7/Параметры!$B$8*1E-24))*(A482*0.0000001)/SIN(RADIANS(Параметры!$B$9)))</f>
        <v>3.9686177917447663E-2</v>
      </c>
      <c r="C482" s="10">
        <f>1-EXP(-((4*Параметры!$B$2/Параметры!$B$3*Параметры!$B$10*Параметры!$B$5)*(Параметры!$B$6*Параметры!$B$7/Параметры!$B$8*1E-24))*(A482*0.0000001)/SIN(RADIANS(Параметры!$B$9)))</f>
        <v>0.16658884463565404</v>
      </c>
    </row>
    <row r="483" spans="1:3" ht="15.75" x14ac:dyDescent="0.25">
      <c r="A483" s="9">
        <v>4810</v>
      </c>
      <c r="B483" s="10">
        <f>1-EXP(-((4*Параметры!$B$2/Параметры!$B$3*Параметры!$B$10*Параметры!$B$4)*(Параметры!$B$6*Параметры!$B$7/Параметры!$B$8*1E-24))*(A483*0.0000001)/SIN(RADIANS(Параметры!$B$9)))</f>
        <v>3.9767191275499325E-2</v>
      </c>
      <c r="C483" s="10">
        <f>1-EXP(-((4*Параметры!$B$2/Параметры!$B$3*Параметры!$B$10*Параметры!$B$5)*(Параметры!$B$6*Параметры!$B$7/Параметры!$B$8*1E-24))*(A483*0.0000001)/SIN(RADIANS(Параметры!$B$9)))</f>
        <v>0.16690518248767994</v>
      </c>
    </row>
    <row r="484" spans="1:3" ht="15.75" x14ac:dyDescent="0.25">
      <c r="A484" s="9">
        <v>4820</v>
      </c>
      <c r="B484" s="10">
        <f>1-EXP(-((4*Параметры!$B$2/Параметры!$B$3*Параметры!$B$10*Параметры!$B$4)*(Параметры!$B$6*Параметры!$B$7/Параметры!$B$8*1E-24))*(A484*0.0000001)/SIN(RADIANS(Параметры!$B$9)))</f>
        <v>3.9848197799155716E-2</v>
      </c>
      <c r="C484" s="10">
        <f>1-EXP(-((4*Параметры!$B$2/Параметры!$B$3*Параметры!$B$10*Параметры!$B$5)*(Параметры!$B$6*Параметры!$B$7/Параметры!$B$8*1E-24))*(A484*0.0000001)/SIN(RADIANS(Параметры!$B$9)))</f>
        <v>0.16722140026735488</v>
      </c>
    </row>
    <row r="485" spans="1:3" ht="15.75" x14ac:dyDescent="0.25">
      <c r="A485" s="9">
        <v>4830</v>
      </c>
      <c r="B485" s="10">
        <f>1-EXP(-((4*Параметры!$B$2/Параметры!$B$3*Параметры!$B$10*Параметры!$B$4)*(Параметры!$B$6*Параметры!$B$7/Параметры!$B$8*1E-24))*(A485*0.0000001)/SIN(RADIANS(Параметры!$B$9)))</f>
        <v>3.9929197488993595E-2</v>
      </c>
      <c r="C485" s="10">
        <f>1-EXP(-((4*Параметры!$B$2/Параметры!$B$3*Параметры!$B$10*Параметры!$B$5)*(Параметры!$B$6*Параметры!$B$7/Параметры!$B$8*1E-24))*(A485*0.0000001)/SIN(RADIANS(Параметры!$B$9)))</f>
        <v>0.16753749802025497</v>
      </c>
    </row>
    <row r="486" spans="1:3" ht="15.75" x14ac:dyDescent="0.25">
      <c r="A486" s="9">
        <v>4840</v>
      </c>
      <c r="B486" s="10">
        <f>1-EXP(-((4*Параметры!$B$2/Параметры!$B$3*Параметры!$B$10*Параметры!$B$4)*(Параметры!$B$6*Параметры!$B$7/Параметры!$B$8*1E-24))*(A486*0.0000001)/SIN(RADIANS(Параметры!$B$9)))</f>
        <v>4.001019034558928E-2</v>
      </c>
      <c r="C486" s="10">
        <f>1-EXP(-((4*Параметры!$B$2/Параметры!$B$3*Параметры!$B$10*Параметры!$B$5)*(Параметры!$B$6*Параметры!$B$7/Параметры!$B$8*1E-24))*(A486*0.0000001)/SIN(RADIANS(Параметры!$B$9)))</f>
        <v>0.16785347579193866</v>
      </c>
    </row>
    <row r="487" spans="1:3" ht="15.75" x14ac:dyDescent="0.25">
      <c r="A487" s="9">
        <v>4850</v>
      </c>
      <c r="B487" s="10">
        <f>1-EXP(-((4*Параметры!$B$2/Параметры!$B$3*Параметры!$B$10*Параметры!$B$4)*(Параметры!$B$6*Параметры!$B$7/Параметры!$B$8*1E-24))*(A487*0.0000001)/SIN(RADIANS(Параметры!$B$9)))</f>
        <v>4.009117636951931E-2</v>
      </c>
      <c r="C487" s="10">
        <f>1-EXP(-((4*Параметры!$B$2/Параметры!$B$3*Параметры!$B$10*Параметры!$B$5)*(Параметры!$B$6*Параметры!$B$7/Параметры!$B$8*1E-24))*(A487*0.0000001)/SIN(RADIANS(Параметры!$B$9)))</f>
        <v>0.16816933362794717</v>
      </c>
    </row>
    <row r="488" spans="1:3" ht="15.75" x14ac:dyDescent="0.25">
      <c r="A488" s="9">
        <v>4860</v>
      </c>
      <c r="B488" s="10">
        <f>1-EXP(-((4*Параметры!$B$2/Параметры!$B$3*Параметры!$B$10*Параметры!$B$4)*(Параметры!$B$6*Параметры!$B$7/Параметры!$B$8*1E-24))*(A488*0.0000001)/SIN(RADIANS(Параметры!$B$9)))</f>
        <v>4.0172155561360001E-2</v>
      </c>
      <c r="C488" s="10">
        <f>1-EXP(-((4*Параметры!$B$2/Параметры!$B$3*Параметры!$B$10*Параметры!$B$5)*(Параметры!$B$6*Параметры!$B$7/Параметры!$B$8*1E-24))*(A488*0.0000001)/SIN(RADIANS(Параметры!$B$9)))</f>
        <v>0.16848507157380455</v>
      </c>
    </row>
    <row r="489" spans="1:3" ht="15.75" x14ac:dyDescent="0.25">
      <c r="A489" s="9">
        <v>4870</v>
      </c>
      <c r="B489" s="10">
        <f>1-EXP(-((4*Параметры!$B$2/Параметры!$B$3*Параметры!$B$10*Параметры!$B$4)*(Параметры!$B$6*Параметры!$B$7/Параметры!$B$8*1E-24))*(A489*0.0000001)/SIN(RADIANS(Параметры!$B$9)))</f>
        <v>4.0253127921687892E-2</v>
      </c>
      <c r="C489" s="10">
        <f>1-EXP(-((4*Параметры!$B$2/Параметры!$B$3*Параметры!$B$10*Параметры!$B$5)*(Параметры!$B$6*Параметры!$B$7/Параметры!$B$8*1E-24))*(A489*0.0000001)/SIN(RADIANS(Параметры!$B$9)))</f>
        <v>0.16880068967501749</v>
      </c>
    </row>
    <row r="490" spans="1:3" ht="15.75" x14ac:dyDescent="0.25">
      <c r="A490" s="9">
        <v>4880</v>
      </c>
      <c r="B490" s="10">
        <f>1-EXP(-((4*Параметры!$B$2/Параметры!$B$3*Параметры!$B$10*Параметры!$B$4)*(Параметры!$B$6*Параметры!$B$7/Параметры!$B$8*1E-24))*(A490*0.0000001)/SIN(RADIANS(Параметры!$B$9)))</f>
        <v>4.0334093451079078E-2</v>
      </c>
      <c r="C490" s="10">
        <f>1-EXP(-((4*Параметры!$B$2/Параметры!$B$3*Параметры!$B$10*Параметры!$B$5)*(Параметры!$B$6*Параметры!$B$7/Параметры!$B$8*1E-24))*(A490*0.0000001)/SIN(RADIANS(Параметры!$B$9)))</f>
        <v>0.16911618797707539</v>
      </c>
    </row>
    <row r="491" spans="1:3" ht="15.75" x14ac:dyDescent="0.25">
      <c r="A491" s="9">
        <v>4890</v>
      </c>
      <c r="B491" s="10">
        <f>1-EXP(-((4*Параметры!$B$2/Параметры!$B$3*Параметры!$B$10*Параметры!$B$4)*(Параметры!$B$6*Параметры!$B$7/Параметры!$B$8*1E-24))*(A491*0.0000001)/SIN(RADIANS(Параметры!$B$9)))</f>
        <v>4.0415052150110098E-2</v>
      </c>
      <c r="C491" s="10">
        <f>1-EXP(-((4*Параметры!$B$2/Параметры!$B$3*Параметры!$B$10*Параметры!$B$5)*(Параметры!$B$6*Параметры!$B$7/Параметры!$B$8*1E-24))*(A491*0.0000001)/SIN(RADIANS(Параметры!$B$9)))</f>
        <v>0.16943156652545044</v>
      </c>
    </row>
    <row r="492" spans="1:3" ht="15.75" x14ac:dyDescent="0.25">
      <c r="A492" s="9">
        <v>4900</v>
      </c>
      <c r="B492" s="10">
        <f>1-EXP(-((4*Параметры!$B$2/Параметры!$B$3*Параметры!$B$10*Параметры!$B$4)*(Параметры!$B$6*Параметры!$B$7/Параметры!$B$8*1E-24))*(A492*0.0000001)/SIN(RADIANS(Параметры!$B$9)))</f>
        <v>4.0496004019356935E-2</v>
      </c>
      <c r="C492" s="10">
        <f>1-EXP(-((4*Параметры!$B$2/Параметры!$B$3*Параметры!$B$10*Параметры!$B$5)*(Параметры!$B$6*Параметры!$B$7/Параметры!$B$8*1E-24))*(A492*0.0000001)/SIN(RADIANS(Параметры!$B$9)))</f>
        <v>0.16974682536559749</v>
      </c>
    </row>
    <row r="493" spans="1:3" ht="15.75" x14ac:dyDescent="0.25">
      <c r="A493" s="9">
        <v>4910</v>
      </c>
      <c r="B493" s="10">
        <f>1-EXP(-((4*Параметры!$B$2/Параметры!$B$3*Параметры!$B$10*Параметры!$B$4)*(Параметры!$B$6*Параметры!$B$7/Параметры!$B$8*1E-24))*(A493*0.0000001)/SIN(RADIANS(Параметры!$B$9)))</f>
        <v>4.0576949059395795E-2</v>
      </c>
      <c r="C493" s="10">
        <f>1-EXP(-((4*Параметры!$B$2/Параметры!$B$3*Параметры!$B$10*Параметры!$B$5)*(Параметры!$B$6*Параметры!$B$7/Параметры!$B$8*1E-24))*(A493*0.0000001)/SIN(RADIANS(Параметры!$B$9)))</f>
        <v>0.1700619645429543</v>
      </c>
    </row>
    <row r="494" spans="1:3" ht="15.75" x14ac:dyDescent="0.25">
      <c r="A494" s="9">
        <v>4920</v>
      </c>
      <c r="B494" s="10">
        <f>1-EXP(-((4*Параметры!$B$2/Параметры!$B$3*Параметры!$B$10*Параметры!$B$4)*(Параметры!$B$6*Параметры!$B$7/Параметры!$B$8*1E-24))*(A494*0.0000001)/SIN(RADIANS(Параметры!$B$9)))</f>
        <v>4.0657887270802884E-2</v>
      </c>
      <c r="C494" s="10">
        <f>1-EXP(-((4*Параметры!$B$2/Параметры!$B$3*Параметры!$B$10*Параметры!$B$5)*(Параметры!$B$6*Параметры!$B$7/Параметры!$B$8*1E-24))*(A494*0.0000001)/SIN(RADIANS(Параметры!$B$9)))</f>
        <v>0.17037698410294122</v>
      </c>
    </row>
    <row r="495" spans="1:3" ht="15.75" x14ac:dyDescent="0.25">
      <c r="A495" s="9">
        <v>4930</v>
      </c>
      <c r="B495" s="10">
        <f>1-EXP(-((4*Параметры!$B$2/Параметры!$B$3*Параметры!$B$10*Параметры!$B$4)*(Параметры!$B$6*Параметры!$B$7/Параметры!$B$8*1E-24))*(A495*0.0000001)/SIN(RADIANS(Параметры!$B$9)))</f>
        <v>4.0738818654154296E-2</v>
      </c>
      <c r="C495" s="10">
        <f>1-EXP(-((4*Параметры!$B$2/Параметры!$B$3*Параметры!$B$10*Параметры!$B$5)*(Параметры!$B$6*Параметры!$B$7/Параметры!$B$8*1E-24))*(A495*0.0000001)/SIN(RADIANS(Параметры!$B$9)))</f>
        <v>0.17069188409096125</v>
      </c>
    </row>
    <row r="496" spans="1:3" ht="15.75" x14ac:dyDescent="0.25">
      <c r="A496" s="9">
        <v>4940</v>
      </c>
      <c r="B496" s="10">
        <f>1-EXP(-((4*Параметры!$B$2/Параметры!$B$3*Параметры!$B$10*Параметры!$B$4)*(Параметры!$B$6*Параметры!$B$7/Параметры!$B$8*1E-24))*(A496*0.0000001)/SIN(RADIANS(Параметры!$B$9)))</f>
        <v>4.0819743210025905E-2</v>
      </c>
      <c r="C496" s="10">
        <f>1-EXP(-((4*Параметры!$B$2/Параметры!$B$3*Параметры!$B$10*Параметры!$B$5)*(Параметры!$B$6*Параметры!$B$7/Параметры!$B$8*1E-24))*(A496*0.0000001)/SIN(RADIANS(Параметры!$B$9)))</f>
        <v>0.17100666455240066</v>
      </c>
    </row>
    <row r="497" spans="1:3" ht="15.75" x14ac:dyDescent="0.25">
      <c r="A497" s="9">
        <v>4950</v>
      </c>
      <c r="B497" s="10">
        <f>1-EXP(-((4*Параметры!$B$2/Параметры!$B$3*Параметры!$B$10*Параметры!$B$4)*(Параметры!$B$6*Параметры!$B$7/Параметры!$B$8*1E-24))*(A497*0.0000001)/SIN(RADIANS(Параметры!$B$9)))</f>
        <v>4.0900660938993916E-2</v>
      </c>
      <c r="C497" s="10">
        <f>1-EXP(-((4*Параметры!$B$2/Параметры!$B$3*Параметры!$B$10*Параметры!$B$5)*(Параметры!$B$6*Параметры!$B$7/Параметры!$B$8*1E-24))*(A497*0.0000001)/SIN(RADIANS(Параметры!$B$9)))</f>
        <v>0.1713213255326278</v>
      </c>
    </row>
    <row r="498" spans="1:3" ht="15.75" x14ac:dyDescent="0.25">
      <c r="A498" s="9">
        <v>4960</v>
      </c>
      <c r="B498" s="10">
        <f>1-EXP(-((4*Параметры!$B$2/Параметры!$B$3*Параметры!$B$10*Параметры!$B$4)*(Параметры!$B$6*Параметры!$B$7/Параметры!$B$8*1E-24))*(A498*0.0000001)/SIN(RADIANS(Параметры!$B$9)))</f>
        <v>4.0981571841633979E-2</v>
      </c>
      <c r="C498" s="10">
        <f>1-EXP(-((4*Параметры!$B$2/Параметры!$B$3*Параметры!$B$10*Параметры!$B$5)*(Параметры!$B$6*Параметры!$B$7/Параметры!$B$8*1E-24))*(A498*0.0000001)/SIN(RADIANS(Параметры!$B$9)))</f>
        <v>0.17163586707699441</v>
      </c>
    </row>
    <row r="499" spans="1:3" ht="15.75" x14ac:dyDescent="0.25">
      <c r="A499" s="9">
        <v>4970</v>
      </c>
      <c r="B499" s="10">
        <f>1-EXP(-((4*Параметры!$B$2/Параметры!$B$3*Параметры!$B$10*Параметры!$B$4)*(Параметры!$B$6*Параметры!$B$7/Параметры!$B$8*1E-24))*(A499*0.0000001)/SIN(RADIANS(Параметры!$B$9)))</f>
        <v>4.106247591852219E-2</v>
      </c>
      <c r="C499" s="10">
        <f>1-EXP(-((4*Параметры!$B$2/Параметры!$B$3*Параметры!$B$10*Параметры!$B$5)*(Параметры!$B$6*Параметры!$B$7/Параметры!$B$8*1E-24))*(A499*0.0000001)/SIN(RADIANS(Параметры!$B$9)))</f>
        <v>0.17195028923083455</v>
      </c>
    </row>
    <row r="500" spans="1:3" ht="15.75" x14ac:dyDescent="0.25">
      <c r="A500" s="9">
        <v>4980</v>
      </c>
      <c r="B500" s="10">
        <f>1-EXP(-((4*Параметры!$B$2/Параметры!$B$3*Параметры!$B$10*Параметры!$B$4)*(Параметры!$B$6*Параметры!$B$7/Параметры!$B$8*1E-24))*(A500*0.0000001)/SIN(RADIANS(Параметры!$B$9)))</f>
        <v>4.1143373170234199E-2</v>
      </c>
      <c r="C500" s="10">
        <f>1-EXP(-((4*Параметры!$B$2/Параметры!$B$3*Параметры!$B$10*Параметры!$B$5)*(Параметры!$B$6*Параметры!$B$7/Параметры!$B$8*1E-24))*(A500*0.0000001)/SIN(RADIANS(Параметры!$B$9)))</f>
        <v>0.17226459203946554</v>
      </c>
    </row>
    <row r="501" spans="1:3" ht="15.75" x14ac:dyDescent="0.25">
      <c r="A501" s="9">
        <v>4990</v>
      </c>
      <c r="B501" s="10">
        <f>1-EXP(-((4*Параметры!$B$2/Параметры!$B$3*Параметры!$B$10*Параметры!$B$4)*(Параметры!$B$6*Параметры!$B$7/Параметры!$B$8*1E-24))*(A501*0.0000001)/SIN(RADIANS(Параметры!$B$9)))</f>
        <v>4.1224263597345989E-2</v>
      </c>
      <c r="C501" s="10">
        <f>1-EXP(-((4*Параметры!$B$2/Параметры!$B$3*Параметры!$B$10*Параметры!$B$5)*(Параметры!$B$6*Параметры!$B$7/Параметры!$B$8*1E-24))*(A501*0.0000001)/SIN(RADIANS(Параметры!$B$9)))</f>
        <v>0.17257877554818701</v>
      </c>
    </row>
    <row r="502" spans="1:3" ht="15.75" x14ac:dyDescent="0.25">
      <c r="A502" s="9">
        <v>5000</v>
      </c>
      <c r="B502" s="10">
        <f>1-EXP(-((4*Параметры!$B$2/Параметры!$B$3*Параметры!$B$10*Параметры!$B$4)*(Параметры!$B$6*Параметры!$B$7/Параметры!$B$8*1E-24))*(A502*0.0000001)/SIN(RADIANS(Параметры!$B$9)))</f>
        <v>4.1305147200433212E-2</v>
      </c>
      <c r="C502" s="10">
        <f>1-EXP(-((4*Параметры!$B$2/Параметры!$B$3*Параметры!$B$10*Параметры!$B$5)*(Параметры!$B$6*Параметры!$B$7/Параметры!$B$8*1E-24))*(A502*0.0000001)/SIN(RADIANS(Параметры!$B$9)))</f>
        <v>0.17289283980228165</v>
      </c>
    </row>
    <row r="503" spans="1:3" ht="15.75" x14ac:dyDescent="0.25">
      <c r="A503" s="9">
        <v>5010</v>
      </c>
      <c r="B503" s="10">
        <f>1-EXP(-((4*Параметры!$B$2/Параметры!$B$3*Параметры!$B$10*Параметры!$B$4)*(Параметры!$B$6*Параметры!$B$7/Параметры!$B$8*1E-24))*(A503*0.0000001)/SIN(RADIANS(Параметры!$B$9)))</f>
        <v>4.1386023980071407E-2</v>
      </c>
      <c r="C503" s="10">
        <f>1-EXP(-((4*Параметры!$B$2/Параметры!$B$3*Параметры!$B$10*Параметры!$B$5)*(Параметры!$B$6*Параметры!$B$7/Параметры!$B$8*1E-24))*(A503*0.0000001)/SIN(RADIANS(Параметры!$B$9)))</f>
        <v>0.17320678484701502</v>
      </c>
    </row>
    <row r="504" spans="1:3" ht="15.75" x14ac:dyDescent="0.25">
      <c r="A504" s="9">
        <v>5020</v>
      </c>
      <c r="B504" s="10">
        <f>1-EXP(-((4*Параметры!$B$2/Параметры!$B$3*Параметры!$B$10*Параметры!$B$4)*(Параметры!$B$6*Параметры!$B$7/Параметры!$B$8*1E-24))*(A504*0.0000001)/SIN(RADIANS(Параметры!$B$9)))</f>
        <v>4.1466893936836446E-2</v>
      </c>
      <c r="C504" s="10">
        <f>1-EXP(-((4*Параметры!$B$2/Параметры!$B$3*Параметры!$B$10*Параметры!$B$5)*(Параметры!$B$6*Параметры!$B$7/Параметры!$B$8*1E-24))*(A504*0.0000001)/SIN(RADIANS(Параметры!$B$9)))</f>
        <v>0.17352061072763536</v>
      </c>
    </row>
    <row r="505" spans="1:3" ht="15.75" x14ac:dyDescent="0.25">
      <c r="A505" s="9">
        <v>5030</v>
      </c>
      <c r="B505" s="10">
        <f>1-EXP(-((4*Параметры!$B$2/Параметры!$B$3*Параметры!$B$10*Параметры!$B$4)*(Параметры!$B$6*Параметры!$B$7/Параметры!$B$8*1E-24))*(A505*0.0000001)/SIN(RADIANS(Параметры!$B$9)))</f>
        <v>4.1547757071303759E-2</v>
      </c>
      <c r="C505" s="10">
        <f>1-EXP(-((4*Параметры!$B$2/Параметры!$B$3*Параметры!$B$10*Параметры!$B$5)*(Параметры!$B$6*Параметры!$B$7/Параметры!$B$8*1E-24))*(A505*0.0000001)/SIN(RADIANS(Параметры!$B$9)))</f>
        <v>0.17383431748937384</v>
      </c>
    </row>
    <row r="506" spans="1:3" ht="15.75" x14ac:dyDescent="0.25">
      <c r="A506" s="9">
        <v>5040</v>
      </c>
      <c r="B506" s="10">
        <f>1-EXP(-((4*Параметры!$B$2/Параметры!$B$3*Параметры!$B$10*Параметры!$B$4)*(Параметры!$B$6*Параметры!$B$7/Параметры!$B$8*1E-24))*(A506*0.0000001)/SIN(RADIANS(Параметры!$B$9)))</f>
        <v>4.1628613384048885E-2</v>
      </c>
      <c r="C506" s="10">
        <f>1-EXP(-((4*Параметры!$B$2/Параметры!$B$3*Параметры!$B$10*Параметры!$B$5)*(Параметры!$B$6*Параметры!$B$7/Параметры!$B$8*1E-24))*(A506*0.0000001)/SIN(RADIANS(Параметры!$B$9)))</f>
        <v>0.17414790517744427</v>
      </c>
    </row>
    <row r="507" spans="1:3" ht="15.75" x14ac:dyDescent="0.25">
      <c r="A507" s="9">
        <v>5050</v>
      </c>
      <c r="B507" s="10">
        <f>1-EXP(-((4*Параметры!$B$2/Параметры!$B$3*Параметры!$B$10*Параметры!$B$4)*(Параметры!$B$6*Параметры!$B$7/Параметры!$B$8*1E-24))*(A507*0.0000001)/SIN(RADIANS(Параметры!$B$9)))</f>
        <v>4.1709462875647363E-2</v>
      </c>
      <c r="C507" s="10">
        <f>1-EXP(-((4*Параметры!$B$2/Параметры!$B$3*Параметры!$B$10*Параметры!$B$5)*(Параметры!$B$6*Параметры!$B$7/Параметры!$B$8*1E-24))*(A507*0.0000001)/SIN(RADIANS(Параметры!$B$9)))</f>
        <v>0.17446137383704363</v>
      </c>
    </row>
    <row r="508" spans="1:3" ht="15.75" x14ac:dyDescent="0.25">
      <c r="A508" s="9">
        <v>5060</v>
      </c>
      <c r="B508" s="10">
        <f>1-EXP(-((4*Параметры!$B$2/Параметры!$B$3*Параметры!$B$10*Параметры!$B$4)*(Параметры!$B$6*Параметры!$B$7/Параметры!$B$8*1E-24))*(A508*0.0000001)/SIN(RADIANS(Параметры!$B$9)))</f>
        <v>4.1790305546674733E-2</v>
      </c>
      <c r="C508" s="10">
        <f>1-EXP(-((4*Параметры!$B$2/Параметры!$B$3*Параметры!$B$10*Параметры!$B$5)*(Параметры!$B$6*Параметры!$B$7/Параметры!$B$8*1E-24))*(A508*0.0000001)/SIN(RADIANS(Параметры!$B$9)))</f>
        <v>0.17477472351335144</v>
      </c>
    </row>
    <row r="509" spans="1:3" ht="15.75" x14ac:dyDescent="0.25">
      <c r="A509" s="9">
        <v>5070</v>
      </c>
      <c r="B509" s="10">
        <f>1-EXP(-((4*Параметры!$B$2/Параметры!$B$3*Параметры!$B$10*Параметры!$B$4)*(Параметры!$B$6*Параметры!$B$7/Параметры!$B$8*1E-24))*(A509*0.0000001)/SIN(RADIANS(Параметры!$B$9)))</f>
        <v>4.1871141397706202E-2</v>
      </c>
      <c r="C509" s="10">
        <f>1-EXP(-((4*Параметры!$B$2/Параметры!$B$3*Параметры!$B$10*Параметры!$B$5)*(Параметры!$B$6*Параметры!$B$7/Параметры!$B$8*1E-24))*(A509*0.0000001)/SIN(RADIANS(Параметры!$B$9)))</f>
        <v>0.17508795425153023</v>
      </c>
    </row>
    <row r="510" spans="1:3" ht="15.75" x14ac:dyDescent="0.25">
      <c r="A510" s="9">
        <v>5080</v>
      </c>
      <c r="B510" s="10">
        <f>1-EXP(-((4*Параметры!$B$2/Параметры!$B$3*Параметры!$B$10*Параметры!$B$4)*(Параметры!$B$6*Параметры!$B$7/Параметры!$B$8*1E-24))*(A510*0.0000001)/SIN(RADIANS(Параметры!$B$9)))</f>
        <v>4.1951970429317198E-2</v>
      </c>
      <c r="C510" s="10">
        <f>1-EXP(-((4*Параметры!$B$2/Параметры!$B$3*Параметры!$B$10*Параметры!$B$5)*(Параметры!$B$6*Параметры!$B$7/Параметры!$B$8*1E-24))*(A510*0.0000001)/SIN(RADIANS(Параметры!$B$9)))</f>
        <v>0.17540106609672534</v>
      </c>
    </row>
    <row r="511" spans="1:3" ht="15.75" x14ac:dyDescent="0.25">
      <c r="A511" s="9">
        <v>5090</v>
      </c>
      <c r="B511" s="10">
        <f>1-EXP(-((4*Параметры!$B$2/Параметры!$B$3*Параметры!$B$10*Параметры!$B$4)*(Параметры!$B$6*Параметры!$B$7/Параметры!$B$8*1E-24))*(A511*0.0000001)/SIN(RADIANS(Параметры!$B$9)))</f>
        <v>4.2032792642083039E-2</v>
      </c>
      <c r="C511" s="10">
        <f>1-EXP(-((4*Параметры!$B$2/Параметры!$B$3*Параметры!$B$10*Параметры!$B$5)*(Параметры!$B$6*Параметры!$B$7/Параметры!$B$8*1E-24))*(A511*0.0000001)/SIN(RADIANS(Параметры!$B$9)))</f>
        <v>0.17571405909406501</v>
      </c>
    </row>
    <row r="512" spans="1:3" ht="15.75" x14ac:dyDescent="0.25">
      <c r="A512" s="9">
        <v>5100</v>
      </c>
      <c r="B512" s="10">
        <f>1-EXP(-((4*Параметры!$B$2/Параметры!$B$3*Параметры!$B$10*Параметры!$B$4)*(Параметры!$B$6*Параметры!$B$7/Параметры!$B$8*1E-24))*(A512*0.0000001)/SIN(RADIANS(Параметры!$B$9)))</f>
        <v>4.2113608036578931E-2</v>
      </c>
      <c r="C512" s="10">
        <f>1-EXP(-((4*Параметры!$B$2/Параметры!$B$3*Параметры!$B$10*Параметры!$B$5)*(Параметры!$B$6*Параметры!$B$7/Параметры!$B$8*1E-24))*(A512*0.0000001)/SIN(RADIANS(Параметры!$B$9)))</f>
        <v>0.17602693328866026</v>
      </c>
    </row>
    <row r="513" spans="1:3" ht="15.75" x14ac:dyDescent="0.25">
      <c r="A513" s="9">
        <v>5110</v>
      </c>
      <c r="B513" s="10">
        <f>1-EXP(-((4*Параметры!$B$2/Параметры!$B$3*Параметры!$B$10*Параметры!$B$4)*(Параметры!$B$6*Параметры!$B$7/Параметры!$B$8*1E-24))*(A513*0.0000001)/SIN(RADIANS(Параметры!$B$9)))</f>
        <v>4.2194416613380081E-2</v>
      </c>
      <c r="C513" s="10">
        <f>1-EXP(-((4*Параметры!$B$2/Параметры!$B$3*Параметры!$B$10*Параметры!$B$5)*(Параметры!$B$6*Параметры!$B$7/Параметры!$B$8*1E-24))*(A513*0.0000001)/SIN(RADIANS(Параметры!$B$9)))</f>
        <v>0.17633968872560501</v>
      </c>
    </row>
    <row r="514" spans="1:3" ht="15.75" x14ac:dyDescent="0.25">
      <c r="A514" s="9">
        <v>5120</v>
      </c>
      <c r="B514" s="10">
        <f>1-EXP(-((4*Параметры!$B$2/Параметры!$B$3*Параметры!$B$10*Параметры!$B$4)*(Параметры!$B$6*Параметры!$B$7/Параметры!$B$8*1E-24))*(A514*0.0000001)/SIN(RADIANS(Параметры!$B$9)))</f>
        <v>4.2275218373061585E-2</v>
      </c>
      <c r="C514" s="10">
        <f>1-EXP(-((4*Параметры!$B$2/Параметры!$B$3*Параметры!$B$10*Параметры!$B$5)*(Параметры!$B$6*Параметры!$B$7/Параметры!$B$8*1E-24))*(A514*0.0000001)/SIN(RADIANS(Параметры!$B$9)))</f>
        <v>0.17665232544997611</v>
      </c>
    </row>
    <row r="515" spans="1:3" ht="15.75" x14ac:dyDescent="0.25">
      <c r="A515" s="9">
        <v>5130</v>
      </c>
      <c r="B515" s="10">
        <f>1-EXP(-((4*Параметры!$B$2/Параметры!$B$3*Параметры!$B$10*Параметры!$B$4)*(Параметры!$B$6*Параметры!$B$7/Параметры!$B$8*1E-24))*(A515*0.0000001)/SIN(RADIANS(Параметры!$B$9)))</f>
        <v>4.2356013316198649E-2</v>
      </c>
      <c r="C515" s="10">
        <f>1-EXP(-((4*Параметры!$B$2/Параметры!$B$3*Параметры!$B$10*Параметры!$B$5)*(Параметры!$B$6*Параметры!$B$7/Параметры!$B$8*1E-24))*(A515*0.0000001)/SIN(RADIANS(Параметры!$B$9)))</f>
        <v>0.17696484350683339</v>
      </c>
    </row>
    <row r="516" spans="1:3" ht="15.75" x14ac:dyDescent="0.25">
      <c r="A516" s="9">
        <v>5140</v>
      </c>
      <c r="B516" s="10">
        <f>1-EXP(-((4*Параметры!$B$2/Параметры!$B$3*Параметры!$B$10*Параметры!$B$4)*(Параметры!$B$6*Параметры!$B$7/Параметры!$B$8*1E-24))*(A516*0.0000001)/SIN(RADIANS(Параметры!$B$9)))</f>
        <v>4.2436801443366257E-2</v>
      </c>
      <c r="C516" s="10">
        <f>1-EXP(-((4*Параметры!$B$2/Параметры!$B$3*Параметры!$B$10*Параметры!$B$5)*(Параметры!$B$6*Параметры!$B$7/Параметры!$B$8*1E-24))*(A516*0.0000001)/SIN(RADIANS(Параметры!$B$9)))</f>
        <v>0.17727724294121938</v>
      </c>
    </row>
    <row r="517" spans="1:3" ht="15.75" x14ac:dyDescent="0.25">
      <c r="A517" s="9">
        <v>5150</v>
      </c>
      <c r="B517" s="10">
        <f>1-EXP(-((4*Параметры!$B$2/Параметры!$B$3*Параметры!$B$10*Параметры!$B$4)*(Параметры!$B$6*Параметры!$B$7/Параметры!$B$8*1E-24))*(A517*0.0000001)/SIN(RADIANS(Параметры!$B$9)))</f>
        <v>4.2517582755139505E-2</v>
      </c>
      <c r="C517" s="10">
        <f>1-EXP(-((4*Параметры!$B$2/Параметры!$B$3*Параметры!$B$10*Параметры!$B$5)*(Параметры!$B$6*Параметры!$B$7/Параметры!$B$8*1E-24))*(A517*0.0000001)/SIN(RADIANS(Параметры!$B$9)))</f>
        <v>0.17758952379815962</v>
      </c>
    </row>
    <row r="518" spans="1:3" ht="15.75" x14ac:dyDescent="0.25">
      <c r="A518" s="9">
        <v>5160</v>
      </c>
      <c r="B518" s="10">
        <f>1-EXP(-((4*Параметры!$B$2/Параметры!$B$3*Параметры!$B$10*Параметры!$B$4)*(Параметры!$B$6*Параметры!$B$7/Параметры!$B$8*1E-24))*(A518*0.0000001)/SIN(RADIANS(Параметры!$B$9)))</f>
        <v>4.2598357252093266E-2</v>
      </c>
      <c r="C518" s="10">
        <f>1-EXP(-((4*Параметры!$B$2/Параметры!$B$3*Параметры!$B$10*Параметры!$B$5)*(Параметры!$B$6*Параметры!$B$7/Параметры!$B$8*1E-24))*(A518*0.0000001)/SIN(RADIANS(Параметры!$B$9)))</f>
        <v>0.17790168612266255</v>
      </c>
    </row>
    <row r="519" spans="1:3" ht="15.75" x14ac:dyDescent="0.25">
      <c r="A519" s="9">
        <v>5170</v>
      </c>
      <c r="B519" s="10">
        <f>1-EXP(-((4*Параметры!$B$2/Параметры!$B$3*Параметры!$B$10*Параметры!$B$4)*(Параметры!$B$6*Параметры!$B$7/Параметры!$B$8*1E-24))*(A519*0.0000001)/SIN(RADIANS(Параметры!$B$9)))</f>
        <v>4.2679124934802415E-2</v>
      </c>
      <c r="C519" s="10">
        <f>1-EXP(-((4*Параметры!$B$2/Параметры!$B$3*Параметры!$B$10*Параметры!$B$5)*(Параметры!$B$6*Параметры!$B$7/Параметры!$B$8*1E-24))*(A519*0.0000001)/SIN(RADIANS(Параметры!$B$9)))</f>
        <v>0.17821372995971962</v>
      </c>
    </row>
    <row r="520" spans="1:3" ht="15.75" x14ac:dyDescent="0.25">
      <c r="A520" s="9">
        <v>5180</v>
      </c>
      <c r="B520" s="10">
        <f>1-EXP(-((4*Параметры!$B$2/Параметры!$B$3*Параметры!$B$10*Параметры!$B$4)*(Параметры!$B$6*Параметры!$B$7/Параметры!$B$8*1E-24))*(A520*0.0000001)/SIN(RADIANS(Параметры!$B$9)))</f>
        <v>4.2759885803841935E-2</v>
      </c>
      <c r="C520" s="10">
        <f>1-EXP(-((4*Параметры!$B$2/Параметры!$B$3*Параметры!$B$10*Параметры!$B$5)*(Параметры!$B$6*Параметры!$B$7/Параметры!$B$8*1E-24))*(A520*0.0000001)/SIN(RADIANS(Параметры!$B$9)))</f>
        <v>0.17852565535430498</v>
      </c>
    </row>
    <row r="521" spans="1:3" ht="15.75" x14ac:dyDescent="0.25">
      <c r="A521" s="9">
        <v>5190</v>
      </c>
      <c r="B521" s="10">
        <f>1-EXP(-((4*Параметры!$B$2/Параметры!$B$3*Параметры!$B$10*Параметры!$B$4)*(Параметры!$B$6*Параметры!$B$7/Параметры!$B$8*1E-24))*(A521*0.0000001)/SIN(RADIANS(Параметры!$B$9)))</f>
        <v>4.2840639859786478E-2</v>
      </c>
      <c r="C521" s="10">
        <f>1-EXP(-((4*Параметры!$B$2/Параметры!$B$3*Параметры!$B$10*Параметры!$B$5)*(Параметры!$B$6*Параметры!$B$7/Параметры!$B$8*1E-24))*(A521*0.0000001)/SIN(RADIANS(Параметры!$B$9)))</f>
        <v>0.17883746235137588</v>
      </c>
    </row>
    <row r="522" spans="1:3" ht="15.75" x14ac:dyDescent="0.25">
      <c r="A522" s="9">
        <v>5200</v>
      </c>
      <c r="B522" s="10">
        <f>1-EXP(-((4*Параметры!$B$2/Параметры!$B$3*Параметры!$B$10*Параметры!$B$4)*(Параметры!$B$6*Параметры!$B$7/Параметры!$B$8*1E-24))*(A522*0.0000001)/SIN(RADIANS(Параметры!$B$9)))</f>
        <v>4.2921387103210917E-2</v>
      </c>
      <c r="C522" s="10">
        <f>1-EXP(-((4*Параметры!$B$2/Параметры!$B$3*Параметры!$B$10*Параметры!$B$5)*(Параметры!$B$6*Параметры!$B$7/Параметры!$B$8*1E-24))*(A522*0.0000001)/SIN(RADIANS(Параметры!$B$9)))</f>
        <v>0.17914915099587247</v>
      </c>
    </row>
    <row r="523" spans="1:3" ht="15.75" x14ac:dyDescent="0.25">
      <c r="A523" s="9">
        <v>5210</v>
      </c>
      <c r="B523" s="10">
        <f>1-EXP(-((4*Параметры!$B$2/Параметры!$B$3*Параметры!$B$10*Параметры!$B$4)*(Параметры!$B$6*Параметры!$B$7/Параметры!$B$8*1E-24))*(A523*0.0000001)/SIN(RADIANS(Параметры!$B$9)))</f>
        <v>4.3002127534689905E-2</v>
      </c>
      <c r="C523" s="10">
        <f>1-EXP(-((4*Параметры!$B$2/Параметры!$B$3*Параметры!$B$10*Параметры!$B$5)*(Параметры!$B$6*Параметры!$B$7/Параметры!$B$8*1E-24))*(A523*0.0000001)/SIN(RADIANS(Параметры!$B$9)))</f>
        <v>0.17946072133271784</v>
      </c>
    </row>
    <row r="524" spans="1:3" ht="15.75" x14ac:dyDescent="0.25">
      <c r="A524" s="9">
        <v>5220</v>
      </c>
      <c r="B524" s="10">
        <f>1-EXP(-((4*Параметры!$B$2/Параметры!$B$3*Параметры!$B$10*Параметры!$B$4)*(Параметры!$B$6*Параметры!$B$7/Параметры!$B$8*1E-24))*(A524*0.0000001)/SIN(RADIANS(Параметры!$B$9)))</f>
        <v>4.3082861154798202E-2</v>
      </c>
      <c r="C524" s="10">
        <f>1-EXP(-((4*Параметры!$B$2/Параметры!$B$3*Параметры!$B$10*Параметры!$B$5)*(Параметры!$B$6*Параметры!$B$7/Параметры!$B$8*1E-24))*(A524*0.0000001)/SIN(RADIANS(Параметры!$B$9)))</f>
        <v>0.17977217340681806</v>
      </c>
    </row>
    <row r="525" spans="1:3" ht="15.75" x14ac:dyDescent="0.25">
      <c r="A525" s="9">
        <v>5230</v>
      </c>
      <c r="B525" s="10">
        <f>1-EXP(-((4*Параметры!$B$2/Параметры!$B$3*Параметры!$B$10*Параметры!$B$4)*(Параметры!$B$6*Параметры!$B$7/Параметры!$B$8*1E-24))*(A525*0.0000001)/SIN(RADIANS(Параметры!$B$9)))</f>
        <v>4.316358796411035E-2</v>
      </c>
      <c r="C525" s="10">
        <f>1-EXP(-((4*Параметры!$B$2/Параметры!$B$3*Параметры!$B$10*Параметры!$B$5)*(Параметры!$B$6*Параметры!$B$7/Параметры!$B$8*1E-24))*(A525*0.0000001)/SIN(RADIANS(Параметры!$B$9)))</f>
        <v>0.18008350726306199</v>
      </c>
    </row>
    <row r="526" spans="1:3" ht="15.75" x14ac:dyDescent="0.25">
      <c r="A526" s="9">
        <v>5240</v>
      </c>
      <c r="B526" s="10">
        <f>1-EXP(-((4*Параметры!$B$2/Параметры!$B$3*Параметры!$B$10*Параметры!$B$4)*(Параметры!$B$6*Параметры!$B$7/Параметры!$B$8*1E-24))*(A526*0.0000001)/SIN(RADIANS(Параметры!$B$9)))</f>
        <v>4.324430796320089E-2</v>
      </c>
      <c r="C526" s="10">
        <f>1-EXP(-((4*Параметры!$B$2/Параметры!$B$3*Параметры!$B$10*Параметры!$B$5)*(Параметры!$B$6*Параметры!$B$7/Параметры!$B$8*1E-24))*(A526*0.0000001)/SIN(RADIANS(Параметры!$B$9)))</f>
        <v>0.18039472294632164</v>
      </c>
    </row>
    <row r="527" spans="1:3" ht="15.75" x14ac:dyDescent="0.25">
      <c r="A527" s="9">
        <v>5250</v>
      </c>
      <c r="B527" s="10">
        <f>1-EXP(-((4*Параметры!$B$2/Параметры!$B$3*Параметры!$B$10*Параметры!$B$4)*(Параметры!$B$6*Параметры!$B$7/Параметры!$B$8*1E-24))*(A527*0.0000001)/SIN(RADIANS(Параметры!$B$9)))</f>
        <v>4.3325021152644361E-2</v>
      </c>
      <c r="C527" s="10">
        <f>1-EXP(-((4*Параметры!$B$2/Параметры!$B$3*Параметры!$B$10*Параметры!$B$5)*(Параметры!$B$6*Параметры!$B$7/Параметры!$B$8*1E-24))*(A527*0.0000001)/SIN(RADIANS(Параметры!$B$9)))</f>
        <v>0.18070582050145201</v>
      </c>
    </row>
    <row r="528" spans="1:3" ht="15.75" x14ac:dyDescent="0.25">
      <c r="A528" s="9">
        <v>5260</v>
      </c>
      <c r="B528" s="10">
        <f>1-EXP(-((4*Параметры!$B$2/Параметры!$B$3*Параметры!$B$10*Параметры!$B$4)*(Параметры!$B$6*Параметры!$B$7/Параметры!$B$8*1E-24))*(A528*0.0000001)/SIN(RADIANS(Параметры!$B$9)))</f>
        <v>4.3405727533015304E-2</v>
      </c>
      <c r="C528" s="10">
        <f>1-EXP(-((4*Параметры!$B$2/Параметры!$B$3*Параметры!$B$10*Параметры!$B$5)*(Параметры!$B$6*Параметры!$B$7/Параметры!$B$8*1E-24))*(A528*0.0000001)/SIN(RADIANS(Параметры!$B$9)))</f>
        <v>0.1810167999732909</v>
      </c>
    </row>
    <row r="529" spans="1:3" ht="15.75" x14ac:dyDescent="0.25">
      <c r="A529" s="9">
        <v>5270</v>
      </c>
      <c r="B529" s="10">
        <f>1-EXP(-((4*Параметры!$B$2/Параметры!$B$3*Параметры!$B$10*Параметры!$B$4)*(Параметры!$B$6*Параметры!$B$7/Параметры!$B$8*1E-24))*(A529*0.0000001)/SIN(RADIANS(Параметры!$B$9)))</f>
        <v>4.3486427104888037E-2</v>
      </c>
      <c r="C529" s="10">
        <f>1-EXP(-((4*Параметры!$B$2/Параметры!$B$3*Параметры!$B$10*Параметры!$B$5)*(Параметры!$B$6*Параметры!$B$7/Параметры!$B$8*1E-24))*(A529*0.0000001)/SIN(RADIANS(Параметры!$B$9)))</f>
        <v>0.18132766140665924</v>
      </c>
    </row>
    <row r="530" spans="1:3" ht="15.75" x14ac:dyDescent="0.25">
      <c r="A530" s="9">
        <v>5280</v>
      </c>
      <c r="B530" s="10">
        <f>1-EXP(-((4*Параметры!$B$2/Параметры!$B$3*Параметры!$B$10*Параметры!$B$4)*(Параметры!$B$6*Параметры!$B$7/Параметры!$B$8*1E-24))*(A530*0.0000001)/SIN(RADIANS(Параметры!$B$9)))</f>
        <v>4.356711986883699E-2</v>
      </c>
      <c r="C530" s="10">
        <f>1-EXP(-((4*Параметры!$B$2/Параметры!$B$3*Параметры!$B$10*Параметры!$B$5)*(Параметры!$B$6*Параметры!$B$7/Параметры!$B$8*1E-24))*(A530*0.0000001)/SIN(RADIANS(Параметры!$B$9)))</f>
        <v>0.18163840484636085</v>
      </c>
    </row>
    <row r="531" spans="1:3" ht="15.75" x14ac:dyDescent="0.25">
      <c r="A531" s="9">
        <v>5290</v>
      </c>
      <c r="B531" s="10">
        <f>1-EXP(-((4*Параметры!$B$2/Параметры!$B$3*Параметры!$B$10*Параметры!$B$4)*(Параметры!$B$6*Параметры!$B$7/Параметры!$B$8*1E-24))*(A531*0.0000001)/SIN(RADIANS(Параметры!$B$9)))</f>
        <v>4.3647805825436481E-2</v>
      </c>
      <c r="C531" s="10">
        <f>1-EXP(-((4*Параметры!$B$2/Параметры!$B$3*Параметры!$B$10*Параметры!$B$5)*(Параметры!$B$6*Параметры!$B$7/Параметры!$B$8*1E-24))*(A531*0.0000001)/SIN(RADIANS(Параметры!$B$9)))</f>
        <v>0.18194903033718257</v>
      </c>
    </row>
    <row r="532" spans="1:3" ht="15.75" x14ac:dyDescent="0.25">
      <c r="A532" s="9">
        <v>5300</v>
      </c>
      <c r="B532" s="10">
        <f>1-EXP(-((4*Параметры!$B$2/Параметры!$B$3*Параметры!$B$10*Параметры!$B$4)*(Параметры!$B$6*Параметры!$B$7/Параметры!$B$8*1E-24))*(A532*0.0000001)/SIN(RADIANS(Параметры!$B$9)))</f>
        <v>4.3728484975260828E-2</v>
      </c>
      <c r="C532" s="10">
        <f>1-EXP(-((4*Параметры!$B$2/Параметры!$B$3*Параметры!$B$10*Параметры!$B$5)*(Параметры!$B$6*Параметры!$B$7/Параметры!$B$8*1E-24))*(A532*0.0000001)/SIN(RADIANS(Параметры!$B$9)))</f>
        <v>0.18225953792389427</v>
      </c>
    </row>
    <row r="533" spans="1:3" ht="15.75" x14ac:dyDescent="0.25">
      <c r="A533" s="9">
        <v>5310</v>
      </c>
      <c r="B533" s="10">
        <f>1-EXP(-((4*Параметры!$B$2/Параметры!$B$3*Параметры!$B$10*Параметры!$B$4)*(Параметры!$B$6*Параметры!$B$7/Параметры!$B$8*1E-24))*(A533*0.0000001)/SIN(RADIANS(Параметры!$B$9)))</f>
        <v>4.380915731888424E-2</v>
      </c>
      <c r="C533" s="10">
        <f>1-EXP(-((4*Параметры!$B$2/Параметры!$B$3*Параметры!$B$10*Параметры!$B$5)*(Параметры!$B$6*Параметры!$B$7/Параметры!$B$8*1E-24))*(A533*0.0000001)/SIN(RADIANS(Параметры!$B$9)))</f>
        <v>0.1825699276512488</v>
      </c>
    </row>
    <row r="534" spans="1:3" ht="15.75" x14ac:dyDescent="0.25">
      <c r="A534" s="9">
        <v>5320</v>
      </c>
      <c r="B534" s="10">
        <f>1-EXP(-((4*Параметры!$B$2/Параметры!$B$3*Параметры!$B$10*Параметры!$B$4)*(Параметры!$B$6*Параметры!$B$7/Параметры!$B$8*1E-24))*(A534*0.0000001)/SIN(RADIANS(Параметры!$B$9)))</f>
        <v>4.3889822856880811E-2</v>
      </c>
      <c r="C534" s="10">
        <f>1-EXP(-((4*Параметры!$B$2/Параметры!$B$3*Параметры!$B$10*Параметры!$B$5)*(Параметры!$B$6*Параметры!$B$7/Параметры!$B$8*1E-24))*(A534*0.0000001)/SIN(RADIANS(Параметры!$B$9)))</f>
        <v>0.18288019956398205</v>
      </c>
    </row>
    <row r="535" spans="1:3" ht="15.75" x14ac:dyDescent="0.25">
      <c r="A535" s="9">
        <v>5330</v>
      </c>
      <c r="B535" s="10">
        <f>1-EXP(-((4*Параметры!$B$2/Параметры!$B$3*Параметры!$B$10*Параметры!$B$4)*(Параметры!$B$6*Параметры!$B$7/Параметры!$B$8*1E-24))*(A535*0.0000001)/SIN(RADIANS(Параметры!$B$9)))</f>
        <v>4.397048158982475E-2</v>
      </c>
      <c r="C535" s="10">
        <f>1-EXP(-((4*Параметры!$B$2/Параметры!$B$3*Параметры!$B$10*Параметры!$B$5)*(Параметры!$B$6*Параметры!$B$7/Параметры!$B$8*1E-24))*(A535*0.0000001)/SIN(RADIANS(Параметры!$B$9)))</f>
        <v>0.18319035370681291</v>
      </c>
    </row>
    <row r="536" spans="1:3" ht="15.75" x14ac:dyDescent="0.25">
      <c r="A536" s="9">
        <v>5340</v>
      </c>
      <c r="B536" s="10">
        <f>1-EXP(-((4*Параметры!$B$2/Параметры!$B$3*Параметры!$B$10*Параметры!$B$4)*(Параметры!$B$6*Параметры!$B$7/Параметры!$B$8*1E-24))*(A536*0.0000001)/SIN(RADIANS(Параметры!$B$9)))</f>
        <v>4.4051133518290153E-2</v>
      </c>
      <c r="C536" s="10">
        <f>1-EXP(-((4*Параметры!$B$2/Параметры!$B$3*Параметры!$B$10*Параметры!$B$5)*(Параметры!$B$6*Параметры!$B$7/Параметры!$B$8*1E-24))*(A536*0.0000001)/SIN(RADIANS(Параметры!$B$9)))</f>
        <v>0.1835003901244433</v>
      </c>
    </row>
    <row r="537" spans="1:3" ht="15.75" x14ac:dyDescent="0.25">
      <c r="A537" s="9">
        <v>5350</v>
      </c>
      <c r="B537" s="10">
        <f>1-EXP(-((4*Параметры!$B$2/Параметры!$B$3*Параметры!$B$10*Параметры!$B$4)*(Параметры!$B$6*Параметры!$B$7/Параметры!$B$8*1E-24))*(A537*0.0000001)/SIN(RADIANS(Параметры!$B$9)))</f>
        <v>4.4131778642851005E-2</v>
      </c>
      <c r="C537" s="10">
        <f>1-EXP(-((4*Параметры!$B$2/Параметры!$B$3*Параметры!$B$10*Параметры!$B$5)*(Параметры!$B$6*Параметры!$B$7/Параметры!$B$8*1E-24))*(A537*0.0000001)/SIN(RADIANS(Параметры!$B$9)))</f>
        <v>0.18381030886155825</v>
      </c>
    </row>
    <row r="538" spans="1:3" ht="15.75" x14ac:dyDescent="0.25">
      <c r="A538" s="9">
        <v>5360</v>
      </c>
      <c r="B538" s="10">
        <f>1-EXP(-((4*Параметры!$B$2/Параметры!$B$3*Параметры!$B$10*Параметры!$B$4)*(Параметры!$B$6*Параметры!$B$7/Параметры!$B$8*1E-24))*(A538*0.0000001)/SIN(RADIANS(Параметры!$B$9)))</f>
        <v>4.4212416964081402E-2</v>
      </c>
      <c r="C538" s="10">
        <f>1-EXP(-((4*Параметры!$B$2/Параметры!$B$3*Параметры!$B$10*Параметры!$B$5)*(Параметры!$B$6*Параметры!$B$7/Параметры!$B$8*1E-24))*(A538*0.0000001)/SIN(RADIANS(Параметры!$B$9)))</f>
        <v>0.18412010996282557</v>
      </c>
    </row>
    <row r="539" spans="1:3" ht="15.75" x14ac:dyDescent="0.25">
      <c r="A539" s="9">
        <v>5370</v>
      </c>
      <c r="B539" s="10">
        <f>1-EXP(-((4*Параметры!$B$2/Параметры!$B$3*Параметры!$B$10*Параметры!$B$4)*(Параметры!$B$6*Параметры!$B$7/Параметры!$B$8*1E-24))*(A539*0.0000001)/SIN(RADIANS(Параметры!$B$9)))</f>
        <v>4.4293048482555109E-2</v>
      </c>
      <c r="C539" s="10">
        <f>1-EXP(-((4*Параметры!$B$2/Параметры!$B$3*Параметры!$B$10*Параметры!$B$5)*(Параметры!$B$6*Параметры!$B$7/Параметры!$B$8*1E-24))*(A539*0.0000001)/SIN(RADIANS(Параметры!$B$9)))</f>
        <v>0.18442979347289645</v>
      </c>
    </row>
    <row r="540" spans="1:3" ht="15.75" x14ac:dyDescent="0.25">
      <c r="A540" s="9">
        <v>5380</v>
      </c>
      <c r="B540" s="10">
        <f>1-EXP(-((4*Параметры!$B$2/Параметры!$B$3*Параметры!$B$10*Параметры!$B$4)*(Параметры!$B$6*Параметры!$B$7/Параметры!$B$8*1E-24))*(A540*0.0000001)/SIN(RADIANS(Параметры!$B$9)))</f>
        <v>4.4373673198846109E-2</v>
      </c>
      <c r="C540" s="10">
        <f>1-EXP(-((4*Параметры!$B$2/Параметры!$B$3*Параметры!$B$10*Параметры!$B$5)*(Параметры!$B$6*Параметры!$B$7/Параметры!$B$8*1E-24))*(A540*0.0000001)/SIN(RADIANS(Параметры!$B$9)))</f>
        <v>0.18473935943640485</v>
      </c>
    </row>
    <row r="541" spans="1:3" ht="15.75" x14ac:dyDescent="0.25">
      <c r="A541" s="9">
        <v>5390</v>
      </c>
      <c r="B541" s="10">
        <f>1-EXP(-((4*Параметры!$B$2/Параметры!$B$3*Параметры!$B$10*Параметры!$B$4)*(Параметры!$B$6*Параметры!$B$7/Параметры!$B$8*1E-24))*(A541*0.0000001)/SIN(RADIANS(Параметры!$B$9)))</f>
        <v>4.4454291113528277E-2</v>
      </c>
      <c r="C541" s="10">
        <f>1-EXP(-((4*Параметры!$B$2/Параметры!$B$3*Параметры!$B$10*Параметры!$B$5)*(Параметры!$B$6*Параметры!$B$7/Параметры!$B$8*1E-24))*(A541*0.0000001)/SIN(RADIANS(Параметры!$B$9)))</f>
        <v>0.18504880789796807</v>
      </c>
    </row>
    <row r="542" spans="1:3" ht="15.75" x14ac:dyDescent="0.25">
      <c r="A542" s="9">
        <v>5400</v>
      </c>
      <c r="B542" s="10">
        <f>1-EXP(-((4*Параметры!$B$2/Параметры!$B$3*Параметры!$B$10*Параметры!$B$4)*(Параметры!$B$6*Параметры!$B$7/Параметры!$B$8*1E-24))*(A542*0.0000001)/SIN(RADIANS(Параметры!$B$9)))</f>
        <v>4.4534902227175377E-2</v>
      </c>
      <c r="C542" s="10">
        <f>1-EXP(-((4*Параметры!$B$2/Параметры!$B$3*Параметры!$B$10*Параметры!$B$5)*(Параметры!$B$6*Параметры!$B$7/Параметры!$B$8*1E-24))*(A542*0.0000001)/SIN(RADIANS(Параметры!$B$9)))</f>
        <v>0.18535813890218622</v>
      </c>
    </row>
    <row r="543" spans="1:3" ht="15.75" x14ac:dyDescent="0.25">
      <c r="A543" s="9">
        <v>5410</v>
      </c>
      <c r="B543" s="10">
        <f>1-EXP(-((4*Параметры!$B$2/Параметры!$B$3*Параметры!$B$10*Параметры!$B$4)*(Параметры!$B$6*Параметры!$B$7/Параметры!$B$8*1E-24))*(A543*0.0000001)/SIN(RADIANS(Параметры!$B$9)))</f>
        <v>4.4615506540361061E-2</v>
      </c>
      <c r="C543" s="10">
        <f>1-EXP(-((4*Параметры!$B$2/Параметры!$B$3*Параметры!$B$10*Параметры!$B$5)*(Параметры!$B$6*Параметры!$B$7/Параметры!$B$8*1E-24))*(A543*0.0000001)/SIN(RADIANS(Параметры!$B$9)))</f>
        <v>0.18566735249364252</v>
      </c>
    </row>
    <row r="544" spans="1:3" ht="15.75" x14ac:dyDescent="0.25">
      <c r="A544" s="9">
        <v>5420</v>
      </c>
      <c r="B544" s="10">
        <f>1-EXP(-((4*Параметры!$B$2/Параметры!$B$3*Параметры!$B$10*Параметры!$B$4)*(Параметры!$B$6*Параметры!$B$7/Параметры!$B$8*1E-24))*(A544*0.0000001)/SIN(RADIANS(Параметры!$B$9)))</f>
        <v>4.4696104053659202E-2</v>
      </c>
      <c r="C544" s="10">
        <f>1-EXP(-((4*Параметры!$B$2/Параметры!$B$3*Параметры!$B$10*Параметры!$B$5)*(Параметры!$B$6*Параметры!$B$7/Параметры!$B$8*1E-24))*(A544*0.0000001)/SIN(RADIANS(Параметры!$B$9)))</f>
        <v>0.18597644871690355</v>
      </c>
    </row>
    <row r="545" spans="1:3" ht="15.75" x14ac:dyDescent="0.25">
      <c r="A545" s="9">
        <v>5430</v>
      </c>
      <c r="B545" s="10">
        <f>1-EXP(-((4*Параметры!$B$2/Параметры!$B$3*Параметры!$B$10*Параметры!$B$4)*(Параметры!$B$6*Параметры!$B$7/Параметры!$B$8*1E-24))*(A545*0.0000001)/SIN(RADIANS(Параметры!$B$9)))</f>
        <v>4.4776694767643344E-2</v>
      </c>
      <c r="C545" s="10">
        <f>1-EXP(-((4*Параметры!$B$2/Параметры!$B$3*Параметры!$B$10*Параметры!$B$5)*(Параметры!$B$6*Параметры!$B$7/Параметры!$B$8*1E-24))*(A545*0.0000001)/SIN(RADIANS(Параметры!$B$9)))</f>
        <v>0.18628542761651856</v>
      </c>
    </row>
    <row r="546" spans="1:3" ht="15.75" x14ac:dyDescent="0.25">
      <c r="A546" s="9">
        <v>5440</v>
      </c>
      <c r="B546" s="10">
        <f>1-EXP(-((4*Параметры!$B$2/Параметры!$B$3*Параметры!$B$10*Параметры!$B$4)*(Параметры!$B$6*Параметры!$B$7/Параметры!$B$8*1E-24))*(A546*0.0000001)/SIN(RADIANS(Параметры!$B$9)))</f>
        <v>4.4857278682887136E-2</v>
      </c>
      <c r="C546" s="10">
        <f>1-EXP(-((4*Параметры!$B$2/Параметры!$B$3*Параметры!$B$10*Параметры!$B$5)*(Параметры!$B$6*Параметры!$B$7/Параметры!$B$8*1E-24))*(A546*0.0000001)/SIN(RADIANS(Параметры!$B$9)))</f>
        <v>0.18659428923702015</v>
      </c>
    </row>
    <row r="547" spans="1:3" ht="15.75" x14ac:dyDescent="0.25">
      <c r="A547" s="9">
        <v>5450</v>
      </c>
      <c r="B547" s="10">
        <f>1-EXP(-((4*Параметры!$B$2/Параметры!$B$3*Параметры!$B$10*Параметры!$B$4)*(Параметры!$B$6*Параметры!$B$7/Параметры!$B$8*1E-24))*(A547*0.0000001)/SIN(RADIANS(Параметры!$B$9)))</f>
        <v>4.493785579996401E-2</v>
      </c>
      <c r="C547" s="10">
        <f>1-EXP(-((4*Параметры!$B$2/Параметры!$B$3*Параметры!$B$10*Параметры!$B$5)*(Параметры!$B$6*Параметры!$B$7/Параметры!$B$8*1E-24))*(A547*0.0000001)/SIN(RADIANS(Параметры!$B$9)))</f>
        <v>0.18690303362292393</v>
      </c>
    </row>
    <row r="548" spans="1:3" ht="15.75" x14ac:dyDescent="0.25">
      <c r="A548" s="9">
        <v>5460</v>
      </c>
      <c r="B548" s="10">
        <f>1-EXP(-((4*Параметры!$B$2/Параметры!$B$3*Параметры!$B$10*Параметры!$B$4)*(Параметры!$B$6*Параметры!$B$7/Параметры!$B$8*1E-24))*(A548*0.0000001)/SIN(RADIANS(Параметры!$B$9)))</f>
        <v>4.5018426119447619E-2</v>
      </c>
      <c r="C548" s="10">
        <f>1-EXP(-((4*Параметры!$B$2/Параметры!$B$3*Параметры!$B$10*Параметры!$B$5)*(Параметры!$B$6*Параметры!$B$7/Параметры!$B$8*1E-24))*(A548*0.0000001)/SIN(RADIANS(Параметры!$B$9)))</f>
        <v>0.18721166081872853</v>
      </c>
    </row>
    <row r="549" spans="1:3" ht="15.75" x14ac:dyDescent="0.25">
      <c r="A549" s="9">
        <v>5470</v>
      </c>
      <c r="B549" s="10">
        <f>1-EXP(-((4*Параметры!$B$2/Параметры!$B$3*Параметры!$B$10*Параметры!$B$4)*(Параметры!$B$6*Параметры!$B$7/Параметры!$B$8*1E-24))*(A549*0.0000001)/SIN(RADIANS(Параметры!$B$9)))</f>
        <v>4.509898964191128E-2</v>
      </c>
      <c r="C549" s="10">
        <f>1-EXP(-((4*Параметры!$B$2/Параметры!$B$3*Параметры!$B$10*Параметры!$B$5)*(Параметры!$B$6*Параметры!$B$7/Параметры!$B$8*1E-24))*(A549*0.0000001)/SIN(RADIANS(Параметры!$B$9)))</f>
        <v>0.18752017086891604</v>
      </c>
    </row>
    <row r="550" spans="1:3" ht="15.75" x14ac:dyDescent="0.25">
      <c r="A550" s="9">
        <v>5480</v>
      </c>
      <c r="B550" s="10">
        <f>1-EXP(-((4*Параметры!$B$2/Параметры!$B$3*Параметры!$B$10*Параметры!$B$4)*(Параметры!$B$6*Параметры!$B$7/Параметры!$B$8*1E-24))*(A550*0.0000001)/SIN(RADIANS(Параметры!$B$9)))</f>
        <v>4.5179546367928536E-2</v>
      </c>
      <c r="C550" s="10">
        <f>1-EXP(-((4*Параметры!$B$2/Параметры!$B$3*Параметры!$B$10*Параметры!$B$5)*(Параметры!$B$6*Параметры!$B$7/Параметры!$B$8*1E-24))*(A550*0.0000001)/SIN(RADIANS(Параметры!$B$9)))</f>
        <v>0.18782856381795132</v>
      </c>
    </row>
    <row r="551" spans="1:3" ht="15.75" x14ac:dyDescent="0.25">
      <c r="A551" s="9">
        <v>5490</v>
      </c>
      <c r="B551" s="10">
        <f>1-EXP(-((4*Параметры!$B$2/Параметры!$B$3*Параметры!$B$10*Параметры!$B$4)*(Параметры!$B$6*Параметры!$B$7/Параметры!$B$8*1E-24))*(A551*0.0000001)/SIN(RADIANS(Параметры!$B$9)))</f>
        <v>4.5260096298072594E-2</v>
      </c>
      <c r="C551" s="10">
        <f>1-EXP(-((4*Параметры!$B$2/Параметры!$B$3*Параметры!$B$10*Параметры!$B$5)*(Параметры!$B$6*Параметры!$B$7/Параметры!$B$8*1E-24))*(A551*0.0000001)/SIN(RADIANS(Параметры!$B$9)))</f>
        <v>0.18813683971028228</v>
      </c>
    </row>
    <row r="552" spans="1:3" ht="15.75" x14ac:dyDescent="0.25">
      <c r="A552" s="9">
        <v>5500</v>
      </c>
      <c r="B552" s="10">
        <f>1-EXP(-((4*Параметры!$B$2/Параметры!$B$3*Параметры!$B$10*Параметры!$B$4)*(Параметры!$B$6*Параметры!$B$7/Параметры!$B$8*1E-24))*(A552*0.0000001)/SIN(RADIANS(Параметры!$B$9)))</f>
        <v>4.5340639432916885E-2</v>
      </c>
      <c r="C552" s="10">
        <f>1-EXP(-((4*Параметры!$B$2/Параметры!$B$3*Параметры!$B$10*Параметры!$B$5)*(Параметры!$B$6*Параметры!$B$7/Параметры!$B$8*1E-24))*(A552*0.0000001)/SIN(RADIANS(Параметры!$B$9)))</f>
        <v>0.18844499859034036</v>
      </c>
    </row>
    <row r="553" spans="1:3" ht="15.75" x14ac:dyDescent="0.25">
      <c r="A553" s="9">
        <v>5510</v>
      </c>
      <c r="B553" s="10">
        <f>1-EXP(-((4*Параметры!$B$2/Параметры!$B$3*Параметры!$B$10*Параметры!$B$4)*(Параметры!$B$6*Параметры!$B$7/Параметры!$B$8*1E-24))*(A553*0.0000001)/SIN(RADIANS(Параметры!$B$9)))</f>
        <v>4.5421175773034617E-2</v>
      </c>
      <c r="C553" s="10">
        <f>1-EXP(-((4*Параметры!$B$2/Параметры!$B$3*Параметры!$B$10*Параметры!$B$5)*(Параметры!$B$6*Параметры!$B$7/Параметры!$B$8*1E-24))*(A553*0.0000001)/SIN(RADIANS(Параметры!$B$9)))</f>
        <v>0.18875304050253972</v>
      </c>
    </row>
    <row r="554" spans="1:3" ht="15.75" x14ac:dyDescent="0.25">
      <c r="A554" s="9">
        <v>5520</v>
      </c>
      <c r="B554" s="10">
        <f>1-EXP(-((4*Параметры!$B$2/Параметры!$B$3*Параметры!$B$10*Параметры!$B$4)*(Параметры!$B$6*Параметры!$B$7/Параметры!$B$8*1E-24))*(A554*0.0000001)/SIN(RADIANS(Параметры!$B$9)))</f>
        <v>4.5501705318998997E-2</v>
      </c>
      <c r="C554" s="10">
        <f>1-EXP(-((4*Параметры!$B$2/Параметры!$B$3*Параметры!$B$10*Параметры!$B$5)*(Параметры!$B$6*Параметры!$B$7/Параметры!$B$8*1E-24))*(A554*0.0000001)/SIN(RADIANS(Параметры!$B$9)))</f>
        <v>0.18906096549127804</v>
      </c>
    </row>
    <row r="555" spans="1:3" ht="15.75" x14ac:dyDescent="0.25">
      <c r="A555" s="9">
        <v>5530</v>
      </c>
      <c r="B555" s="10">
        <f>1-EXP(-((4*Параметры!$B$2/Параметры!$B$3*Параметры!$B$10*Параметры!$B$4)*(Параметры!$B$6*Параметры!$B$7/Параметры!$B$8*1E-24))*(A555*0.0000001)/SIN(RADIANS(Параметры!$B$9)))</f>
        <v>4.5582228071383235E-2</v>
      </c>
      <c r="C555" s="10">
        <f>1-EXP(-((4*Параметры!$B$2/Параметры!$B$3*Параметры!$B$10*Параметры!$B$5)*(Параметры!$B$6*Параметры!$B$7/Параметры!$B$8*1E-24))*(A555*0.0000001)/SIN(RADIANS(Параметры!$B$9)))</f>
        <v>0.18936877360093585</v>
      </c>
    </row>
    <row r="556" spans="1:3" ht="15.75" x14ac:dyDescent="0.25">
      <c r="A556" s="9">
        <v>5540</v>
      </c>
      <c r="B556" s="10">
        <f>1-EXP(-((4*Параметры!$B$2/Параметры!$B$3*Параметры!$B$10*Параметры!$B$4)*(Параметры!$B$6*Параметры!$B$7/Параметры!$B$8*1E-24))*(A556*0.0000001)/SIN(RADIANS(Параметры!$B$9)))</f>
        <v>4.5662744030760427E-2</v>
      </c>
      <c r="C556" s="10">
        <f>1-EXP(-((4*Параметры!$B$2/Параметры!$B$3*Параметры!$B$10*Параметры!$B$5)*(Параметры!$B$6*Параметры!$B$7/Параметры!$B$8*1E-24))*(A556*0.0000001)/SIN(RADIANS(Параметры!$B$9)))</f>
        <v>0.18967646487587686</v>
      </c>
    </row>
    <row r="557" spans="1:3" ht="15.75" x14ac:dyDescent="0.25">
      <c r="A557" s="9">
        <v>5550</v>
      </c>
      <c r="B557" s="10">
        <f>1-EXP(-((4*Параметры!$B$2/Параметры!$B$3*Параметры!$B$10*Параметры!$B$4)*(Параметры!$B$6*Параметры!$B$7/Параметры!$B$8*1E-24))*(A557*0.0000001)/SIN(RADIANS(Параметры!$B$9)))</f>
        <v>4.5743253197703559E-2</v>
      </c>
      <c r="C557" s="10">
        <f>1-EXP(-((4*Параметры!$B$2/Параметры!$B$3*Параметры!$B$10*Параметры!$B$5)*(Параметры!$B$6*Параметры!$B$7/Параметры!$B$8*1E-24))*(A557*0.0000001)/SIN(RADIANS(Параметры!$B$9)))</f>
        <v>0.18998403936044816</v>
      </c>
    </row>
    <row r="558" spans="1:3" ht="15.75" x14ac:dyDescent="0.25">
      <c r="A558" s="9">
        <v>5560</v>
      </c>
      <c r="B558" s="10">
        <f>1-EXP(-((4*Параметры!$B$2/Параметры!$B$3*Параметры!$B$10*Параметры!$B$4)*(Параметры!$B$6*Параметры!$B$7/Параметры!$B$8*1E-24))*(A558*0.0000001)/SIN(RADIANS(Параметры!$B$9)))</f>
        <v>4.582375557278584E-2</v>
      </c>
      <c r="C558" s="10">
        <f>1-EXP(-((4*Параметры!$B$2/Параметры!$B$3*Параметры!$B$10*Параметры!$B$5)*(Параметры!$B$6*Параметры!$B$7/Параметры!$B$8*1E-24))*(A558*0.0000001)/SIN(RADIANS(Параметры!$B$9)))</f>
        <v>0.19029149709897986</v>
      </c>
    </row>
    <row r="559" spans="1:3" ht="15.75" x14ac:dyDescent="0.25">
      <c r="A559" s="9">
        <v>5570</v>
      </c>
      <c r="B559" s="10">
        <f>1-EXP(-((4*Параметры!$B$2/Параметры!$B$3*Параметры!$B$10*Параметры!$B$4)*(Параметры!$B$6*Параметры!$B$7/Параметры!$B$8*1E-24))*(A559*0.0000001)/SIN(RADIANS(Параметры!$B$9)))</f>
        <v>4.5904251156580034E-2</v>
      </c>
      <c r="C559" s="10">
        <f>1-EXP(-((4*Параметры!$B$2/Параметры!$B$3*Параметры!$B$10*Параметры!$B$5)*(Параметры!$B$6*Параметры!$B$7/Параметры!$B$8*1E-24))*(A559*0.0000001)/SIN(RADIANS(Параметры!$B$9)))</f>
        <v>0.19059883813578515</v>
      </c>
    </row>
    <row r="560" spans="1:3" ht="15.75" x14ac:dyDescent="0.25">
      <c r="A560" s="9">
        <v>5580</v>
      </c>
      <c r="B560" s="10">
        <f>1-EXP(-((4*Параметры!$B$2/Параметры!$B$3*Параметры!$B$10*Параметры!$B$4)*(Параметры!$B$6*Параметры!$B$7/Параметры!$B$8*1E-24))*(A560*0.0000001)/SIN(RADIANS(Параметры!$B$9)))</f>
        <v>4.5984739949659126E-2</v>
      </c>
      <c r="C560" s="10">
        <f>1-EXP(-((4*Параметры!$B$2/Параметры!$B$3*Параметры!$B$10*Параметры!$B$5)*(Параметры!$B$6*Параметры!$B$7/Параметры!$B$8*1E-24))*(A560*0.0000001)/SIN(RADIANS(Параметры!$B$9)))</f>
        <v>0.19090606251516051</v>
      </c>
    </row>
    <row r="561" spans="1:3" ht="15.75" x14ac:dyDescent="0.25">
      <c r="A561" s="9">
        <v>5590</v>
      </c>
      <c r="B561" s="10">
        <f>1-EXP(-((4*Параметры!$B$2/Параметры!$B$3*Параметры!$B$10*Параметры!$B$4)*(Параметры!$B$6*Параметры!$B$7/Параметры!$B$8*1E-24))*(A561*0.0000001)/SIN(RADIANS(Параметры!$B$9)))</f>
        <v>4.6065221952596103E-2</v>
      </c>
      <c r="C561" s="10">
        <f>1-EXP(-((4*Параметры!$B$2/Параметры!$B$3*Параметры!$B$10*Параметры!$B$5)*(Параметры!$B$6*Параметры!$B$7/Параметры!$B$8*1E-24))*(A561*0.0000001)/SIN(RADIANS(Параметры!$B$9)))</f>
        <v>0.19121317028138562</v>
      </c>
    </row>
    <row r="562" spans="1:3" ht="15.75" x14ac:dyDescent="0.25">
      <c r="A562" s="9">
        <v>5600</v>
      </c>
      <c r="B562" s="10">
        <f>1-EXP(-((4*Параметры!$B$2/Параметры!$B$3*Параметры!$B$10*Параметры!$B$4)*(Параметры!$B$6*Параметры!$B$7/Параметры!$B$8*1E-24))*(A562*0.0000001)/SIN(RADIANS(Параметры!$B$9)))</f>
        <v>4.6145697165963617E-2</v>
      </c>
      <c r="C562" s="10">
        <f>1-EXP(-((4*Параметры!$B$2/Параметры!$B$3*Параметры!$B$10*Параметры!$B$5)*(Параметры!$B$6*Параметры!$B$7/Параметры!$B$8*1E-24))*(A562*0.0000001)/SIN(RADIANS(Параметры!$B$9)))</f>
        <v>0.19152016147872342</v>
      </c>
    </row>
    <row r="563" spans="1:3" ht="15.75" x14ac:dyDescent="0.25">
      <c r="A563" s="9">
        <v>5610</v>
      </c>
      <c r="B563" s="10">
        <f>1-EXP(-((4*Параметры!$B$2/Параметры!$B$3*Параметры!$B$10*Параметры!$B$4)*(Параметры!$B$6*Параметры!$B$7/Параметры!$B$8*1E-24))*(A563*0.0000001)/SIN(RADIANS(Параметры!$B$9)))</f>
        <v>4.6226165590334545E-2</v>
      </c>
      <c r="C563" s="10">
        <f>1-EXP(-((4*Параметры!$B$2/Параметры!$B$3*Параметры!$B$10*Параметры!$B$5)*(Параметры!$B$6*Параметры!$B$7/Параметры!$B$8*1E-24))*(A563*0.0000001)/SIN(RADIANS(Параметры!$B$9)))</f>
        <v>0.19182703615141994</v>
      </c>
    </row>
    <row r="564" spans="1:3" ht="15.75" x14ac:dyDescent="0.25">
      <c r="A564" s="9">
        <v>5620</v>
      </c>
      <c r="B564" s="10">
        <f>1-EXP(-((4*Параметры!$B$2/Параметры!$B$3*Параметры!$B$10*Параметры!$B$4)*(Параметры!$B$6*Параметры!$B$7/Параметры!$B$8*1E-24))*(A564*0.0000001)/SIN(RADIANS(Параметры!$B$9)))</f>
        <v>4.6306627226281649E-2</v>
      </c>
      <c r="C564" s="10">
        <f>1-EXP(-((4*Параметры!$B$2/Параметры!$B$3*Параметры!$B$10*Параметры!$B$5)*(Параметры!$B$6*Параметры!$B$7/Параметры!$B$8*1E-24))*(A564*0.0000001)/SIN(RADIANS(Параметры!$B$9)))</f>
        <v>0.19213379434370437</v>
      </c>
    </row>
    <row r="565" spans="1:3" ht="15.75" x14ac:dyDescent="0.25">
      <c r="A565" s="9">
        <v>5630</v>
      </c>
      <c r="B565" s="10">
        <f>1-EXP(-((4*Параметры!$B$2/Параметры!$B$3*Параметры!$B$10*Параметры!$B$4)*(Параметры!$B$6*Параметры!$B$7/Параметры!$B$8*1E-24))*(A565*0.0000001)/SIN(RADIANS(Параметры!$B$9)))</f>
        <v>4.6387082074377473E-2</v>
      </c>
      <c r="C565" s="10">
        <f>1-EXP(-((4*Параметры!$B$2/Параметры!$B$3*Параметры!$B$10*Параметры!$B$5)*(Параметры!$B$6*Параметры!$B$7/Параметры!$B$8*1E-24))*(A565*0.0000001)/SIN(RADIANS(Параметры!$B$9)))</f>
        <v>0.19244043609978911</v>
      </c>
    </row>
    <row r="566" spans="1:3" ht="15.75" x14ac:dyDescent="0.25">
      <c r="A566" s="9">
        <v>5640</v>
      </c>
      <c r="B566" s="10">
        <f>1-EXP(-((4*Параметры!$B$2/Параметры!$B$3*Параметры!$B$10*Параметры!$B$4)*(Параметры!$B$6*Параметры!$B$7/Параметры!$B$8*1E-24))*(A566*0.0000001)/SIN(RADIANS(Параметры!$B$9)))</f>
        <v>4.646753013519489E-2</v>
      </c>
      <c r="C566" s="10">
        <f>1-EXP(-((4*Параметры!$B$2/Параметры!$B$3*Параметры!$B$10*Параметры!$B$5)*(Параметры!$B$6*Параметры!$B$7/Параметры!$B$8*1E-24))*(A566*0.0000001)/SIN(RADIANS(Параметры!$B$9)))</f>
        <v>0.19274696146386994</v>
      </c>
    </row>
    <row r="567" spans="1:3" ht="15.75" x14ac:dyDescent="0.25">
      <c r="A567" s="9">
        <v>5650</v>
      </c>
      <c r="B567" s="10">
        <f>1-EXP(-((4*Параметры!$B$2/Параметры!$B$3*Параметры!$B$10*Параметры!$B$4)*(Параметры!$B$6*Параметры!$B$7/Параметры!$B$8*1E-24))*(A567*0.0000001)/SIN(RADIANS(Параметры!$B$9)))</f>
        <v>4.6547971409306221E-2</v>
      </c>
      <c r="C567" s="10">
        <f>1-EXP(-((4*Параметры!$B$2/Параметры!$B$3*Параметры!$B$10*Параметры!$B$5)*(Параметры!$B$6*Параметры!$B$7/Параметры!$B$8*1E-24))*(A567*0.0000001)/SIN(RADIANS(Параметры!$B$9)))</f>
        <v>0.19305337048012583</v>
      </c>
    </row>
    <row r="568" spans="1:3" ht="15.75" x14ac:dyDescent="0.25">
      <c r="A568" s="9">
        <v>5660</v>
      </c>
      <c r="B568" s="10">
        <f>1-EXP(-((4*Параметры!$B$2/Параметры!$B$3*Параметры!$B$10*Параметры!$B$4)*(Параметры!$B$6*Параметры!$B$7/Параметры!$B$8*1E-24))*(A568*0.0000001)/SIN(RADIANS(Параметры!$B$9)))</f>
        <v>4.662840589728412E-2</v>
      </c>
      <c r="C568" s="10">
        <f>1-EXP(-((4*Параметры!$B$2/Параметры!$B$3*Параметры!$B$10*Параметры!$B$5)*(Параметры!$B$6*Параметры!$B$7/Параметры!$B$8*1E-24))*(A568*0.0000001)/SIN(RADIANS(Параметры!$B$9)))</f>
        <v>0.19335966319271891</v>
      </c>
    </row>
    <row r="569" spans="1:3" ht="15.75" x14ac:dyDescent="0.25">
      <c r="A569" s="9">
        <v>5670</v>
      </c>
      <c r="B569" s="10">
        <f>1-EXP(-((4*Параметры!$B$2/Параметры!$B$3*Параметры!$B$10*Параметры!$B$4)*(Параметры!$B$6*Параметры!$B$7/Параметры!$B$8*1E-24))*(A569*0.0000001)/SIN(RADIANS(Параметры!$B$9)))</f>
        <v>4.6708833599701016E-2</v>
      </c>
      <c r="C569" s="10">
        <f>1-EXP(-((4*Параметры!$B$2/Параметры!$B$3*Параметры!$B$10*Параметры!$B$5)*(Параметры!$B$6*Параметры!$B$7/Параметры!$B$8*1E-24))*(A569*0.0000001)/SIN(RADIANS(Параметры!$B$9)))</f>
        <v>0.19366583964579442</v>
      </c>
    </row>
    <row r="570" spans="1:3" ht="15.75" x14ac:dyDescent="0.25">
      <c r="A570" s="9">
        <v>5680</v>
      </c>
      <c r="B570" s="10">
        <f>1-EXP(-((4*Параметры!$B$2/Параметры!$B$3*Параметры!$B$10*Параметры!$B$4)*(Параметры!$B$6*Параметры!$B$7/Параметры!$B$8*1E-24))*(A570*0.0000001)/SIN(RADIANS(Параметры!$B$9)))</f>
        <v>4.6789254517129453E-2</v>
      </c>
      <c r="C570" s="10">
        <f>1-EXP(-((4*Параметры!$B$2/Параметры!$B$3*Параметры!$B$10*Параметры!$B$5)*(Параметры!$B$6*Параметры!$B$7/Параметры!$B$8*1E-24))*(A570*0.0000001)/SIN(RADIANS(Параметры!$B$9)))</f>
        <v>0.19397189988348096</v>
      </c>
    </row>
    <row r="571" spans="1:3" ht="15.75" x14ac:dyDescent="0.25">
      <c r="A571" s="9">
        <v>5690</v>
      </c>
      <c r="B571" s="10">
        <f>1-EXP(-((4*Параметры!$B$2/Параметры!$B$3*Параметры!$B$10*Параметры!$B$4)*(Параметры!$B$6*Параметры!$B$7/Параметры!$B$8*1E-24))*(A571*0.0000001)/SIN(RADIANS(Параметры!$B$9)))</f>
        <v>4.6869668650141749E-2</v>
      </c>
      <c r="C571" s="10">
        <f>1-EXP(-((4*Параметры!$B$2/Параметры!$B$3*Параметры!$B$10*Параметры!$B$5)*(Параметры!$B$6*Параметры!$B$7/Параметры!$B$8*1E-24))*(A571*0.0000001)/SIN(RADIANS(Параметры!$B$9)))</f>
        <v>0.19427784394989067</v>
      </c>
    </row>
    <row r="572" spans="1:3" ht="15.75" x14ac:dyDescent="0.25">
      <c r="A572" s="9">
        <v>5700</v>
      </c>
      <c r="B572" s="10">
        <f>1-EXP(-((4*Параметры!$B$2/Параметры!$B$3*Параметры!$B$10*Параметры!$B$4)*(Параметры!$B$6*Параметры!$B$7/Параметры!$B$8*1E-24))*(A572*0.0000001)/SIN(RADIANS(Параметры!$B$9)))</f>
        <v>4.6950075999310337E-2</v>
      </c>
      <c r="C572" s="10">
        <f>1-EXP(-((4*Параметры!$B$2/Параметры!$B$3*Параметры!$B$10*Параметры!$B$5)*(Параметры!$B$6*Параметры!$B$7/Параметры!$B$8*1E-24))*(A572*0.0000001)/SIN(RADIANS(Параметры!$B$9)))</f>
        <v>0.1945836718891184</v>
      </c>
    </row>
    <row r="573" spans="1:3" ht="15.75" x14ac:dyDescent="0.25">
      <c r="A573" s="9">
        <v>5710</v>
      </c>
      <c r="B573" s="10">
        <f>1-EXP(-((4*Параметры!$B$2/Параметры!$B$3*Параметры!$B$10*Параметры!$B$4)*(Параметры!$B$6*Параметры!$B$7/Параметры!$B$8*1E-24))*(A573*0.0000001)/SIN(RADIANS(Параметры!$B$9)))</f>
        <v>4.7030476565207424E-2</v>
      </c>
      <c r="C573" s="10">
        <f>1-EXP(-((4*Параметры!$B$2/Параметры!$B$3*Параметры!$B$10*Параметры!$B$5)*(Параметры!$B$6*Параметры!$B$7/Параметры!$B$8*1E-24))*(A573*0.0000001)/SIN(RADIANS(Параметры!$B$9)))</f>
        <v>0.19488938374524278</v>
      </c>
    </row>
    <row r="574" spans="1:3" ht="15.75" x14ac:dyDescent="0.25">
      <c r="A574" s="9">
        <v>5720</v>
      </c>
      <c r="B574" s="10">
        <f>1-EXP(-((4*Параметры!$B$2/Параметры!$B$3*Параметры!$B$10*Параметры!$B$4)*(Параметры!$B$6*Параметры!$B$7/Параметры!$B$8*1E-24))*(A574*0.0000001)/SIN(RADIANS(Параметры!$B$9)))</f>
        <v>4.711087034840522E-2</v>
      </c>
      <c r="C574" s="10">
        <f>1-EXP(-((4*Параметры!$B$2/Параметры!$B$3*Параметры!$B$10*Параметры!$B$5)*(Параметры!$B$6*Параметры!$B$7/Параметры!$B$8*1E-24))*(A574*0.0000001)/SIN(RADIANS(Параметры!$B$9)))</f>
        <v>0.19519497956232523</v>
      </c>
    </row>
    <row r="575" spans="1:3" ht="15.75" x14ac:dyDescent="0.25">
      <c r="A575" s="9">
        <v>5730</v>
      </c>
      <c r="B575" s="10">
        <f>1-EXP(-((4*Параметры!$B$2/Параметры!$B$3*Параметры!$B$10*Параметры!$B$4)*(Параметры!$B$6*Параметры!$B$7/Параметры!$B$8*1E-24))*(A575*0.0000001)/SIN(RADIANS(Параметры!$B$9)))</f>
        <v>4.7191257349475935E-2</v>
      </c>
      <c r="C575" s="10">
        <f>1-EXP(-((4*Параметры!$B$2/Параметры!$B$3*Параметры!$B$10*Параметры!$B$5)*(Параметры!$B$6*Параметры!$B$7/Параметры!$B$8*1E-24))*(A575*0.0000001)/SIN(RADIANS(Параметры!$B$9)))</f>
        <v>0.19550045938441085</v>
      </c>
    </row>
    <row r="576" spans="1:3" ht="15.75" x14ac:dyDescent="0.25">
      <c r="A576" s="9">
        <v>5740</v>
      </c>
      <c r="B576" s="10">
        <f>1-EXP(-((4*Параметры!$B$2/Параметры!$B$3*Параметры!$B$10*Параметры!$B$4)*(Параметры!$B$6*Параметры!$B$7/Параметры!$B$8*1E-24))*(A576*0.0000001)/SIN(RADIANS(Параметры!$B$9)))</f>
        <v>4.7271637568991776E-2</v>
      </c>
      <c r="C576" s="10">
        <f>1-EXP(-((4*Параметры!$B$2/Параметры!$B$3*Параметры!$B$10*Параметры!$B$5)*(Параметры!$B$6*Параметры!$B$7/Параметры!$B$8*1E-24))*(A576*0.0000001)/SIN(RADIANS(Параметры!$B$9)))</f>
        <v>0.19580582325552787</v>
      </c>
    </row>
    <row r="577" spans="1:3" ht="15.75" x14ac:dyDescent="0.25">
      <c r="A577" s="9">
        <v>5750</v>
      </c>
      <c r="B577" s="10">
        <f>1-EXP(-((4*Параметры!$B$2/Параметры!$B$3*Параметры!$B$10*Параметры!$B$4)*(Параметры!$B$6*Параметры!$B$7/Параметры!$B$8*1E-24))*(A577*0.0000001)/SIN(RADIANS(Параметры!$B$9)))</f>
        <v>4.7352011007524841E-2</v>
      </c>
      <c r="C577" s="10">
        <f>1-EXP(-((4*Параметры!$B$2/Параметры!$B$3*Параметры!$B$10*Параметры!$B$5)*(Параметры!$B$6*Параметры!$B$7/Параметры!$B$8*1E-24))*(A577*0.0000001)/SIN(RADIANS(Параметры!$B$9)))</f>
        <v>0.19611107121968763</v>
      </c>
    </row>
    <row r="578" spans="1:3" ht="15.75" x14ac:dyDescent="0.25">
      <c r="A578" s="9">
        <v>5760</v>
      </c>
      <c r="B578" s="10">
        <f>1-EXP(-((4*Параметры!$B$2/Параметры!$B$3*Параметры!$B$10*Параметры!$B$4)*(Параметры!$B$6*Параметры!$B$7/Параметры!$B$8*1E-24))*(A578*0.0000001)/SIN(RADIANS(Параметры!$B$9)))</f>
        <v>4.743237766564723E-2</v>
      </c>
      <c r="C578" s="10">
        <f>1-EXP(-((4*Параметры!$B$2/Параметры!$B$3*Параметры!$B$10*Параметры!$B$5)*(Параметры!$B$6*Параметры!$B$7/Параметры!$B$8*1E-24))*(A578*0.0000001)/SIN(RADIANS(Параметры!$B$9)))</f>
        <v>0.19641620332088505</v>
      </c>
    </row>
    <row r="579" spans="1:3" ht="15.75" x14ac:dyDescent="0.25">
      <c r="A579" s="9">
        <v>5770</v>
      </c>
      <c r="B579" s="10">
        <f>1-EXP(-((4*Параметры!$B$2/Параметры!$B$3*Параметры!$B$10*Параметры!$B$4)*(Параметры!$B$6*Параметры!$B$7/Параметры!$B$8*1E-24))*(A579*0.0000001)/SIN(RADIANS(Параметры!$B$9)))</f>
        <v>4.7512737543930816E-2</v>
      </c>
      <c r="C579" s="10">
        <f>1-EXP(-((4*Параметры!$B$2/Параметры!$B$3*Параметры!$B$10*Параметры!$B$5)*(Параметры!$B$6*Параметры!$B$7/Параметры!$B$8*1E-24))*(A579*0.0000001)/SIN(RADIANS(Параметры!$B$9)))</f>
        <v>0.1967212196030983</v>
      </c>
    </row>
    <row r="580" spans="1:3" ht="15.75" x14ac:dyDescent="0.25">
      <c r="A580" s="9">
        <v>5780</v>
      </c>
      <c r="B580" s="10">
        <f>1-EXP(-((4*Параметры!$B$2/Параметры!$B$3*Параметры!$B$10*Параметры!$B$4)*(Параметры!$B$6*Параметры!$B$7/Параметры!$B$8*1E-24))*(A580*0.0000001)/SIN(RADIANS(Параметры!$B$9)))</f>
        <v>4.7593090642947589E-2</v>
      </c>
      <c r="C580" s="10">
        <f>1-EXP(-((4*Параметры!$B$2/Параметры!$B$3*Параметры!$B$10*Параметры!$B$5)*(Параметры!$B$6*Параметры!$B$7/Параметры!$B$8*1E-24))*(A580*0.0000001)/SIN(RADIANS(Параметры!$B$9)))</f>
        <v>0.19702612011028864</v>
      </c>
    </row>
    <row r="581" spans="1:3" ht="15.75" x14ac:dyDescent="0.25">
      <c r="A581" s="9">
        <v>5790</v>
      </c>
      <c r="B581" s="10">
        <f>1-EXP(-((4*Параметры!$B$2/Параметры!$B$3*Параметры!$B$10*Параметры!$B$4)*(Параметры!$B$6*Параметры!$B$7/Параметры!$B$8*1E-24))*(A581*0.0000001)/SIN(RADIANS(Параметры!$B$9)))</f>
        <v>4.7673436963269533E-2</v>
      </c>
      <c r="C581" s="10">
        <f>1-EXP(-((4*Параметры!$B$2/Параметры!$B$3*Параметры!$B$10*Параметры!$B$5)*(Параметры!$B$6*Параметры!$B$7/Параметры!$B$8*1E-24))*(A581*0.0000001)/SIN(RADIANS(Параметры!$B$9)))</f>
        <v>0.19733090488640093</v>
      </c>
    </row>
    <row r="582" spans="1:3" ht="15.75" x14ac:dyDescent="0.25">
      <c r="A582" s="9">
        <v>5800</v>
      </c>
      <c r="B582" s="10">
        <f>1-EXP(-((4*Параметры!$B$2/Параметры!$B$3*Параметры!$B$10*Параметры!$B$4)*(Параметры!$B$6*Параметры!$B$7/Параметры!$B$8*1E-24))*(A582*0.0000001)/SIN(RADIANS(Параметры!$B$9)))</f>
        <v>4.7753776505468526E-2</v>
      </c>
      <c r="C582" s="10">
        <f>1-EXP(-((4*Параметры!$B$2/Параметры!$B$3*Параметры!$B$10*Параметры!$B$5)*(Параметры!$B$6*Параметры!$B$7/Параметры!$B$8*1E-24))*(A582*0.0000001)/SIN(RADIANS(Параметры!$B$9)))</f>
        <v>0.19763557397536302</v>
      </c>
    </row>
    <row r="583" spans="1:3" ht="15.75" x14ac:dyDescent="0.25">
      <c r="A583" s="9">
        <v>5810</v>
      </c>
      <c r="B583" s="10">
        <f>1-EXP(-((4*Параметры!$B$2/Параметры!$B$3*Параметры!$B$10*Параметры!$B$4)*(Параметры!$B$6*Параметры!$B$7/Параметры!$B$8*1E-24))*(A583*0.0000001)/SIN(RADIANS(Параметры!$B$9)))</f>
        <v>4.7834109270116221E-2</v>
      </c>
      <c r="C583" s="10">
        <f>1-EXP(-((4*Параметры!$B$2/Параметры!$B$3*Параметры!$B$10*Параметры!$B$5)*(Параметры!$B$6*Параметры!$B$7/Параметры!$B$8*1E-24))*(A583*0.0000001)/SIN(RADIANS(Параметры!$B$9)))</f>
        <v>0.19794012742108658</v>
      </c>
    </row>
    <row r="584" spans="1:3" ht="15.75" x14ac:dyDescent="0.25">
      <c r="A584" s="9">
        <v>5820</v>
      </c>
      <c r="B584" s="10">
        <f>1-EXP(-((4*Параметры!$B$2/Параметры!$B$3*Параметры!$B$10*Параметры!$B$4)*(Параметры!$B$6*Параметры!$B$7/Параметры!$B$8*1E-24))*(A584*0.0000001)/SIN(RADIANS(Параметры!$B$9)))</f>
        <v>4.7914435257784493E-2</v>
      </c>
      <c r="C584" s="10">
        <f>1-EXP(-((4*Параметры!$B$2/Параметры!$B$3*Параметры!$B$10*Параметры!$B$5)*(Параметры!$B$6*Параметры!$B$7/Параметры!$B$8*1E-24))*(A584*0.0000001)/SIN(RADIANS(Параметры!$B$9)))</f>
        <v>0.19824456526746592</v>
      </c>
    </row>
    <row r="585" spans="1:3" ht="15.75" x14ac:dyDescent="0.25">
      <c r="A585" s="9">
        <v>5830</v>
      </c>
      <c r="B585" s="10">
        <f>1-EXP(-((4*Параметры!$B$2/Параметры!$B$3*Параметры!$B$10*Параметры!$B$4)*(Параметры!$B$6*Параметры!$B$7/Параметры!$B$8*1E-24))*(A585*0.0000001)/SIN(RADIANS(Параметры!$B$9)))</f>
        <v>4.7994754469045109E-2</v>
      </c>
      <c r="C585" s="10">
        <f>1-EXP(-((4*Параметры!$B$2/Параметры!$B$3*Параметры!$B$10*Параметры!$B$5)*(Параметры!$B$6*Параметры!$B$7/Параметры!$B$8*1E-24))*(A585*0.0000001)/SIN(RADIANS(Параметры!$B$9)))</f>
        <v>0.19854888755837952</v>
      </c>
    </row>
    <row r="586" spans="1:3" ht="15.75" x14ac:dyDescent="0.25">
      <c r="A586" s="9">
        <v>5840</v>
      </c>
      <c r="B586" s="10">
        <f>1-EXP(-((4*Параметры!$B$2/Параметры!$B$3*Параметры!$B$10*Параметры!$B$4)*(Параметры!$B$6*Параметры!$B$7/Параметры!$B$8*1E-24))*(A586*0.0000001)/SIN(RADIANS(Параметры!$B$9)))</f>
        <v>4.807506690446961E-2</v>
      </c>
      <c r="C586" s="10">
        <f>1-EXP(-((4*Параметры!$B$2/Параметры!$B$3*Параметры!$B$10*Параметры!$B$5)*(Параметры!$B$6*Параметры!$B$7/Параметры!$B$8*1E-24))*(A586*0.0000001)/SIN(RADIANS(Параметры!$B$9)))</f>
        <v>0.19885309433768839</v>
      </c>
    </row>
    <row r="587" spans="1:3" ht="15.75" x14ac:dyDescent="0.25">
      <c r="A587" s="9">
        <v>5850</v>
      </c>
      <c r="B587" s="10">
        <f>1-EXP(-((4*Параметры!$B$2/Параметры!$B$3*Параметры!$B$10*Параметры!$B$4)*(Параметры!$B$6*Параметры!$B$7/Параметры!$B$8*1E-24))*(A587*0.0000001)/SIN(RADIANS(Параметры!$B$9)))</f>
        <v>4.815537256462965E-2</v>
      </c>
      <c r="C587" s="10">
        <f>1-EXP(-((4*Параметры!$B$2/Параметры!$B$3*Параметры!$B$10*Параметры!$B$5)*(Параметры!$B$6*Параметры!$B$7/Параметры!$B$8*1E-24))*(A587*0.0000001)/SIN(RADIANS(Параметры!$B$9)))</f>
        <v>0.19915718564923746</v>
      </c>
    </row>
    <row r="588" spans="1:3" ht="15.75" x14ac:dyDescent="0.25">
      <c r="A588" s="9">
        <v>5860</v>
      </c>
      <c r="B588" s="10">
        <f>1-EXP(-((4*Параметры!$B$2/Параметры!$B$3*Параметры!$B$10*Параметры!$B$4)*(Параметры!$B$6*Параметры!$B$7/Параметры!$B$8*1E-24))*(A588*0.0000001)/SIN(RADIANS(Параметры!$B$9)))</f>
        <v>4.8235671450096884E-2</v>
      </c>
      <c r="C588" s="10">
        <f>1-EXP(-((4*Параметры!$B$2/Параметры!$B$3*Параметры!$B$10*Параметры!$B$5)*(Параметры!$B$6*Параметры!$B$7/Параметры!$B$8*1E-24))*(A588*0.0000001)/SIN(RADIANS(Параметры!$B$9)))</f>
        <v>0.19946116153685478</v>
      </c>
    </row>
    <row r="589" spans="1:3" ht="15.75" x14ac:dyDescent="0.25">
      <c r="A589" s="9">
        <v>5870</v>
      </c>
      <c r="B589" s="10">
        <f>1-EXP(-((4*Параметры!$B$2/Параметры!$B$3*Параметры!$B$10*Параметры!$B$4)*(Параметры!$B$6*Параметры!$B$7/Параметры!$B$8*1E-24))*(A589*0.0000001)/SIN(RADIANS(Параметры!$B$9)))</f>
        <v>4.8315963561442743E-2</v>
      </c>
      <c r="C589" s="10">
        <f>1-EXP(-((4*Параметры!$B$2/Параметры!$B$3*Параметры!$B$10*Параметры!$B$5)*(Параметры!$B$6*Параметры!$B$7/Параметры!$B$8*1E-24))*(A589*0.0000001)/SIN(RADIANS(Параметры!$B$9)))</f>
        <v>0.19976502204435176</v>
      </c>
    </row>
    <row r="590" spans="1:3" ht="15.75" x14ac:dyDescent="0.25">
      <c r="A590" s="9">
        <v>5880</v>
      </c>
      <c r="B590" s="10">
        <f>1-EXP(-((4*Параметры!$B$2/Параметры!$B$3*Параметры!$B$10*Параметры!$B$4)*(Параметры!$B$6*Параметры!$B$7/Параметры!$B$8*1E-24))*(A590*0.0000001)/SIN(RADIANS(Параметры!$B$9)))</f>
        <v>4.839624889923877E-2</v>
      </c>
      <c r="C590" s="10">
        <f>1-EXP(-((4*Параметры!$B$2/Параметры!$B$3*Параметры!$B$10*Параметры!$B$5)*(Параметры!$B$6*Параметры!$B$7/Параметры!$B$8*1E-24))*(A590*0.0000001)/SIN(RADIANS(Параметры!$B$9)))</f>
        <v>0.20006876721552336</v>
      </c>
    </row>
    <row r="591" spans="1:3" ht="15.75" x14ac:dyDescent="0.25">
      <c r="A591" s="9">
        <v>5890</v>
      </c>
      <c r="B591" s="10">
        <f>1-EXP(-((4*Параметры!$B$2/Параметры!$B$3*Параметры!$B$10*Параметры!$B$4)*(Параметры!$B$6*Параметры!$B$7/Параметры!$B$8*1E-24))*(A591*0.0000001)/SIN(RADIANS(Параметры!$B$9)))</f>
        <v>4.8476527464056285E-2</v>
      </c>
      <c r="C591" s="10">
        <f>1-EXP(-((4*Параметры!$B$2/Параметры!$B$3*Параметры!$B$10*Параметры!$B$5)*(Параметры!$B$6*Параметры!$B$7/Параметры!$B$8*1E-24))*(A591*0.0000001)/SIN(RADIANS(Параметры!$B$9)))</f>
        <v>0.20037239709414767</v>
      </c>
    </row>
    <row r="592" spans="1:3" ht="15.75" x14ac:dyDescent="0.25">
      <c r="A592" s="9">
        <v>5900</v>
      </c>
      <c r="B592" s="10">
        <f>1-EXP(-((4*Параметры!$B$2/Параметры!$B$3*Параметры!$B$10*Параметры!$B$4)*(Параметры!$B$6*Параметры!$B$7/Параметры!$B$8*1E-24))*(A592*0.0000001)/SIN(RADIANS(Параметры!$B$9)))</f>
        <v>4.8556799256466721E-2</v>
      </c>
      <c r="C592" s="10">
        <f>1-EXP(-((4*Параметры!$B$2/Параметры!$B$3*Параметры!$B$10*Параметры!$B$5)*(Параметры!$B$6*Параметры!$B$7/Параметры!$B$8*1E-24))*(A592*0.0000001)/SIN(RADIANS(Параметры!$B$9)))</f>
        <v>0.20067591172398624</v>
      </c>
    </row>
    <row r="593" spans="1:3" ht="15.75" x14ac:dyDescent="0.25">
      <c r="A593" s="9">
        <v>5910</v>
      </c>
      <c r="B593" s="10">
        <f>1-EXP(-((4*Параметры!$B$2/Параметры!$B$3*Параметры!$B$10*Параметры!$B$4)*(Параметры!$B$6*Параметры!$B$7/Параметры!$B$8*1E-24))*(A593*0.0000001)/SIN(RADIANS(Параметры!$B$9)))</f>
        <v>4.8637064277041508E-2</v>
      </c>
      <c r="C593" s="10">
        <f>1-EXP(-((4*Параметры!$B$2/Параметры!$B$3*Параметры!$B$10*Параметры!$B$5)*(Параметры!$B$6*Параметры!$B$7/Параметры!$B$8*1E-24))*(A593*0.0000001)/SIN(RADIANS(Параметры!$B$9)))</f>
        <v>0.20097931114878431</v>
      </c>
    </row>
    <row r="594" spans="1:3" ht="15.75" x14ac:dyDescent="0.25">
      <c r="A594" s="9">
        <v>5920</v>
      </c>
      <c r="B594" s="10">
        <f>1-EXP(-((4*Параметры!$B$2/Параметры!$B$3*Параметры!$B$10*Параметры!$B$4)*(Параметры!$B$6*Параметры!$B$7/Параметры!$B$8*1E-24))*(A594*0.0000001)/SIN(RADIANS(Параметры!$B$9)))</f>
        <v>4.8717322526351747E-2</v>
      </c>
      <c r="C594" s="10">
        <f>1-EXP(-((4*Параметры!$B$2/Параметры!$B$3*Параметры!$B$10*Параметры!$B$5)*(Параметры!$B$6*Параметры!$B$7/Параметры!$B$8*1E-24))*(A594*0.0000001)/SIN(RADIANS(Параметры!$B$9)))</f>
        <v>0.20128259541226989</v>
      </c>
    </row>
    <row r="595" spans="1:3" ht="15.75" x14ac:dyDescent="0.25">
      <c r="A595" s="9">
        <v>5930</v>
      </c>
      <c r="B595" s="10">
        <f>1-EXP(-((4*Параметры!$B$2/Параметры!$B$3*Параметры!$B$10*Параметры!$B$4)*(Параметры!$B$6*Параметры!$B$7/Параметры!$B$8*1E-24))*(A595*0.0000001)/SIN(RADIANS(Параметры!$B$9)))</f>
        <v>4.8797574004968869E-2</v>
      </c>
      <c r="C595" s="10">
        <f>1-EXP(-((4*Параметры!$B$2/Параметры!$B$3*Параметры!$B$10*Параметры!$B$5)*(Параметры!$B$6*Параметры!$B$7/Параметры!$B$8*1E-24))*(A595*0.0000001)/SIN(RADIANS(Параметры!$B$9)))</f>
        <v>0.20158576455815502</v>
      </c>
    </row>
    <row r="596" spans="1:3" ht="15.75" x14ac:dyDescent="0.25">
      <c r="A596" s="9">
        <v>5940</v>
      </c>
      <c r="B596" s="10">
        <f>1-EXP(-((4*Параметры!$B$2/Параметры!$B$3*Параметры!$B$10*Параметры!$B$4)*(Параметры!$B$6*Параметры!$B$7/Параметры!$B$8*1E-24))*(A596*0.0000001)/SIN(RADIANS(Параметры!$B$9)))</f>
        <v>4.8877818713463861E-2</v>
      </c>
      <c r="C596" s="10">
        <f>1-EXP(-((4*Параметры!$B$2/Параметры!$B$3*Параметры!$B$10*Параметры!$B$5)*(Параметры!$B$6*Параметры!$B$7/Параметры!$B$8*1E-24))*(A596*0.0000001)/SIN(RADIANS(Параметры!$B$9)))</f>
        <v>0.20188881863013486</v>
      </c>
    </row>
    <row r="597" spans="1:3" ht="15.75" x14ac:dyDescent="0.25">
      <c r="A597" s="9">
        <v>5950</v>
      </c>
      <c r="B597" s="10">
        <f>1-EXP(-((4*Параметры!$B$2/Параметры!$B$3*Параметры!$B$10*Параметры!$B$4)*(Параметры!$B$6*Параметры!$B$7/Параметры!$B$8*1E-24))*(A597*0.0000001)/SIN(RADIANS(Параметры!$B$9)))</f>
        <v>4.8958056652408044E-2</v>
      </c>
      <c r="C597" s="10">
        <f>1-EXP(-((4*Параметры!$B$2/Параметры!$B$3*Параметры!$B$10*Параметры!$B$5)*(Параметры!$B$6*Параметры!$B$7/Параметры!$B$8*1E-24))*(A597*0.0000001)/SIN(RADIANS(Параметры!$B$9)))</f>
        <v>0.2021917576718878</v>
      </c>
    </row>
    <row r="598" spans="1:3" ht="15.75" x14ac:dyDescent="0.25">
      <c r="A598" s="9">
        <v>5960</v>
      </c>
      <c r="B598" s="10">
        <f>1-EXP(-((4*Параметры!$B$2/Параметры!$B$3*Параметры!$B$10*Параметры!$B$4)*(Параметры!$B$6*Параметры!$B$7/Параметры!$B$8*1E-24))*(A598*0.0000001)/SIN(RADIANS(Параметры!$B$9)))</f>
        <v>4.9038287822372295E-2</v>
      </c>
      <c r="C598" s="10">
        <f>1-EXP(-((4*Параметры!$B$2/Параметры!$B$3*Параметры!$B$10*Параметры!$B$5)*(Параметры!$B$6*Параметры!$B$7/Параметры!$B$8*1E-24))*(A598*0.0000001)/SIN(RADIANS(Параметры!$B$9)))</f>
        <v>0.20249458172707613</v>
      </c>
    </row>
    <row r="599" spans="1:3" ht="15.75" x14ac:dyDescent="0.25">
      <c r="A599" s="9">
        <v>5970</v>
      </c>
      <c r="B599" s="10">
        <f>1-EXP(-((4*Параметры!$B$2/Параметры!$B$3*Параметры!$B$10*Параметры!$B$4)*(Параметры!$B$6*Параметры!$B$7/Параметры!$B$8*1E-24))*(A599*0.0000001)/SIN(RADIANS(Параметры!$B$9)))</f>
        <v>4.9118512223927824E-2</v>
      </c>
      <c r="C599" s="10">
        <f>1-EXP(-((4*Параметры!$B$2/Параметры!$B$3*Параметры!$B$10*Параметры!$B$5)*(Параметры!$B$6*Параметры!$B$7/Параметры!$B$8*1E-24))*(A599*0.0000001)/SIN(RADIANS(Параметры!$B$9)))</f>
        <v>0.20279729083934517</v>
      </c>
    </row>
    <row r="600" spans="1:3" ht="15.75" x14ac:dyDescent="0.25">
      <c r="A600" s="9">
        <v>5980</v>
      </c>
      <c r="B600" s="10">
        <f>1-EXP(-((4*Параметры!$B$2/Параметры!$B$3*Параметры!$B$10*Параметры!$B$4)*(Параметры!$B$6*Параметры!$B$7/Параметры!$B$8*1E-24))*(A600*0.0000001)/SIN(RADIANS(Параметры!$B$9)))</f>
        <v>4.9198729857645618E-2</v>
      </c>
      <c r="C600" s="10">
        <f>1-EXP(-((4*Параметры!$B$2/Параметры!$B$3*Параметры!$B$10*Параметры!$B$5)*(Параметры!$B$6*Параметры!$B$7/Параметры!$B$8*1E-24))*(A600*0.0000001)/SIN(RADIANS(Параметры!$B$9)))</f>
        <v>0.20309988505232379</v>
      </c>
    </row>
    <row r="601" spans="1:3" ht="15.75" x14ac:dyDescent="0.25">
      <c r="A601" s="9">
        <v>5990</v>
      </c>
      <c r="B601" s="10">
        <f>1-EXP(-((4*Параметры!$B$2/Параметры!$B$3*Параметры!$B$10*Параметры!$B$4)*(Параметры!$B$6*Параметры!$B$7/Параметры!$B$8*1E-24))*(A601*0.0000001)/SIN(RADIANS(Параметры!$B$9)))</f>
        <v>4.9278940724096554E-2</v>
      </c>
      <c r="C601" s="10">
        <f>1-EXP(-((4*Параметры!$B$2/Параметры!$B$3*Параметры!$B$10*Параметры!$B$5)*(Параметры!$B$6*Параметры!$B$7/Параметры!$B$8*1E-24))*(A601*0.0000001)/SIN(RADIANS(Параметры!$B$9)))</f>
        <v>0.20340236440962423</v>
      </c>
    </row>
    <row r="602" spans="1:3" ht="15.75" x14ac:dyDescent="0.25">
      <c r="A602" s="9">
        <v>6000</v>
      </c>
      <c r="B602" s="10">
        <f>1-EXP(-((4*Параметры!$B$2/Параметры!$B$3*Параметры!$B$10*Параметры!$B$4)*(Параметры!$B$6*Параметры!$B$7/Параметры!$B$8*1E-24))*(A602*0.0000001)/SIN(RADIANS(Параметры!$B$9)))</f>
        <v>4.9359144823851508E-2</v>
      </c>
      <c r="C602" s="10">
        <f>1-EXP(-((4*Параметры!$B$2/Параметры!$B$3*Параметры!$B$10*Параметры!$B$5)*(Параметры!$B$6*Параметры!$B$7/Параметры!$B$8*1E-24))*(A602*0.0000001)/SIN(RADIANS(Параметры!$B$9)))</f>
        <v>0.20370472895484248</v>
      </c>
    </row>
    <row r="603" spans="1:3" ht="15.75" x14ac:dyDescent="0.25">
      <c r="A603" s="9">
        <v>6010</v>
      </c>
      <c r="B603" s="10">
        <f>1-EXP(-((4*Параметры!$B$2/Параметры!$B$3*Параметры!$B$10*Параметры!$B$4)*(Параметры!$B$6*Параметры!$B$7/Параметры!$B$8*1E-24))*(A603*0.0000001)/SIN(RADIANS(Параметры!$B$9)))</f>
        <v>4.9439342157481359E-2</v>
      </c>
      <c r="C603" s="10">
        <f>1-EXP(-((4*Параметры!$B$2/Параметры!$B$3*Параметры!$B$10*Параметры!$B$5)*(Параметры!$B$6*Параметры!$B$7/Параметры!$B$8*1E-24))*(A603*0.0000001)/SIN(RADIANS(Параметры!$B$9)))</f>
        <v>0.2040069787315576</v>
      </c>
    </row>
    <row r="604" spans="1:3" ht="15.75" x14ac:dyDescent="0.25">
      <c r="A604" s="9">
        <v>6020</v>
      </c>
      <c r="B604" s="10">
        <f>1-EXP(-((4*Параметры!$B$2/Параметры!$B$3*Параметры!$B$10*Параметры!$B$4)*(Параметры!$B$6*Параметры!$B$7/Параметры!$B$8*1E-24))*(A604*0.0000001)/SIN(RADIANS(Параметры!$B$9)))</f>
        <v>4.9519532725556981E-2</v>
      </c>
      <c r="C604" s="10">
        <f>1-EXP(-((4*Параметры!$B$2/Параметры!$B$3*Параметры!$B$10*Параметры!$B$5)*(Параметры!$B$6*Параметры!$B$7/Параметры!$B$8*1E-24))*(A604*0.0000001)/SIN(RADIANS(Параметры!$B$9)))</f>
        <v>0.20430911378333227</v>
      </c>
    </row>
    <row r="605" spans="1:3" ht="15.75" x14ac:dyDescent="0.25">
      <c r="A605" s="9">
        <v>6030</v>
      </c>
      <c r="B605" s="10">
        <f>1-EXP(-((4*Параметры!$B$2/Параметры!$B$3*Параметры!$B$10*Параметры!$B$4)*(Параметры!$B$6*Параметры!$B$7/Параметры!$B$8*1E-24))*(A605*0.0000001)/SIN(RADIANS(Параметры!$B$9)))</f>
        <v>4.9599716528649029E-2</v>
      </c>
      <c r="C605" s="10">
        <f>1-EXP(-((4*Параметры!$B$2/Параметры!$B$3*Параметры!$B$10*Параметры!$B$5)*(Параметры!$B$6*Параметры!$B$7/Параметры!$B$8*1E-24))*(A605*0.0000001)/SIN(RADIANS(Параметры!$B$9)))</f>
        <v>0.20461113415371268</v>
      </c>
    </row>
    <row r="606" spans="1:3" ht="15.75" x14ac:dyDescent="0.25">
      <c r="A606" s="9">
        <v>6040</v>
      </c>
      <c r="B606" s="10">
        <f>1-EXP(-((4*Параметры!$B$2/Параметры!$B$3*Параметры!$B$10*Параметры!$B$4)*(Параметры!$B$6*Параметры!$B$7/Параметры!$B$8*1E-24))*(A606*0.0000001)/SIN(RADIANS(Параметры!$B$9)))</f>
        <v>4.9679893567328159E-2</v>
      </c>
      <c r="C606" s="10">
        <f>1-EXP(-((4*Параметры!$B$2/Параметры!$B$3*Параметры!$B$10*Параметры!$B$5)*(Параметры!$B$6*Параметры!$B$7/Параметры!$B$8*1E-24))*(A606*0.0000001)/SIN(RADIANS(Параметры!$B$9)))</f>
        <v>0.20491303988622844</v>
      </c>
    </row>
    <row r="607" spans="1:3" ht="15.75" x14ac:dyDescent="0.25">
      <c r="A607" s="9">
        <v>6050</v>
      </c>
      <c r="B607" s="10">
        <f>1-EXP(-((4*Параметры!$B$2/Параметры!$B$3*Параметры!$B$10*Параметры!$B$4)*(Параметры!$B$6*Параметры!$B$7/Параметры!$B$8*1E-24))*(A607*0.0000001)/SIN(RADIANS(Параметры!$B$9)))</f>
        <v>4.9760063842165136E-2</v>
      </c>
      <c r="C607" s="10">
        <f>1-EXP(-((4*Параметры!$B$2/Параметры!$B$3*Параметры!$B$10*Параметры!$B$5)*(Параметры!$B$6*Параметры!$B$7/Параметры!$B$8*1E-24))*(A607*0.0000001)/SIN(RADIANS(Параметры!$B$9)))</f>
        <v>0.20521483102439264</v>
      </c>
    </row>
    <row r="608" spans="1:3" ht="15.75" x14ac:dyDescent="0.25">
      <c r="A608" s="9">
        <v>6060</v>
      </c>
      <c r="B608" s="10">
        <f>1-EXP(-((4*Параметры!$B$2/Параметры!$B$3*Параметры!$B$10*Параметры!$B$4)*(Параметры!$B$6*Параметры!$B$7/Параметры!$B$8*1E-24))*(A608*0.0000001)/SIN(RADIANS(Параметры!$B$9)))</f>
        <v>4.9840227353730615E-2</v>
      </c>
      <c r="C608" s="10">
        <f>1-EXP(-((4*Параметры!$B$2/Параметры!$B$3*Параметры!$B$10*Параметры!$B$5)*(Параметры!$B$6*Параметры!$B$7/Параметры!$B$8*1E-24))*(A608*0.0000001)/SIN(RADIANS(Параметры!$B$9)))</f>
        <v>0.20551650761170193</v>
      </c>
    </row>
    <row r="609" spans="1:3" ht="15.75" x14ac:dyDescent="0.25">
      <c r="A609" s="9">
        <v>6070</v>
      </c>
      <c r="B609" s="10">
        <f>1-EXP(-((4*Параметры!$B$2/Параметры!$B$3*Параметры!$B$10*Параметры!$B$4)*(Параметры!$B$6*Параметры!$B$7/Параметры!$B$8*1E-24))*(A609*0.0000001)/SIN(RADIANS(Параметры!$B$9)))</f>
        <v>4.9920384102595028E-2</v>
      </c>
      <c r="C609" s="10">
        <f>1-EXP(-((4*Параметры!$B$2/Параметры!$B$3*Параметры!$B$10*Параметры!$B$5)*(Параметры!$B$6*Параметры!$B$7/Параметры!$B$8*1E-24))*(A609*0.0000001)/SIN(RADIANS(Параметры!$B$9)))</f>
        <v>0.20581806969163619</v>
      </c>
    </row>
    <row r="610" spans="1:3" ht="15.75" x14ac:dyDescent="0.25">
      <c r="A610" s="9">
        <v>6080</v>
      </c>
      <c r="B610" s="10">
        <f>1-EXP(-((4*Параметры!$B$2/Параметры!$B$3*Параметры!$B$10*Параметры!$B$4)*(Параметры!$B$6*Параметры!$B$7/Параметры!$B$8*1E-24))*(A610*0.0000001)/SIN(RADIANS(Параметры!$B$9)))</f>
        <v>5.0000534089328919E-2</v>
      </c>
      <c r="C610" s="10">
        <f>1-EXP(-((4*Параметры!$B$2/Параметры!$B$3*Параметры!$B$10*Параметры!$B$5)*(Параметры!$B$6*Параметры!$B$7/Параметры!$B$8*1E-24))*(A610*0.0000001)/SIN(RADIANS(Параметры!$B$9)))</f>
        <v>0.20611951730765909</v>
      </c>
    </row>
    <row r="611" spans="1:3" ht="15.75" x14ac:dyDescent="0.25">
      <c r="A611" s="9">
        <v>6090</v>
      </c>
      <c r="B611" s="10">
        <f>1-EXP(-((4*Параметры!$B$2/Параметры!$B$3*Параметры!$B$10*Параметры!$B$4)*(Параметры!$B$6*Параметры!$B$7/Параметры!$B$8*1E-24))*(A611*0.0000001)/SIN(RADIANS(Параметры!$B$9)))</f>
        <v>5.008067731450272E-2</v>
      </c>
      <c r="C611" s="10">
        <f>1-EXP(-((4*Параметры!$B$2/Параметры!$B$3*Параметры!$B$10*Параметры!$B$5)*(Параметры!$B$6*Параметры!$B$7/Параметры!$B$8*1E-24))*(A611*0.0000001)/SIN(RADIANS(Параметры!$B$9)))</f>
        <v>0.20642085050321768</v>
      </c>
    </row>
    <row r="612" spans="1:3" ht="15.75" x14ac:dyDescent="0.25">
      <c r="A612" s="9">
        <v>6100</v>
      </c>
      <c r="B612" s="10">
        <f>1-EXP(-((4*Параметры!$B$2/Параметры!$B$3*Параметры!$B$10*Параметры!$B$4)*(Параметры!$B$6*Параметры!$B$7/Параметры!$B$8*1E-24))*(A612*0.0000001)/SIN(RADIANS(Параметры!$B$9)))</f>
        <v>5.0160813778686975E-2</v>
      </c>
      <c r="C612" s="10">
        <f>1-EXP(-((4*Параметры!$B$2/Параметры!$B$3*Параметры!$B$10*Параметры!$B$5)*(Параметры!$B$6*Параметры!$B$7/Параметры!$B$8*1E-24))*(A612*0.0000001)/SIN(RADIANS(Параметры!$B$9)))</f>
        <v>0.20672206932174264</v>
      </c>
    </row>
    <row r="613" spans="1:3" ht="15.75" x14ac:dyDescent="0.25">
      <c r="A613" s="9">
        <v>6110</v>
      </c>
      <c r="B613" s="10">
        <f>1-EXP(-((4*Параметры!$B$2/Параметры!$B$3*Параметры!$B$10*Параметры!$B$4)*(Параметры!$B$6*Параметры!$B$7/Параметры!$B$8*1E-24))*(A613*0.0000001)/SIN(RADIANS(Параметры!$B$9)))</f>
        <v>5.0240943482451894E-2</v>
      </c>
      <c r="C613" s="10">
        <f>1-EXP(-((4*Параметры!$B$2/Параметры!$B$3*Параметры!$B$10*Параметры!$B$5)*(Параметры!$B$6*Параметры!$B$7/Параметры!$B$8*1E-24))*(A613*0.0000001)/SIN(RADIANS(Параметры!$B$9)))</f>
        <v>0.20702317380664781</v>
      </c>
    </row>
    <row r="614" spans="1:3" ht="15.75" x14ac:dyDescent="0.25">
      <c r="A614" s="9">
        <v>6120</v>
      </c>
      <c r="B614" s="10">
        <f>1-EXP(-((4*Параметры!$B$2/Параметры!$B$3*Параметры!$B$10*Параметры!$B$4)*(Параметры!$B$6*Параметры!$B$7/Параметры!$B$8*1E-24))*(A614*0.0000001)/SIN(RADIANS(Параметры!$B$9)))</f>
        <v>5.0321066426367911E-2</v>
      </c>
      <c r="C614" s="10">
        <f>1-EXP(-((4*Параметры!$B$2/Параметры!$B$3*Параметры!$B$10*Параметры!$B$5)*(Параметры!$B$6*Параметры!$B$7/Параметры!$B$8*1E-24))*(A614*0.0000001)/SIN(RADIANS(Параметры!$B$9)))</f>
        <v>0.20732416400133102</v>
      </c>
    </row>
    <row r="615" spans="1:3" ht="15.75" x14ac:dyDescent="0.25">
      <c r="A615" s="9">
        <v>6130</v>
      </c>
      <c r="B615" s="10">
        <f>1-EXP(-((4*Параметры!$B$2/Параметры!$B$3*Параметры!$B$10*Параметры!$B$4)*(Параметры!$B$6*Параметры!$B$7/Параметры!$B$8*1E-24))*(A615*0.0000001)/SIN(RADIANS(Параметры!$B$9)))</f>
        <v>5.0401182611005235E-2</v>
      </c>
      <c r="C615" s="10">
        <f>1-EXP(-((4*Параметры!$B$2/Параметры!$B$3*Параметры!$B$10*Параметры!$B$5)*(Параметры!$B$6*Параметры!$B$7/Параметры!$B$8*1E-24))*(A615*0.0000001)/SIN(RADIANS(Параметры!$B$9)))</f>
        <v>0.20762503994917336</v>
      </c>
    </row>
    <row r="616" spans="1:3" ht="15.75" x14ac:dyDescent="0.25">
      <c r="A616" s="9">
        <v>6140</v>
      </c>
      <c r="B616" s="10">
        <f>1-EXP(-((4*Параметры!$B$2/Параметры!$B$3*Параметры!$B$10*Параметры!$B$4)*(Параметры!$B$6*Параметры!$B$7/Параметры!$B$8*1E-24))*(A616*0.0000001)/SIN(RADIANS(Параметры!$B$9)))</f>
        <v>5.0481292036934078E-2</v>
      </c>
      <c r="C616" s="10">
        <f>1-EXP(-((4*Параметры!$B$2/Параметры!$B$3*Параметры!$B$10*Параметры!$B$5)*(Параметры!$B$6*Параметры!$B$7/Параметры!$B$8*1E-24))*(A616*0.0000001)/SIN(RADIANS(Параметры!$B$9)))</f>
        <v>0.20792580169353947</v>
      </c>
    </row>
    <row r="617" spans="1:3" ht="15.75" x14ac:dyDescent="0.25">
      <c r="A617" s="9">
        <v>6150</v>
      </c>
      <c r="B617" s="10">
        <f>1-EXP(-((4*Параметры!$B$2/Параметры!$B$3*Параметры!$B$10*Параметры!$B$4)*(Параметры!$B$6*Параметры!$B$7/Параметры!$B$8*1E-24))*(A617*0.0000001)/SIN(RADIANS(Параметры!$B$9)))</f>
        <v>5.0561394704724649E-2</v>
      </c>
      <c r="C617" s="10">
        <f>1-EXP(-((4*Параметры!$B$2/Параметры!$B$3*Параметры!$B$10*Параметры!$B$5)*(Параметры!$B$6*Параметры!$B$7/Параметры!$B$8*1E-24))*(A617*0.0000001)/SIN(RADIANS(Параметры!$B$9)))</f>
        <v>0.20822644927777756</v>
      </c>
    </row>
    <row r="618" spans="1:3" ht="15.75" x14ac:dyDescent="0.25">
      <c r="A618" s="9">
        <v>6160</v>
      </c>
      <c r="B618" s="10">
        <f>1-EXP(-((4*Параметры!$B$2/Параметры!$B$3*Параметры!$B$10*Параметры!$B$4)*(Параметры!$B$6*Параметры!$B$7/Параметры!$B$8*1E-24))*(A618*0.0000001)/SIN(RADIANS(Параметры!$B$9)))</f>
        <v>5.0641490614947049E-2</v>
      </c>
      <c r="C618" s="10">
        <f>1-EXP(-((4*Параметры!$B$2/Параметры!$B$3*Параметры!$B$10*Параметры!$B$5)*(Параметры!$B$6*Параметры!$B$7/Параметры!$B$8*1E-24))*(A618*0.0000001)/SIN(RADIANS(Параметры!$B$9)))</f>
        <v>0.20852698274521941</v>
      </c>
    </row>
    <row r="619" spans="1:3" ht="15.75" x14ac:dyDescent="0.25">
      <c r="A619" s="9">
        <v>6170</v>
      </c>
      <c r="B619" s="10">
        <f>1-EXP(-((4*Параметры!$B$2/Параметры!$B$3*Параметры!$B$10*Параметры!$B$4)*(Параметры!$B$6*Параметры!$B$7/Параметры!$B$8*1E-24))*(A619*0.0000001)/SIN(RADIANS(Параметры!$B$9)))</f>
        <v>5.0721579768171376E-2</v>
      </c>
      <c r="C619" s="10">
        <f>1-EXP(-((4*Параметры!$B$2/Параметры!$B$3*Параметры!$B$10*Параметры!$B$5)*(Параметры!$B$6*Параметры!$B$7/Параметры!$B$8*1E-24))*(A619*0.0000001)/SIN(RADIANS(Параметры!$B$9)))</f>
        <v>0.20882740213918027</v>
      </c>
    </row>
    <row r="620" spans="1:3" ht="15.75" x14ac:dyDescent="0.25">
      <c r="A620" s="9">
        <v>6180</v>
      </c>
      <c r="B620" s="10">
        <f>1-EXP(-((4*Параметры!$B$2/Параметры!$B$3*Параметры!$B$10*Параметры!$B$4)*(Параметры!$B$6*Параметры!$B$7/Параметры!$B$8*1E-24))*(A620*0.0000001)/SIN(RADIANS(Параметры!$B$9)))</f>
        <v>5.0801662164967731E-2</v>
      </c>
      <c r="C620" s="10">
        <f>1-EXP(-((4*Параметры!$B$2/Параметры!$B$3*Параметры!$B$10*Параметры!$B$5)*(Параметры!$B$6*Параметры!$B$7/Параметры!$B$8*1E-24))*(A620*0.0000001)/SIN(RADIANS(Параметры!$B$9)))</f>
        <v>0.20912770750295906</v>
      </c>
    </row>
    <row r="621" spans="1:3" ht="15.75" x14ac:dyDescent="0.25">
      <c r="A621" s="9">
        <v>6190</v>
      </c>
      <c r="B621" s="10">
        <f>1-EXP(-((4*Параметры!$B$2/Параметры!$B$3*Параметры!$B$10*Параметры!$B$4)*(Параметры!$B$6*Параметры!$B$7/Параметры!$B$8*1E-24))*(A621*0.0000001)/SIN(RADIANS(Параметры!$B$9)))</f>
        <v>5.088173780590588E-2</v>
      </c>
      <c r="C621" s="10">
        <f>1-EXP(-((4*Параметры!$B$2/Параметры!$B$3*Параметры!$B$10*Параметры!$B$5)*(Параметры!$B$6*Параметры!$B$7/Параметры!$B$8*1E-24))*(A621*0.0000001)/SIN(RADIANS(Параметры!$B$9)))</f>
        <v>0.20942789887983815</v>
      </c>
    </row>
    <row r="622" spans="1:3" ht="15.75" x14ac:dyDescent="0.25">
      <c r="A622" s="9">
        <v>6200</v>
      </c>
      <c r="B622" s="10">
        <f>1-EXP(-((4*Параметры!$B$2/Параметры!$B$3*Параметры!$B$10*Параметры!$B$4)*(Параметры!$B$6*Параметры!$B$7/Параметры!$B$8*1E-24))*(A622*0.0000001)/SIN(RADIANS(Параметры!$B$9)))</f>
        <v>5.0961806691556033E-2</v>
      </c>
      <c r="C622" s="10">
        <f>1-EXP(-((4*Параметры!$B$2/Параметры!$B$3*Параметры!$B$10*Параметры!$B$5)*(Параметры!$B$6*Параметры!$B$7/Параметры!$B$8*1E-24))*(A622*0.0000001)/SIN(RADIANS(Параметры!$B$9)))</f>
        <v>0.20972797631308371</v>
      </c>
    </row>
    <row r="623" spans="1:3" ht="15.75" x14ac:dyDescent="0.25">
      <c r="A623" s="9">
        <v>6210</v>
      </c>
      <c r="B623" s="10">
        <f>1-EXP(-((4*Параметры!$B$2/Параметры!$B$3*Параметры!$B$10*Параметры!$B$4)*(Параметры!$B$6*Параметры!$B$7/Параметры!$B$8*1E-24))*(A623*0.0000001)/SIN(RADIANS(Параметры!$B$9)))</f>
        <v>5.1041868822487846E-2</v>
      </c>
      <c r="C623" s="10">
        <f>1-EXP(-((4*Параметры!$B$2/Параметры!$B$3*Параметры!$B$10*Параметры!$B$5)*(Параметры!$B$6*Параметры!$B$7/Параметры!$B$8*1E-24))*(A623*0.0000001)/SIN(RADIANS(Параметры!$B$9)))</f>
        <v>0.21002793984594514</v>
      </c>
    </row>
    <row r="624" spans="1:3" ht="15.75" x14ac:dyDescent="0.25">
      <c r="A624" s="9">
        <v>6220</v>
      </c>
      <c r="B624" s="10">
        <f>1-EXP(-((4*Параметры!$B$2/Параметры!$B$3*Параметры!$B$10*Параметры!$B$4)*(Параметры!$B$6*Параметры!$B$7/Параметры!$B$8*1E-24))*(A624*0.0000001)/SIN(RADIANS(Параметры!$B$9)))</f>
        <v>5.1121924199271196E-2</v>
      </c>
      <c r="C624" s="10">
        <f>1-EXP(-((4*Параметры!$B$2/Параметры!$B$3*Параметры!$B$10*Параметры!$B$5)*(Параметры!$B$6*Параметры!$B$7/Параметры!$B$8*1E-24))*(A624*0.0000001)/SIN(RADIANS(Параметры!$B$9)))</f>
        <v>0.21032778952165565</v>
      </c>
    </row>
    <row r="625" spans="1:3" ht="15.75" x14ac:dyDescent="0.25">
      <c r="A625" s="9">
        <v>6230</v>
      </c>
      <c r="B625" s="10">
        <f>1-EXP(-((4*Параметры!$B$2/Параметры!$B$3*Параметры!$B$10*Параметры!$B$4)*(Параметры!$B$6*Параметры!$B$7/Параметры!$B$8*1E-24))*(A625*0.0000001)/SIN(RADIANS(Параметры!$B$9)))</f>
        <v>5.1201972822475961E-2</v>
      </c>
      <c r="C625" s="10">
        <f>1-EXP(-((4*Параметры!$B$2/Параметры!$B$3*Параметры!$B$10*Параметры!$B$5)*(Параметры!$B$6*Параметры!$B$7/Параметры!$B$8*1E-24))*(A625*0.0000001)/SIN(RADIANS(Параметры!$B$9)))</f>
        <v>0.2106275253834321</v>
      </c>
    </row>
    <row r="626" spans="1:3" ht="15.75" x14ac:dyDescent="0.25">
      <c r="A626" s="9">
        <v>6240</v>
      </c>
      <c r="B626" s="10">
        <f>1-EXP(-((4*Параметры!$B$2/Параметры!$B$3*Параметры!$B$10*Параметры!$B$4)*(Параметры!$B$6*Параметры!$B$7/Параметры!$B$8*1E-24))*(A626*0.0000001)/SIN(RADIANS(Параметры!$B$9)))</f>
        <v>5.1282014692671907E-2</v>
      </c>
      <c r="C626" s="10">
        <f>1-EXP(-((4*Параметры!$B$2/Параметры!$B$3*Параметры!$B$10*Параметры!$B$5)*(Параметры!$B$6*Параметры!$B$7/Параметры!$B$8*1E-24))*(A626*0.0000001)/SIN(RADIANS(Параметры!$B$9)))</f>
        <v>0.21092714747447483</v>
      </c>
    </row>
    <row r="627" spans="1:3" ht="15.75" x14ac:dyDescent="0.25">
      <c r="A627" s="9">
        <v>6250</v>
      </c>
      <c r="B627" s="10">
        <f>1-EXP(-((4*Параметры!$B$2/Параметры!$B$3*Параметры!$B$10*Параметры!$B$4)*(Параметры!$B$6*Параметры!$B$7/Параметры!$B$8*1E-24))*(A627*0.0000001)/SIN(RADIANS(Параметры!$B$9)))</f>
        <v>5.1362049810428578E-2</v>
      </c>
      <c r="C627" s="10">
        <f>1-EXP(-((4*Параметры!$B$2/Параметры!$B$3*Параметры!$B$10*Параметры!$B$5)*(Параметры!$B$6*Параметры!$B$7/Параметры!$B$8*1E-24))*(A627*0.0000001)/SIN(RADIANS(Параметры!$B$9)))</f>
        <v>0.21122665583796763</v>
      </c>
    </row>
    <row r="628" spans="1:3" ht="15.75" x14ac:dyDescent="0.25">
      <c r="A628" s="9">
        <v>6260</v>
      </c>
      <c r="B628" s="10">
        <f>1-EXP(-((4*Параметры!$B$2/Параметры!$B$3*Параметры!$B$10*Параметры!$B$4)*(Параметры!$B$6*Параметры!$B$7/Параметры!$B$8*1E-24))*(A628*0.0000001)/SIN(RADIANS(Параметры!$B$9)))</f>
        <v>5.1442078176315742E-2</v>
      </c>
      <c r="C628" s="10">
        <f>1-EXP(-((4*Параметры!$B$2/Параметры!$B$3*Параметры!$B$10*Параметры!$B$5)*(Параметры!$B$6*Параметры!$B$7/Параметры!$B$8*1E-24))*(A628*0.0000001)/SIN(RADIANS(Параметры!$B$9)))</f>
        <v>0.21152605051707807</v>
      </c>
    </row>
    <row r="629" spans="1:3" ht="15.75" x14ac:dyDescent="0.25">
      <c r="A629" s="9">
        <v>6270</v>
      </c>
      <c r="B629" s="10">
        <f>1-EXP(-((4*Параметры!$B$2/Параметры!$B$3*Параметры!$B$10*Параметры!$B$4)*(Параметры!$B$6*Параметры!$B$7/Параметры!$B$8*1E-24))*(A629*0.0000001)/SIN(RADIANS(Параметры!$B$9)))</f>
        <v>5.1522099790902942E-2</v>
      </c>
      <c r="C629" s="10">
        <f>1-EXP(-((4*Параметры!$B$2/Параметры!$B$3*Параметры!$B$10*Параметры!$B$5)*(Параметры!$B$6*Параметры!$B$7/Параметры!$B$8*1E-24))*(A629*0.0000001)/SIN(RADIANS(Параметры!$B$9)))</f>
        <v>0.21182533155495764</v>
      </c>
    </row>
    <row r="630" spans="1:3" ht="15.75" x14ac:dyDescent="0.25">
      <c r="A630" s="9">
        <v>6280</v>
      </c>
      <c r="B630" s="10">
        <f>1-EXP(-((4*Параметры!$B$2/Параметры!$B$3*Параметры!$B$10*Параметры!$B$4)*(Параметры!$B$6*Параметры!$B$7/Параметры!$B$8*1E-24))*(A630*0.0000001)/SIN(RADIANS(Параметры!$B$9)))</f>
        <v>5.1602114654759723E-2</v>
      </c>
      <c r="C630" s="10">
        <f>1-EXP(-((4*Параметры!$B$2/Параметры!$B$3*Параметры!$B$10*Параметры!$B$5)*(Параметры!$B$6*Параметры!$B$7/Параметры!$B$8*1E-24))*(A630*0.0000001)/SIN(RADIANS(Параметры!$B$9)))</f>
        <v>0.21212449899474073</v>
      </c>
    </row>
    <row r="631" spans="1:3" ht="15.75" x14ac:dyDescent="0.25">
      <c r="A631" s="9">
        <v>6290</v>
      </c>
      <c r="B631" s="10">
        <f>1-EXP(-((4*Параметры!$B$2/Параметры!$B$3*Параметры!$B$10*Параметры!$B$4)*(Параметры!$B$6*Параметры!$B$7/Параметры!$B$8*1E-24))*(A631*0.0000001)/SIN(RADIANS(Параметры!$B$9)))</f>
        <v>5.1682122768455629E-2</v>
      </c>
      <c r="C631" s="10">
        <f>1-EXP(-((4*Параметры!$B$2/Параметры!$B$3*Параметры!$B$10*Параметры!$B$5)*(Параметры!$B$6*Параметры!$B$7/Параметры!$B$8*1E-24))*(A631*0.0000001)/SIN(RADIANS(Параметры!$B$9)))</f>
        <v>0.21242355287954606</v>
      </c>
    </row>
    <row r="632" spans="1:3" ht="15.75" x14ac:dyDescent="0.25">
      <c r="A632" s="9">
        <v>6300</v>
      </c>
      <c r="B632" s="10">
        <f>1-EXP(-((4*Параметры!$B$2/Параметры!$B$3*Параметры!$B$10*Параметры!$B$4)*(Параметры!$B$6*Параметры!$B$7/Параметры!$B$8*1E-24))*(A632*0.0000001)/SIN(RADIANS(Параметры!$B$9)))</f>
        <v>5.1762124132560094E-2</v>
      </c>
      <c r="C632" s="10">
        <f>1-EXP(-((4*Параметры!$B$2/Параметры!$B$3*Параметры!$B$10*Параметры!$B$5)*(Параметры!$B$6*Параметры!$B$7/Параметры!$B$8*1E-24))*(A632*0.0000001)/SIN(RADIANS(Параметры!$B$9)))</f>
        <v>0.21272249325247561</v>
      </c>
    </row>
    <row r="633" spans="1:3" ht="15.75" x14ac:dyDescent="0.25">
      <c r="A633" s="9">
        <v>6310</v>
      </c>
      <c r="B633" s="10">
        <f>1-EXP(-((4*Параметры!$B$2/Параметры!$B$3*Параметры!$B$10*Параметры!$B$4)*(Параметры!$B$6*Параметры!$B$7/Параметры!$B$8*1E-24))*(A633*0.0000001)/SIN(RADIANS(Параметры!$B$9)))</f>
        <v>5.1842118747642552E-2</v>
      </c>
      <c r="C633" s="10">
        <f>1-EXP(-((4*Параметры!$B$2/Параметры!$B$3*Параметры!$B$10*Параметры!$B$5)*(Параметры!$B$6*Параметры!$B$7/Параметры!$B$8*1E-24))*(A633*0.0000001)/SIN(RADIANS(Параметры!$B$9)))</f>
        <v>0.21302132015661501</v>
      </c>
    </row>
    <row r="634" spans="1:3" ht="15.75" x14ac:dyDescent="0.25">
      <c r="A634" s="9">
        <v>6320</v>
      </c>
      <c r="B634" s="10">
        <f>1-EXP(-((4*Параметры!$B$2/Параметры!$B$3*Параметры!$B$10*Параметры!$B$4)*(Параметры!$B$6*Параметры!$B$7/Параметры!$B$8*1E-24))*(A634*0.0000001)/SIN(RADIANS(Параметры!$B$9)))</f>
        <v>5.1922106614272212E-2</v>
      </c>
      <c r="C634" s="10">
        <f>1-EXP(-((4*Параметры!$B$2/Параметры!$B$3*Параметры!$B$10*Параметры!$B$5)*(Параметры!$B$6*Параметры!$B$7/Параметры!$B$8*1E-24))*(A634*0.0000001)/SIN(RADIANS(Параметры!$B$9)))</f>
        <v>0.2133200336350336</v>
      </c>
    </row>
    <row r="635" spans="1:3" ht="15.75" x14ac:dyDescent="0.25">
      <c r="A635" s="9">
        <v>6330</v>
      </c>
      <c r="B635" s="10">
        <f>1-EXP(-((4*Параметры!$B$2/Параметры!$B$3*Параметры!$B$10*Параметры!$B$4)*(Параметры!$B$6*Параметры!$B$7/Параметры!$B$8*1E-24))*(A635*0.0000001)/SIN(RADIANS(Параметры!$B$9)))</f>
        <v>5.200208773301862E-2</v>
      </c>
      <c r="C635" s="10">
        <f>1-EXP(-((4*Параметры!$B$2/Параметры!$B$3*Параметры!$B$10*Параметры!$B$5)*(Параметры!$B$6*Параметры!$B$7/Параметры!$B$8*1E-24))*(A635*0.0000001)/SIN(RADIANS(Параметры!$B$9)))</f>
        <v>0.21361863373078449</v>
      </c>
    </row>
    <row r="636" spans="1:3" ht="15.75" x14ac:dyDescent="0.25">
      <c r="A636" s="9">
        <v>6340</v>
      </c>
      <c r="B636" s="10">
        <f>1-EXP(-((4*Параметры!$B$2/Параметры!$B$3*Параметры!$B$10*Параметры!$B$4)*(Параметры!$B$6*Параметры!$B$7/Параметры!$B$8*1E-24))*(A636*0.0000001)/SIN(RADIANS(Параметры!$B$9)))</f>
        <v>5.2082062104450766E-2</v>
      </c>
      <c r="C636" s="10">
        <f>1-EXP(-((4*Параметры!$B$2/Параметры!$B$3*Параметры!$B$10*Параметры!$B$5)*(Параметры!$B$6*Параметры!$B$7/Параметры!$B$8*1E-24))*(A636*0.0000001)/SIN(RADIANS(Параметры!$B$9)))</f>
        <v>0.21391712048690437</v>
      </c>
    </row>
    <row r="637" spans="1:3" ht="15.75" x14ac:dyDescent="0.25">
      <c r="A637" s="9">
        <v>6350</v>
      </c>
      <c r="B637" s="10">
        <f>1-EXP(-((4*Параметры!$B$2/Параметры!$B$3*Параметры!$B$10*Параметры!$B$4)*(Параметры!$B$6*Параметры!$B$7/Параметры!$B$8*1E-24))*(A637*0.0000001)/SIN(RADIANS(Параметры!$B$9)))</f>
        <v>5.2162029729138082E-2</v>
      </c>
      <c r="C637" s="10">
        <f>1-EXP(-((4*Параметры!$B$2/Параметры!$B$3*Параметры!$B$10*Параметры!$B$5)*(Параметры!$B$6*Параметры!$B$7/Параметры!$B$8*1E-24))*(A637*0.0000001)/SIN(RADIANS(Параметры!$B$9)))</f>
        <v>0.21421549394641337</v>
      </c>
    </row>
    <row r="638" spans="1:3" ht="15.75" x14ac:dyDescent="0.25">
      <c r="A638" s="9">
        <v>6360</v>
      </c>
      <c r="B638" s="10">
        <f>1-EXP(-((4*Параметры!$B$2/Параметры!$B$3*Параметры!$B$10*Параметры!$B$4)*(Параметры!$B$6*Параметры!$B$7/Параметры!$B$8*1E-24))*(A638*0.0000001)/SIN(RADIANS(Параметры!$B$9)))</f>
        <v>5.2241990607649669E-2</v>
      </c>
      <c r="C638" s="10">
        <f>1-EXP(-((4*Параметры!$B$2/Параметры!$B$3*Параметры!$B$10*Параметры!$B$5)*(Параметры!$B$6*Параметры!$B$7/Параметры!$B$8*1E-24))*(A638*0.0000001)/SIN(RADIANS(Параметры!$B$9)))</f>
        <v>0.21451375415231555</v>
      </c>
    </row>
    <row r="639" spans="1:3" ht="15.75" x14ac:dyDescent="0.25">
      <c r="A639" s="9">
        <v>6370</v>
      </c>
      <c r="B639" s="10">
        <f>1-EXP(-((4*Параметры!$B$2/Параметры!$B$3*Параметры!$B$10*Параметры!$B$4)*(Параметры!$B$6*Параметры!$B$7/Параметры!$B$8*1E-24))*(A639*0.0000001)/SIN(RADIANS(Параметры!$B$9)))</f>
        <v>5.2321944740554627E-2</v>
      </c>
      <c r="C639" s="10">
        <f>1-EXP(-((4*Параметры!$B$2/Параметры!$B$3*Параметры!$B$10*Параметры!$B$5)*(Параметры!$B$6*Параметры!$B$7/Параметры!$B$8*1E-24))*(A639*0.0000001)/SIN(RADIANS(Параметры!$B$9)))</f>
        <v>0.21481190114759863</v>
      </c>
    </row>
    <row r="640" spans="1:3" ht="15.75" x14ac:dyDescent="0.25">
      <c r="A640" s="9">
        <v>6380</v>
      </c>
      <c r="B640" s="10">
        <f>1-EXP(-((4*Параметры!$B$2/Параметры!$B$3*Параметры!$B$10*Параметры!$B$4)*(Параметры!$B$6*Параметры!$B$7/Параметры!$B$8*1E-24))*(A640*0.0000001)/SIN(RADIANS(Параметры!$B$9)))</f>
        <v>5.2401892128422056E-2</v>
      </c>
      <c r="C640" s="10">
        <f>1-EXP(-((4*Параметры!$B$2/Параметры!$B$3*Параметры!$B$10*Параметры!$B$5)*(Параметры!$B$6*Параметры!$B$7/Параметры!$B$8*1E-24))*(A640*0.0000001)/SIN(RADIANS(Параметры!$B$9)))</f>
        <v>0.21510993497523401</v>
      </c>
    </row>
    <row r="641" spans="1:3" ht="15.75" x14ac:dyDescent="0.25">
      <c r="A641" s="9">
        <v>6390</v>
      </c>
      <c r="B641" s="10">
        <f>1-EXP(-((4*Параметры!$B$2/Параметры!$B$3*Параметры!$B$10*Параметры!$B$4)*(Параметры!$B$6*Параметры!$B$7/Параметры!$B$8*1E-24))*(A641*0.0000001)/SIN(RADIANS(Параметры!$B$9)))</f>
        <v>5.2481832771820836E-2</v>
      </c>
      <c r="C641" s="10">
        <f>1-EXP(-((4*Параметры!$B$2/Параметры!$B$3*Параметры!$B$10*Параметры!$B$5)*(Параметры!$B$6*Параметры!$B$7/Параметры!$B$8*1E-24))*(A641*0.0000001)/SIN(RADIANS(Параметры!$B$9)))</f>
        <v>0.21540785567817655</v>
      </c>
    </row>
    <row r="642" spans="1:3" ht="15.75" x14ac:dyDescent="0.25">
      <c r="A642" s="9">
        <v>6400</v>
      </c>
      <c r="B642" s="10">
        <f>1-EXP(-((4*Параметры!$B$2/Параметры!$B$3*Параметры!$B$10*Параметры!$B$4)*(Параметры!$B$6*Параметры!$B$7/Параметры!$B$8*1E-24))*(A642*0.0000001)/SIN(RADIANS(Параметры!$B$9)))</f>
        <v>5.2561766671320176E-2</v>
      </c>
      <c r="C642" s="10">
        <f>1-EXP(-((4*Параметры!$B$2/Параметры!$B$3*Параметры!$B$10*Параметры!$B$5)*(Параметры!$B$6*Параметры!$B$7/Параметры!$B$8*1E-24))*(A642*0.0000001)/SIN(RADIANS(Параметры!$B$9)))</f>
        <v>0.21570566329936525</v>
      </c>
    </row>
    <row r="643" spans="1:3" ht="15.75" x14ac:dyDescent="0.25">
      <c r="A643" s="9">
        <v>6410</v>
      </c>
      <c r="B643" s="10">
        <f>1-EXP(-((4*Параметры!$B$2/Параметры!$B$3*Параметры!$B$10*Параметры!$B$4)*(Параметры!$B$6*Параметры!$B$7/Параметры!$B$8*1E-24))*(A643*0.0000001)/SIN(RADIANS(Параметры!$B$9)))</f>
        <v>5.2641693827488845E-2</v>
      </c>
      <c r="C643" s="10">
        <f>1-EXP(-((4*Параметры!$B$2/Параметры!$B$3*Параметры!$B$10*Параметры!$B$5)*(Параметры!$B$6*Параметры!$B$7/Параметры!$B$8*1E-24))*(A643*0.0000001)/SIN(RADIANS(Параметры!$B$9)))</f>
        <v>0.21600335788172231</v>
      </c>
    </row>
    <row r="644" spans="1:3" ht="15.75" x14ac:dyDescent="0.25">
      <c r="A644" s="9">
        <v>6420</v>
      </c>
      <c r="B644" s="10">
        <f>1-EXP(-((4*Параметры!$B$2/Параметры!$B$3*Параметры!$B$10*Параметры!$B$4)*(Параметры!$B$6*Параметры!$B$7/Параметры!$B$8*1E-24))*(A644*0.0000001)/SIN(RADIANS(Параметры!$B$9)))</f>
        <v>5.272161424089572E-2</v>
      </c>
      <c r="C644" s="10">
        <f>1-EXP(-((4*Параметры!$B$2/Параметры!$B$3*Параметры!$B$10*Параметры!$B$5)*(Параметры!$B$6*Параметры!$B$7/Параметры!$B$8*1E-24))*(A644*0.0000001)/SIN(RADIANS(Параметры!$B$9)))</f>
        <v>0.21630093946815399</v>
      </c>
    </row>
    <row r="645" spans="1:3" ht="15.75" x14ac:dyDescent="0.25">
      <c r="A645" s="9">
        <v>6430</v>
      </c>
      <c r="B645" s="10">
        <f>1-EXP(-((4*Параметры!$B$2/Параметры!$B$3*Параметры!$B$10*Параметры!$B$4)*(Параметры!$B$6*Параметры!$B$7/Параметры!$B$8*1E-24))*(A645*0.0000001)/SIN(RADIANS(Параметры!$B$9)))</f>
        <v>5.280152791210968E-2</v>
      </c>
      <c r="C645" s="10">
        <f>1-EXP(-((4*Параметры!$B$2/Параметры!$B$3*Параметры!$B$10*Параметры!$B$5)*(Параметры!$B$6*Параметры!$B$7/Параметры!$B$8*1E-24))*(A645*0.0000001)/SIN(RADIANS(Параметры!$B$9)))</f>
        <v>0.21659840810155007</v>
      </c>
    </row>
    <row r="646" spans="1:3" ht="15.75" x14ac:dyDescent="0.25">
      <c r="A646" s="9">
        <v>6440</v>
      </c>
      <c r="B646" s="10">
        <f>1-EXP(-((4*Параметры!$B$2/Параметры!$B$3*Параметры!$B$10*Параметры!$B$4)*(Параметры!$B$6*Параметры!$B$7/Параметры!$B$8*1E-24))*(A646*0.0000001)/SIN(RADIANS(Параметры!$B$9)))</f>
        <v>5.2881434841699493E-2</v>
      </c>
      <c r="C646" s="10">
        <f>1-EXP(-((4*Параметры!$B$2/Параметры!$B$3*Параметры!$B$10*Параметры!$B$5)*(Параметры!$B$6*Параметры!$B$7/Параметры!$B$8*1E-24))*(A646*0.0000001)/SIN(RADIANS(Параметры!$B$9)))</f>
        <v>0.21689576382478426</v>
      </c>
    </row>
    <row r="647" spans="1:3" ht="15.75" x14ac:dyDescent="0.25">
      <c r="A647" s="9">
        <v>6450</v>
      </c>
      <c r="B647" s="10">
        <f>1-EXP(-((4*Параметры!$B$2/Параметры!$B$3*Параметры!$B$10*Параметры!$B$4)*(Параметры!$B$6*Параметры!$B$7/Параметры!$B$8*1E-24))*(A647*0.0000001)/SIN(RADIANS(Параметры!$B$9)))</f>
        <v>5.2961335030233814E-2</v>
      </c>
      <c r="C647" s="10">
        <f>1-EXP(-((4*Параметры!$B$2/Параметры!$B$3*Параметры!$B$10*Параметры!$B$5)*(Параметры!$B$6*Параметры!$B$7/Параметры!$B$8*1E-24))*(A647*0.0000001)/SIN(RADIANS(Параметры!$B$9)))</f>
        <v>0.21719300668071373</v>
      </c>
    </row>
    <row r="648" spans="1:3" ht="15.75" x14ac:dyDescent="0.25">
      <c r="A648" s="9">
        <v>6460</v>
      </c>
      <c r="B648" s="10">
        <f>1-EXP(-((4*Параметры!$B$2/Параметры!$B$3*Параметры!$B$10*Параметры!$B$4)*(Параметры!$B$6*Параметры!$B$7/Параметры!$B$8*1E-24))*(A648*0.0000001)/SIN(RADIANS(Параметры!$B$9)))</f>
        <v>5.304122847828141E-2</v>
      </c>
      <c r="C648" s="10">
        <f>1-EXP(-((4*Параметры!$B$2/Параметры!$B$3*Параметры!$B$10*Параметры!$B$5)*(Параметры!$B$6*Параметры!$B$7/Параметры!$B$8*1E-24))*(A648*0.0000001)/SIN(RADIANS(Параметры!$B$9)))</f>
        <v>0.21749013671217965</v>
      </c>
    </row>
    <row r="649" spans="1:3" ht="15.75" x14ac:dyDescent="0.25">
      <c r="A649" s="9">
        <v>6470</v>
      </c>
      <c r="B649" s="10">
        <f>1-EXP(-((4*Параметры!$B$2/Параметры!$B$3*Параметры!$B$10*Параметры!$B$4)*(Параметры!$B$6*Параметры!$B$7/Параметры!$B$8*1E-24))*(A649*0.0000001)/SIN(RADIANS(Параметры!$B$9)))</f>
        <v>5.3121115186410939E-2</v>
      </c>
      <c r="C649" s="10">
        <f>1-EXP(-((4*Параметры!$B$2/Параметры!$B$3*Параметры!$B$10*Параметры!$B$5)*(Параметры!$B$6*Параметры!$B$7/Параметры!$B$8*1E-24))*(A649*0.0000001)/SIN(RADIANS(Параметры!$B$9)))</f>
        <v>0.21778715396200665</v>
      </c>
    </row>
    <row r="650" spans="1:3" ht="15.75" x14ac:dyDescent="0.25">
      <c r="A650" s="9">
        <v>6480</v>
      </c>
      <c r="B650" s="10">
        <f>1-EXP(-((4*Параметры!$B$2/Параметры!$B$3*Параметры!$B$10*Параметры!$B$4)*(Параметры!$B$6*Параметры!$B$7/Параметры!$B$8*1E-24))*(A650*0.0000001)/SIN(RADIANS(Параметры!$B$9)))</f>
        <v>5.3200995155191055E-2</v>
      </c>
      <c r="C650" s="10">
        <f>1-EXP(-((4*Параметры!$B$2/Параметры!$B$3*Параметры!$B$10*Параметры!$B$5)*(Параметры!$B$6*Параметры!$B$7/Параметры!$B$8*1E-24))*(A650*0.0000001)/SIN(RADIANS(Параметры!$B$9)))</f>
        <v>0.21808405847300338</v>
      </c>
    </row>
    <row r="651" spans="1:3" ht="15.75" x14ac:dyDescent="0.25">
      <c r="A651" s="9">
        <v>6490</v>
      </c>
      <c r="B651" s="10">
        <f>1-EXP(-((4*Параметры!$B$2/Параметры!$B$3*Параметры!$B$10*Параметры!$B$4)*(Параметры!$B$6*Параметры!$B$7/Параметры!$B$8*1E-24))*(A651*0.0000001)/SIN(RADIANS(Параметры!$B$9)))</f>
        <v>5.3280868385190083E-2</v>
      </c>
      <c r="C651" s="10">
        <f>1-EXP(-((4*Параметры!$B$2/Параметры!$B$3*Параметры!$B$10*Параметры!$B$5)*(Параметры!$B$6*Параметры!$B$7/Параметры!$B$8*1E-24))*(A651*0.0000001)/SIN(RADIANS(Параметры!$B$9)))</f>
        <v>0.21838085028796217</v>
      </c>
    </row>
    <row r="652" spans="1:3" ht="15.75" x14ac:dyDescent="0.25">
      <c r="A652" s="9">
        <v>6500</v>
      </c>
      <c r="B652" s="10">
        <f>1-EXP(-((4*Параметры!$B$2/Параметры!$B$3*Параметры!$B$10*Параметры!$B$4)*(Параметры!$B$6*Параметры!$B$7/Параметры!$B$8*1E-24))*(A652*0.0000001)/SIN(RADIANS(Параметры!$B$9)))</f>
        <v>5.3360734876976568E-2</v>
      </c>
      <c r="C652" s="10">
        <f>1-EXP(-((4*Параметры!$B$2/Параметры!$B$3*Параметры!$B$10*Параметры!$B$5)*(Параметры!$B$6*Параметры!$B$7/Параметры!$B$8*1E-24))*(A652*0.0000001)/SIN(RADIANS(Параметры!$B$9)))</f>
        <v>0.21867752944965879</v>
      </c>
    </row>
    <row r="653" spans="1:3" ht="15.75" x14ac:dyDescent="0.25">
      <c r="A653" s="9">
        <v>6510</v>
      </c>
      <c r="B653" s="10">
        <f>1-EXP(-((4*Параметры!$B$2/Параметры!$B$3*Параметры!$B$10*Параметры!$B$4)*(Параметры!$B$6*Параметры!$B$7/Параметры!$B$8*1E-24))*(A653*0.0000001)/SIN(RADIANS(Параметры!$B$9)))</f>
        <v>5.3440594631119165E-2</v>
      </c>
      <c r="C653" s="10">
        <f>1-EXP(-((4*Параметры!$B$2/Параметры!$B$3*Параметры!$B$10*Параметры!$B$5)*(Параметры!$B$6*Параметры!$B$7/Параметры!$B$8*1E-24))*(A653*0.0000001)/SIN(RADIANS(Параметры!$B$9)))</f>
        <v>0.21897409600085338</v>
      </c>
    </row>
    <row r="654" spans="1:3" ht="15.75" x14ac:dyDescent="0.25">
      <c r="A654" s="9">
        <v>6520</v>
      </c>
      <c r="B654" s="10">
        <f>1-EXP(-((4*Параметры!$B$2/Параметры!$B$3*Параметры!$B$10*Параметры!$B$4)*(Параметры!$B$6*Параметры!$B$7/Параметры!$B$8*1E-24))*(A654*0.0000001)/SIN(RADIANS(Параметры!$B$9)))</f>
        <v>5.3520447648186087E-2</v>
      </c>
      <c r="C654" s="10">
        <f>1-EXP(-((4*Параметры!$B$2/Параметры!$B$3*Параметры!$B$10*Параметры!$B$5)*(Параметры!$B$6*Параметры!$B$7/Параметры!$B$8*1E-24))*(A654*0.0000001)/SIN(RADIANS(Параметры!$B$9)))</f>
        <v>0.21927054998428919</v>
      </c>
    </row>
    <row r="655" spans="1:3" ht="15.75" x14ac:dyDescent="0.25">
      <c r="A655" s="9">
        <v>6530</v>
      </c>
      <c r="B655" s="10">
        <f>1-EXP(-((4*Параметры!$B$2/Параметры!$B$3*Параметры!$B$10*Параметры!$B$4)*(Параметры!$B$6*Параметры!$B$7/Параметры!$B$8*1E-24))*(A655*0.0000001)/SIN(RADIANS(Параметры!$B$9)))</f>
        <v>5.3600293928745657E-2</v>
      </c>
      <c r="C655" s="10">
        <f>1-EXP(-((4*Параметры!$B$2/Параметры!$B$3*Параметры!$B$10*Параметры!$B$5)*(Параметры!$B$6*Параметры!$B$7/Параметры!$B$8*1E-24))*(A655*0.0000001)/SIN(RADIANS(Параметры!$B$9)))</f>
        <v>0.2195668914426937</v>
      </c>
    </row>
    <row r="656" spans="1:3" ht="15.75" x14ac:dyDescent="0.25">
      <c r="A656" s="9">
        <v>6540</v>
      </c>
      <c r="B656" s="10">
        <f>1-EXP(-((4*Параметры!$B$2/Параметры!$B$3*Параметры!$B$10*Параметры!$B$4)*(Параметры!$B$6*Параметры!$B$7/Параметры!$B$8*1E-24))*(A656*0.0000001)/SIN(RADIANS(Параметры!$B$9)))</f>
        <v>5.3680133473366198E-2</v>
      </c>
      <c r="C656" s="10">
        <f>1-EXP(-((4*Параметры!$B$2/Параметры!$B$3*Параметры!$B$10*Параметры!$B$5)*(Параметры!$B$6*Параметры!$B$7/Параметры!$B$8*1E-24))*(A656*0.0000001)/SIN(RADIANS(Параметры!$B$9)))</f>
        <v>0.21986312041877809</v>
      </c>
    </row>
    <row r="657" spans="1:3" ht="15.75" x14ac:dyDescent="0.25">
      <c r="A657" s="9">
        <v>6550</v>
      </c>
      <c r="B657" s="10">
        <f>1-EXP(-((4*Параметры!$B$2/Параметры!$B$3*Параметры!$B$10*Параметры!$B$4)*(Параметры!$B$6*Параметры!$B$7/Параметры!$B$8*1E-24))*(A657*0.0000001)/SIN(RADIANS(Параметры!$B$9)))</f>
        <v>5.3759966282616145E-2</v>
      </c>
      <c r="C657" s="10">
        <f>1-EXP(-((4*Параметры!$B$2/Параметры!$B$3*Параметры!$B$10*Параметры!$B$5)*(Параметры!$B$6*Параметры!$B$7/Параметры!$B$8*1E-24))*(A657*0.0000001)/SIN(RADIANS(Параметры!$B$9)))</f>
        <v>0.2201592369552372</v>
      </c>
    </row>
    <row r="658" spans="1:3" ht="15.75" x14ac:dyDescent="0.25">
      <c r="A658" s="9">
        <v>6560</v>
      </c>
      <c r="B658" s="10">
        <f>1-EXP(-((4*Параметры!$B$2/Параметры!$B$3*Параметры!$B$10*Параметры!$B$4)*(Параметры!$B$6*Параметры!$B$7/Параметры!$B$8*1E-24))*(A658*0.0000001)/SIN(RADIANS(Параметры!$B$9)))</f>
        <v>5.3839792357063487E-2</v>
      </c>
      <c r="C658" s="10">
        <f>1-EXP(-((4*Параметры!$B$2/Параметры!$B$3*Параметры!$B$10*Параметры!$B$5)*(Параметры!$B$6*Параметры!$B$7/Параметры!$B$8*1E-24))*(A658*0.0000001)/SIN(RADIANS(Параметры!$B$9)))</f>
        <v>0.22045524109474979</v>
      </c>
    </row>
    <row r="659" spans="1:3" ht="15.75" x14ac:dyDescent="0.25">
      <c r="A659" s="9">
        <v>6570</v>
      </c>
      <c r="B659" s="10">
        <f>1-EXP(-((4*Параметры!$B$2/Параметры!$B$3*Параметры!$B$10*Параметры!$B$4)*(Параметры!$B$6*Параметры!$B$7/Параметры!$B$8*1E-24))*(A659*0.0000001)/SIN(RADIANS(Параметры!$B$9)))</f>
        <v>5.3919611697276437E-2</v>
      </c>
      <c r="C659" s="10">
        <f>1-EXP(-((4*Параметры!$B$2/Параметры!$B$3*Параметры!$B$10*Параметры!$B$5)*(Параметры!$B$6*Параметры!$B$7/Параметры!$B$8*1E-24))*(A659*0.0000001)/SIN(RADIANS(Параметры!$B$9)))</f>
        <v>0.22075113287997816</v>
      </c>
    </row>
    <row r="660" spans="1:3" ht="15.75" x14ac:dyDescent="0.25">
      <c r="A660" s="9">
        <v>6580</v>
      </c>
      <c r="B660" s="10">
        <f>1-EXP(-((4*Параметры!$B$2/Параметры!$B$3*Параметры!$B$10*Параметры!$B$4)*(Параметры!$B$6*Параметры!$B$7/Параметры!$B$8*1E-24))*(A660*0.0000001)/SIN(RADIANS(Параметры!$B$9)))</f>
        <v>5.3999424303823096E-2</v>
      </c>
      <c r="C660" s="10">
        <f>1-EXP(-((4*Параметры!$B$2/Параметры!$B$3*Параметры!$B$10*Параметры!$B$5)*(Параметры!$B$6*Параметры!$B$7/Параметры!$B$8*1E-24))*(A660*0.0000001)/SIN(RADIANS(Параметры!$B$9)))</f>
        <v>0.22104691235356899</v>
      </c>
    </row>
    <row r="661" spans="1:3" ht="15.75" x14ac:dyDescent="0.25">
      <c r="A661" s="9">
        <v>6590</v>
      </c>
      <c r="B661" s="10">
        <f>1-EXP(-((4*Параметры!$B$2/Параметры!$B$3*Параметры!$B$10*Параметры!$B$4)*(Параметры!$B$6*Параметры!$B$7/Параметры!$B$8*1E-24))*(A661*0.0000001)/SIN(RADIANS(Параметры!$B$9)))</f>
        <v>5.4079230177271675E-2</v>
      </c>
      <c r="C661" s="10">
        <f>1-EXP(-((4*Параметры!$B$2/Параметры!$B$3*Параметры!$B$10*Параметры!$B$5)*(Параметры!$B$6*Параметры!$B$7/Параметры!$B$8*1E-24))*(A661*0.0000001)/SIN(RADIANS(Параметры!$B$9)))</f>
        <v>0.22134257955815206</v>
      </c>
    </row>
    <row r="662" spans="1:3" ht="15.75" x14ac:dyDescent="0.25">
      <c r="A662" s="9">
        <v>6600</v>
      </c>
      <c r="B662" s="10">
        <f>1-EXP(-((4*Параметры!$B$2/Параметры!$B$3*Параметры!$B$10*Параметры!$B$4)*(Параметры!$B$6*Параметры!$B$7/Параметры!$B$8*1E-24))*(A662*0.0000001)/SIN(RADIANS(Параметры!$B$9)))</f>
        <v>5.4159029318189944E-2</v>
      </c>
      <c r="C662" s="10">
        <f>1-EXP(-((4*Параметры!$B$2/Параметры!$B$3*Параметры!$B$10*Параметры!$B$5)*(Параметры!$B$6*Параметры!$B$7/Параметры!$B$8*1E-24))*(A662*0.0000001)/SIN(RADIANS(Параметры!$B$9)))</f>
        <v>0.22163813453634151</v>
      </c>
    </row>
    <row r="663" spans="1:3" ht="15.75" x14ac:dyDescent="0.25">
      <c r="A663" s="9">
        <v>6610</v>
      </c>
      <c r="B663" s="10">
        <f>1-EXP(-((4*Параметры!$B$2/Параметры!$B$3*Параметры!$B$10*Параметры!$B$4)*(Параметры!$B$6*Параметры!$B$7/Параметры!$B$8*1E-24))*(A663*0.0000001)/SIN(RADIANS(Параметры!$B$9)))</f>
        <v>5.4238821727146003E-2</v>
      </c>
      <c r="C663" s="10">
        <f>1-EXP(-((4*Параметры!$B$2/Параметры!$B$3*Параметры!$B$10*Параметры!$B$5)*(Параметры!$B$6*Параметры!$B$7/Параметры!$B$8*1E-24))*(A663*0.0000001)/SIN(RADIANS(Параметры!$B$9)))</f>
        <v>0.22193357733073515</v>
      </c>
    </row>
    <row r="664" spans="1:3" ht="15.75" x14ac:dyDescent="0.25">
      <c r="A664" s="9">
        <v>6620</v>
      </c>
      <c r="B664" s="10">
        <f>1-EXP(-((4*Параметры!$B$2/Параметры!$B$3*Параметры!$B$10*Параметры!$B$4)*(Параметры!$B$6*Параметры!$B$7/Параметры!$B$8*1E-24))*(A664*0.0000001)/SIN(RADIANS(Параметры!$B$9)))</f>
        <v>5.4318607404707842E-2</v>
      </c>
      <c r="C664" s="10">
        <f>1-EXP(-((4*Параметры!$B$2/Параметры!$B$3*Параметры!$B$10*Параметры!$B$5)*(Параметры!$B$6*Параметры!$B$7/Параметры!$B$8*1E-24))*(A664*0.0000001)/SIN(RADIANS(Параметры!$B$9)))</f>
        <v>0.22222890798391437</v>
      </c>
    </row>
    <row r="665" spans="1:3" ht="15.75" x14ac:dyDescent="0.25">
      <c r="A665" s="9">
        <v>6630</v>
      </c>
      <c r="B665" s="10">
        <f>1-EXP(-((4*Параметры!$B$2/Параметры!$B$3*Параметры!$B$10*Параметры!$B$4)*(Параметры!$B$6*Параметры!$B$7/Параметры!$B$8*1E-24))*(A665*0.0000001)/SIN(RADIANS(Параметры!$B$9)))</f>
        <v>5.4398386351443118E-2</v>
      </c>
      <c r="C665" s="10">
        <f>1-EXP(-((4*Параметры!$B$2/Параметры!$B$3*Параметры!$B$10*Параметры!$B$5)*(Параметры!$B$6*Параметры!$B$7/Параметры!$B$8*1E-24))*(A665*0.0000001)/SIN(RADIANS(Параметры!$B$9)))</f>
        <v>0.22252412653844467</v>
      </c>
    </row>
    <row r="666" spans="1:3" ht="15.75" x14ac:dyDescent="0.25">
      <c r="A666" s="9">
        <v>6640</v>
      </c>
      <c r="B666" s="10">
        <f>1-EXP(-((4*Параметры!$B$2/Параметры!$B$3*Параметры!$B$10*Параметры!$B$4)*(Параметры!$B$6*Параметры!$B$7/Параметры!$B$8*1E-24))*(A666*0.0000001)/SIN(RADIANS(Параметры!$B$9)))</f>
        <v>5.4478158567919821E-2</v>
      </c>
      <c r="C666" s="10">
        <f>1-EXP(-((4*Параметры!$B$2/Параметры!$B$3*Параметры!$B$10*Параметры!$B$5)*(Параметры!$B$6*Параметры!$B$7/Параметры!$B$8*1E-24))*(A666*0.0000001)/SIN(RADIANS(Параметры!$B$9)))</f>
        <v>0.22281923303687556</v>
      </c>
    </row>
    <row r="667" spans="1:3" ht="15.75" x14ac:dyDescent="0.25">
      <c r="A667" s="9">
        <v>6650</v>
      </c>
      <c r="B667" s="10">
        <f>1-EXP(-((4*Параметры!$B$2/Параметры!$B$3*Параметры!$B$10*Параметры!$B$4)*(Параметры!$B$6*Параметры!$B$7/Параметры!$B$8*1E-24))*(A667*0.0000001)/SIN(RADIANS(Параметры!$B$9)))</f>
        <v>5.455792405470572E-2</v>
      </c>
      <c r="C667" s="10">
        <f>1-EXP(-((4*Параметры!$B$2/Параметры!$B$3*Параметры!$B$10*Параметры!$B$5)*(Параметры!$B$6*Параметры!$B$7/Параметры!$B$8*1E-24))*(A667*0.0000001)/SIN(RADIANS(Параметры!$B$9)))</f>
        <v>0.22311422752173993</v>
      </c>
    </row>
    <row r="668" spans="1:3" ht="15.75" x14ac:dyDescent="0.25">
      <c r="A668" s="9">
        <v>6660</v>
      </c>
      <c r="B668" s="10">
        <f>1-EXP(-((4*Параметры!$B$2/Параметры!$B$3*Параметры!$B$10*Параметры!$B$4)*(Параметры!$B$6*Параметры!$B$7/Параметры!$B$8*1E-24))*(A668*0.0000001)/SIN(RADIANS(Параметры!$B$9)))</f>
        <v>5.4637682812368471E-2</v>
      </c>
      <c r="C668" s="10">
        <f>1-EXP(-((4*Параметры!$B$2/Параметры!$B$3*Параметры!$B$10*Параметры!$B$5)*(Параметры!$B$6*Параметры!$B$7/Параметры!$B$8*1E-24))*(A668*0.0000001)/SIN(RADIANS(Параметры!$B$9)))</f>
        <v>0.22340911003555475</v>
      </c>
    </row>
    <row r="669" spans="1:3" ht="15.75" x14ac:dyDescent="0.25">
      <c r="A669" s="9">
        <v>6670</v>
      </c>
      <c r="B669" s="10">
        <f>1-EXP(-((4*Параметры!$B$2/Параметры!$B$3*Параметры!$B$10*Параметры!$B$4)*(Параметры!$B$6*Параметры!$B$7/Параметры!$B$8*1E-24))*(A669*0.0000001)/SIN(RADIANS(Параметры!$B$9)))</f>
        <v>5.4717434841475843E-2</v>
      </c>
      <c r="C669" s="10">
        <f>1-EXP(-((4*Параметры!$B$2/Параметры!$B$3*Параметры!$B$10*Параметры!$B$5)*(Параметры!$B$6*Параметры!$B$7/Параметры!$B$8*1E-24))*(A669*0.0000001)/SIN(RADIANS(Параметры!$B$9)))</f>
        <v>0.22370388062082103</v>
      </c>
    </row>
    <row r="670" spans="1:3" ht="15.75" x14ac:dyDescent="0.25">
      <c r="A670" s="9">
        <v>6680</v>
      </c>
      <c r="B670" s="10">
        <f>1-EXP(-((4*Параметры!$B$2/Параметры!$B$3*Параметры!$B$10*Параметры!$B$4)*(Параметры!$B$6*Параметры!$B$7/Параметры!$B$8*1E-24))*(A670*0.0000001)/SIN(RADIANS(Параметры!$B$9)))</f>
        <v>5.479718014259527E-2</v>
      </c>
      <c r="C670" s="10">
        <f>1-EXP(-((4*Параметры!$B$2/Параметры!$B$3*Параметры!$B$10*Параметры!$B$5)*(Параметры!$B$6*Параметры!$B$7/Параметры!$B$8*1E-24))*(A670*0.0000001)/SIN(RADIANS(Параметры!$B$9)))</f>
        <v>0.22399853932002345</v>
      </c>
    </row>
    <row r="671" spans="1:3" ht="15.75" x14ac:dyDescent="0.25">
      <c r="A671" s="9">
        <v>6690</v>
      </c>
      <c r="B671" s="10">
        <f>1-EXP(-((4*Параметры!$B$2/Параметры!$B$3*Параметры!$B$10*Параметры!$B$4)*(Параметры!$B$6*Параметры!$B$7/Параметры!$B$8*1E-24))*(A671*0.0000001)/SIN(RADIANS(Параметры!$B$9)))</f>
        <v>5.4876918716294631E-2</v>
      </c>
      <c r="C671" s="10">
        <f>1-EXP(-((4*Параметры!$B$2/Параметры!$B$3*Параметры!$B$10*Параметры!$B$5)*(Параметры!$B$6*Параметры!$B$7/Параметры!$B$8*1E-24))*(A671*0.0000001)/SIN(RADIANS(Параметры!$B$9)))</f>
        <v>0.22429308617563049</v>
      </c>
    </row>
    <row r="672" spans="1:3" ht="15.75" x14ac:dyDescent="0.25">
      <c r="A672" s="9">
        <v>6700</v>
      </c>
      <c r="B672" s="10">
        <f>1-EXP(-((4*Параметры!$B$2/Параметры!$B$3*Параметры!$B$10*Параметры!$B$4)*(Параметры!$B$6*Параметры!$B$7/Параметры!$B$8*1E-24))*(A672*0.0000001)/SIN(RADIANS(Параметры!$B$9)))</f>
        <v>5.4956650563141141E-2</v>
      </c>
      <c r="C672" s="10">
        <f>1-EXP(-((4*Параметры!$B$2/Параметры!$B$3*Параметры!$B$10*Параметры!$B$5)*(Параметры!$B$6*Параметры!$B$7/Параметры!$B$8*1E-24))*(A672*0.0000001)/SIN(RADIANS(Параметры!$B$9)))</f>
        <v>0.22458752123009473</v>
      </c>
    </row>
    <row r="673" spans="1:3" ht="15.75" x14ac:dyDescent="0.25">
      <c r="A673" s="9">
        <v>6710</v>
      </c>
      <c r="B673" s="10">
        <f>1-EXP(-((4*Параметры!$B$2/Параметры!$B$3*Параметры!$B$10*Параметры!$B$4)*(Параметры!$B$6*Параметры!$B$7/Параметры!$B$8*1E-24))*(A673*0.0000001)/SIN(RADIANS(Параметры!$B$9)))</f>
        <v>5.5036375683702565E-2</v>
      </c>
      <c r="C673" s="10">
        <f>1-EXP(-((4*Параметры!$B$2/Параметры!$B$3*Параметры!$B$10*Параметры!$B$5)*(Параметры!$B$6*Параметры!$B$7/Параметры!$B$8*1E-24))*(A673*0.0000001)/SIN(RADIANS(Параметры!$B$9)))</f>
        <v>0.22488184452585247</v>
      </c>
    </row>
    <row r="674" spans="1:3" ht="15.75" x14ac:dyDescent="0.25">
      <c r="A674" s="9">
        <v>6720</v>
      </c>
      <c r="B674" s="10">
        <f>1-EXP(-((4*Параметры!$B$2/Параметры!$B$3*Параметры!$B$10*Параметры!$B$4)*(Параметры!$B$6*Параметры!$B$7/Параметры!$B$8*1E-24))*(A674*0.0000001)/SIN(RADIANS(Параметры!$B$9)))</f>
        <v>5.5116094078546118E-2</v>
      </c>
      <c r="C674" s="10">
        <f>1-EXP(-((4*Параметры!$B$2/Параметры!$B$3*Параметры!$B$10*Параметры!$B$5)*(Параметры!$B$6*Параметры!$B$7/Параметры!$B$8*1E-24))*(A674*0.0000001)/SIN(RADIANS(Параметры!$B$9)))</f>
        <v>0.22517605610532399</v>
      </c>
    </row>
    <row r="675" spans="1:3" ht="15.75" x14ac:dyDescent="0.25">
      <c r="A675" s="9">
        <v>6730</v>
      </c>
      <c r="B675" s="10">
        <f>1-EXP(-((4*Параметры!$B$2/Параметры!$B$3*Параметры!$B$10*Параметры!$B$4)*(Параметры!$B$6*Параметры!$B$7/Параметры!$B$8*1E-24))*(A675*0.0000001)/SIN(RADIANS(Параметры!$B$9)))</f>
        <v>5.5195805748239346E-2</v>
      </c>
      <c r="C675" s="10">
        <f>1-EXP(-((4*Параметры!$B$2/Параметры!$B$3*Параметры!$B$10*Параметры!$B$5)*(Параметры!$B$6*Параметры!$B$7/Параметры!$B$8*1E-24))*(A675*0.0000001)/SIN(RADIANS(Параметры!$B$9)))</f>
        <v>0.22547015601091347</v>
      </c>
    </row>
    <row r="676" spans="1:3" ht="15.75" x14ac:dyDescent="0.25">
      <c r="A676" s="9">
        <v>6740</v>
      </c>
      <c r="B676" s="10">
        <f>1-EXP(-((4*Параметры!$B$2/Параметры!$B$3*Параметры!$B$10*Параметры!$B$4)*(Параметры!$B$6*Параметры!$B$7/Параметры!$B$8*1E-24))*(A676*0.0000001)/SIN(RADIANS(Параметры!$B$9)))</f>
        <v>5.5275510693349572E-2</v>
      </c>
      <c r="C676" s="10">
        <f>1-EXP(-((4*Параметры!$B$2/Параметры!$B$3*Параметры!$B$10*Параметры!$B$5)*(Параметры!$B$6*Параметры!$B$7/Параметры!$B$8*1E-24))*(A676*0.0000001)/SIN(RADIANS(Параметры!$B$9)))</f>
        <v>0.22576414428500879</v>
      </c>
    </row>
    <row r="677" spans="1:3" ht="15.75" x14ac:dyDescent="0.25">
      <c r="A677" s="9">
        <v>6750</v>
      </c>
      <c r="B677" s="10">
        <f>1-EXP(-((4*Параметры!$B$2/Параметры!$B$3*Параметры!$B$10*Параметры!$B$4)*(Параметры!$B$6*Параметры!$B$7/Параметры!$B$8*1E-24))*(A677*0.0000001)/SIN(RADIANS(Параметры!$B$9)))</f>
        <v>5.535520891444401E-2</v>
      </c>
      <c r="C677" s="10">
        <f>1-EXP(-((4*Параметры!$B$2/Параметры!$B$3*Параметры!$B$10*Параметры!$B$5)*(Параметры!$B$6*Параметры!$B$7/Параметры!$B$8*1E-24))*(A677*0.0000001)/SIN(RADIANS(Параметры!$B$9)))</f>
        <v>0.22605802096998207</v>
      </c>
    </row>
    <row r="678" spans="1:3" ht="15.75" x14ac:dyDescent="0.25">
      <c r="A678" s="9">
        <v>6760</v>
      </c>
      <c r="B678" s="10">
        <f>1-EXP(-((4*Параметры!$B$2/Параметры!$B$3*Параметры!$B$10*Параметры!$B$4)*(Параметры!$B$6*Параметры!$B$7/Параметры!$B$8*1E-24))*(A678*0.0000001)/SIN(RADIANS(Параметры!$B$9)))</f>
        <v>5.5434900412089982E-2</v>
      </c>
      <c r="C678" s="10">
        <f>1-EXP(-((4*Параметры!$B$2/Параметры!$B$3*Параметры!$B$10*Параметры!$B$5)*(Параметры!$B$6*Параметры!$B$7/Параметры!$B$8*1E-24))*(A678*0.0000001)/SIN(RADIANS(Параметры!$B$9)))</f>
        <v>0.22635178610818929</v>
      </c>
    </row>
    <row r="679" spans="1:3" ht="15.75" x14ac:dyDescent="0.25">
      <c r="A679" s="9">
        <v>6770</v>
      </c>
      <c r="B679" s="10">
        <f>1-EXP(-((4*Параметры!$B$2/Параметры!$B$3*Параметры!$B$10*Параметры!$B$4)*(Параметры!$B$6*Параметры!$B$7/Параметры!$B$8*1E-24))*(A679*0.0000001)/SIN(RADIANS(Параметры!$B$9)))</f>
        <v>5.5514585186854593E-2</v>
      </c>
      <c r="C679" s="10">
        <f>1-EXP(-((4*Параметры!$B$2/Параметры!$B$3*Параметры!$B$10*Параметры!$B$5)*(Параметры!$B$6*Параметры!$B$7/Параметры!$B$8*1E-24))*(A679*0.0000001)/SIN(RADIANS(Параметры!$B$9)))</f>
        <v>0.22664543974197005</v>
      </c>
    </row>
    <row r="680" spans="1:3" ht="15.75" x14ac:dyDescent="0.25">
      <c r="A680" s="9">
        <v>6780</v>
      </c>
      <c r="B680" s="10">
        <f>1-EXP(-((4*Параметры!$B$2/Параметры!$B$3*Параметры!$B$10*Параметры!$B$4)*(Параметры!$B$6*Параметры!$B$7/Параметры!$B$8*1E-24))*(A680*0.0000001)/SIN(RADIANS(Параметры!$B$9)))</f>
        <v>5.5594263239305053E-2</v>
      </c>
      <c r="C680" s="10">
        <f>1-EXP(-((4*Параметры!$B$2/Параметры!$B$3*Параметры!$B$10*Параметры!$B$5)*(Параметры!$B$6*Параметры!$B$7/Параметры!$B$8*1E-24))*(A680*0.0000001)/SIN(RADIANS(Параметры!$B$9)))</f>
        <v>0.22693898191364814</v>
      </c>
    </row>
    <row r="681" spans="1:3" ht="15.75" x14ac:dyDescent="0.25">
      <c r="A681" s="9">
        <v>6790</v>
      </c>
      <c r="B681" s="10">
        <f>1-EXP(-((4*Параметры!$B$2/Параметры!$B$3*Параметры!$B$10*Параметры!$B$4)*(Параметры!$B$6*Параметры!$B$7/Параметры!$B$8*1E-24))*(A681*0.0000001)/SIN(RADIANS(Параметры!$B$9)))</f>
        <v>5.5673934570008576E-2</v>
      </c>
      <c r="C681" s="10">
        <f>1-EXP(-((4*Параметры!$B$2/Параметры!$B$3*Параметры!$B$10*Параметры!$B$5)*(Параметры!$B$6*Параметры!$B$7/Параметры!$B$8*1E-24))*(A681*0.0000001)/SIN(RADIANS(Параметры!$B$9)))</f>
        <v>0.22723241266553129</v>
      </c>
    </row>
    <row r="682" spans="1:3" ht="15.75" x14ac:dyDescent="0.25">
      <c r="A682" s="9">
        <v>6800</v>
      </c>
      <c r="B682" s="10">
        <f>1-EXP(-((4*Параметры!$B$2/Параметры!$B$3*Параметры!$B$10*Параметры!$B$4)*(Параметры!$B$6*Параметры!$B$7/Параметры!$B$8*1E-24))*(A682*0.0000001)/SIN(RADIANS(Параметры!$B$9)))</f>
        <v>5.5753599179532043E-2</v>
      </c>
      <c r="C682" s="10">
        <f>1-EXP(-((4*Параметры!$B$2/Параметры!$B$3*Параметры!$B$10*Параметры!$B$5)*(Параметры!$B$6*Параметры!$B$7/Параметры!$B$8*1E-24))*(A682*0.0000001)/SIN(RADIANS(Параметры!$B$9)))</f>
        <v>0.22752573203991111</v>
      </c>
    </row>
    <row r="683" spans="1:3" ht="15.75" x14ac:dyDescent="0.25">
      <c r="A683" s="9">
        <v>6810</v>
      </c>
      <c r="B683" s="10">
        <f>1-EXP(-((4*Параметры!$B$2/Параметры!$B$3*Параметры!$B$10*Параметры!$B$4)*(Параметры!$B$6*Параметры!$B$7/Параметры!$B$8*1E-24))*(A683*0.0000001)/SIN(RADIANS(Параметры!$B$9)))</f>
        <v>5.5833257068442554E-2</v>
      </c>
      <c r="C683" s="10">
        <f>1-EXP(-((4*Параметры!$B$2/Параметры!$B$3*Параметры!$B$10*Параметры!$B$5)*(Параметры!$B$6*Параметры!$B$7/Параметры!$B$8*1E-24))*(A683*0.0000001)/SIN(RADIANS(Параметры!$B$9)))</f>
        <v>0.227818940079063</v>
      </c>
    </row>
    <row r="684" spans="1:3" ht="15.75" x14ac:dyDescent="0.25">
      <c r="A684" s="9">
        <v>6820</v>
      </c>
      <c r="B684" s="10">
        <f>1-EXP(-((4*Параметры!$B$2/Параметры!$B$3*Параметры!$B$10*Параметры!$B$4)*(Параметры!$B$6*Параметры!$B$7/Параметры!$B$8*1E-24))*(A684*0.0000001)/SIN(RADIANS(Параметры!$B$9)))</f>
        <v>5.5912908237307102E-2</v>
      </c>
      <c r="C684" s="10">
        <f>1-EXP(-((4*Параметры!$B$2/Параметры!$B$3*Параметры!$B$10*Параметры!$B$5)*(Параметры!$B$6*Параметры!$B$7/Параметры!$B$8*1E-24))*(A684*0.0000001)/SIN(RADIANS(Параметры!$B$9)))</f>
        <v>0.22811203682524661</v>
      </c>
    </row>
    <row r="685" spans="1:3" ht="15.75" x14ac:dyDescent="0.25">
      <c r="A685" s="9">
        <v>6830</v>
      </c>
      <c r="B685" s="10">
        <f>1-EXP(-((4*Параметры!$B$2/Параметры!$B$3*Параметры!$B$10*Параметры!$B$4)*(Параметры!$B$6*Параметры!$B$7/Параметры!$B$8*1E-24))*(A685*0.0000001)/SIN(RADIANS(Параметры!$B$9)))</f>
        <v>5.5992552686692454E-2</v>
      </c>
      <c r="C685" s="10">
        <f>1-EXP(-((4*Параметры!$B$2/Параметры!$B$3*Параметры!$B$10*Параметры!$B$5)*(Параметры!$B$6*Параметры!$B$7/Параметры!$B$8*1E-24))*(A685*0.0000001)/SIN(RADIANS(Параметры!$B$9)))</f>
        <v>0.22840502232070536</v>
      </c>
    </row>
    <row r="686" spans="1:3" ht="15.75" x14ac:dyDescent="0.25">
      <c r="A686" s="9">
        <v>6840</v>
      </c>
      <c r="B686" s="10">
        <f>1-EXP(-((4*Параметры!$B$2/Параметры!$B$3*Параметры!$B$10*Параметры!$B$4)*(Параметры!$B$6*Параметры!$B$7/Параметры!$B$8*1E-24))*(A686*0.0000001)/SIN(RADIANS(Параметры!$B$9)))</f>
        <v>5.6072190417165602E-2</v>
      </c>
      <c r="C686" s="10">
        <f>1-EXP(-((4*Параметры!$B$2/Параметры!$B$3*Параметры!$B$10*Параметры!$B$5)*(Параметры!$B$6*Параметры!$B$7/Параметры!$B$8*1E-24))*(A686*0.0000001)/SIN(RADIANS(Параметры!$B$9)))</f>
        <v>0.22869789660766682</v>
      </c>
    </row>
    <row r="687" spans="1:3" ht="15.75" x14ac:dyDescent="0.25">
      <c r="A687" s="9">
        <v>6850</v>
      </c>
      <c r="B687" s="10">
        <f>1-EXP(-((4*Параметры!$B$2/Параметры!$B$3*Параметры!$B$10*Параметры!$B$4)*(Параметры!$B$6*Параметры!$B$7/Параметры!$B$8*1E-24))*(A687*0.0000001)/SIN(RADIANS(Параметры!$B$9)))</f>
        <v>5.6151821429293314E-2</v>
      </c>
      <c r="C687" s="10">
        <f>1-EXP(-((4*Параметры!$B$2/Параметры!$B$3*Параметры!$B$10*Параметры!$B$5)*(Параметры!$B$6*Параметры!$B$7/Параметры!$B$8*1E-24))*(A687*0.0000001)/SIN(RADIANS(Параметры!$B$9)))</f>
        <v>0.22899065972834221</v>
      </c>
    </row>
    <row r="688" spans="1:3" ht="15.75" x14ac:dyDescent="0.25">
      <c r="A688" s="9">
        <v>6860</v>
      </c>
      <c r="B688" s="10">
        <f>1-EXP(-((4*Параметры!$B$2/Параметры!$B$3*Параметры!$B$10*Параметры!$B$4)*(Параметры!$B$6*Параметры!$B$7/Параметры!$B$8*1E-24))*(A688*0.0000001)/SIN(RADIANS(Параметры!$B$9)))</f>
        <v>5.6231445723642359E-2</v>
      </c>
      <c r="C688" s="10">
        <f>1-EXP(-((4*Параметры!$B$2/Параметры!$B$3*Параметры!$B$10*Параметры!$B$5)*(Параметры!$B$6*Параметры!$B$7/Параметры!$B$8*1E-24))*(A688*0.0000001)/SIN(RADIANS(Параметры!$B$9)))</f>
        <v>0.229283311724927</v>
      </c>
    </row>
    <row r="689" spans="1:3" ht="15.75" x14ac:dyDescent="0.25">
      <c r="A689" s="9">
        <v>6870</v>
      </c>
      <c r="B689" s="10">
        <f>1-EXP(-((4*Параметры!$B$2/Параметры!$B$3*Параметры!$B$10*Параметры!$B$4)*(Параметры!$B$6*Параметры!$B$7/Параметры!$B$8*1E-24))*(A689*0.0000001)/SIN(RADIANS(Параметры!$B$9)))</f>
        <v>5.6311063300779507E-2</v>
      </c>
      <c r="C689" s="10">
        <f>1-EXP(-((4*Параметры!$B$2/Параметры!$B$3*Параметры!$B$10*Параметры!$B$5)*(Параметры!$B$6*Параметры!$B$7/Параметры!$B$8*1E-24))*(A689*0.0000001)/SIN(RADIANS(Параметры!$B$9)))</f>
        <v>0.22957585263960045</v>
      </c>
    </row>
    <row r="690" spans="1:3" ht="15.75" x14ac:dyDescent="0.25">
      <c r="A690" s="9">
        <v>6880</v>
      </c>
      <c r="B690" s="10">
        <f>1-EXP(-((4*Параметры!$B$2/Параметры!$B$3*Параметры!$B$10*Параметры!$B$4)*(Параметры!$B$6*Параметры!$B$7/Параметры!$B$8*1E-24))*(A690*0.0000001)/SIN(RADIANS(Параметры!$B$9)))</f>
        <v>5.6390674161271304E-2</v>
      </c>
      <c r="C690" s="10">
        <f>1-EXP(-((4*Параметры!$B$2/Параметры!$B$3*Параметры!$B$10*Параметры!$B$5)*(Параметры!$B$6*Параметры!$B$7/Параметры!$B$8*1E-24))*(A690*0.0000001)/SIN(RADIANS(Параметры!$B$9)))</f>
        <v>0.22986828251452607</v>
      </c>
    </row>
    <row r="691" spans="1:3" ht="15.75" x14ac:dyDescent="0.25">
      <c r="A691" s="9">
        <v>6890</v>
      </c>
      <c r="B691" s="10">
        <f>1-EXP(-((4*Параметры!$B$2/Параметры!$B$3*Параметры!$B$10*Параметры!$B$4)*(Параметры!$B$6*Параметры!$B$7/Параметры!$B$8*1E-24))*(A691*0.0000001)/SIN(RADIANS(Параметры!$B$9)))</f>
        <v>5.6470278305684518E-2</v>
      </c>
      <c r="C691" s="10">
        <f>1-EXP(-((4*Параметры!$B$2/Параметры!$B$3*Параметры!$B$10*Параметры!$B$5)*(Параметры!$B$6*Параметры!$B$7/Параметры!$B$8*1E-24))*(A691*0.0000001)/SIN(RADIANS(Параметры!$B$9)))</f>
        <v>0.23016060139185124</v>
      </c>
    </row>
    <row r="692" spans="1:3" ht="15.75" x14ac:dyDescent="0.25">
      <c r="A692" s="9">
        <v>6900</v>
      </c>
      <c r="B692" s="10">
        <f>1-EXP(-((4*Параметры!$B$2/Параметры!$B$3*Параметры!$B$10*Параметры!$B$4)*(Параметры!$B$6*Параметры!$B$7/Параметры!$B$8*1E-24))*(A692*0.0000001)/SIN(RADIANS(Параметры!$B$9)))</f>
        <v>5.6549875734585697E-2</v>
      </c>
      <c r="C692" s="10">
        <f>1-EXP(-((4*Параметры!$B$2/Параметры!$B$3*Параметры!$B$10*Параметры!$B$5)*(Параметры!$B$6*Параметры!$B$7/Параметры!$B$8*1E-24))*(A692*0.0000001)/SIN(RADIANS(Параметры!$B$9)))</f>
        <v>0.23045280931370715</v>
      </c>
    </row>
    <row r="693" spans="1:3" ht="15.75" x14ac:dyDescent="0.25">
      <c r="A693" s="9">
        <v>6910</v>
      </c>
      <c r="B693" s="10">
        <f>1-EXP(-((4*Параметры!$B$2/Параметры!$B$3*Параметры!$B$10*Параметры!$B$4)*(Параметры!$B$6*Параметры!$B$7/Параметры!$B$8*1E-24))*(A693*0.0000001)/SIN(RADIANS(Параметры!$B$9)))</f>
        <v>5.6629466448541388E-2</v>
      </c>
      <c r="C693" s="10">
        <f>1-EXP(-((4*Параметры!$B$2/Параметры!$B$3*Параметры!$B$10*Параметры!$B$5)*(Параметры!$B$6*Параметры!$B$7/Параметры!$B$8*1E-24))*(A693*0.0000001)/SIN(RADIANS(Параметры!$B$9)))</f>
        <v>0.23074490632220923</v>
      </c>
    </row>
    <row r="694" spans="1:3" ht="15.75" x14ac:dyDescent="0.25">
      <c r="A694" s="9">
        <v>6920</v>
      </c>
      <c r="B694" s="10">
        <f>1-EXP(-((4*Параметры!$B$2/Параметры!$B$3*Параметры!$B$10*Параметры!$B$4)*(Параметры!$B$6*Параметры!$B$7/Параметры!$B$8*1E-24))*(A694*0.0000001)/SIN(RADIANS(Параметры!$B$9)))</f>
        <v>5.6709050448117915E-2</v>
      </c>
      <c r="C694" s="10">
        <f>1-EXP(-((4*Параметры!$B$2/Параметры!$B$3*Параметры!$B$10*Параметры!$B$5)*(Параметры!$B$6*Параметры!$B$7/Параметры!$B$8*1E-24))*(A694*0.0000001)/SIN(RADIANS(Параметры!$B$9)))</f>
        <v>0.23103689245945702</v>
      </c>
    </row>
    <row r="695" spans="1:3" ht="15.75" x14ac:dyDescent="0.25">
      <c r="A695" s="9">
        <v>6930</v>
      </c>
      <c r="B695" s="10">
        <f>1-EXP(-((4*Параметры!$B$2/Параметры!$B$3*Параметры!$B$10*Параметры!$B$4)*(Параметры!$B$6*Параметры!$B$7/Параметры!$B$8*1E-24))*(A695*0.0000001)/SIN(RADIANS(Параметры!$B$9)))</f>
        <v>5.6788627733881936E-2</v>
      </c>
      <c r="C695" s="10">
        <f>1-EXP(-((4*Параметры!$B$2/Параметры!$B$3*Параметры!$B$10*Параметры!$B$5)*(Параметры!$B$6*Параметры!$B$7/Параметры!$B$8*1E-24))*(A695*0.0000001)/SIN(RADIANS(Параметры!$B$9)))</f>
        <v>0.23132876776753364</v>
      </c>
    </row>
    <row r="696" spans="1:3" ht="15.75" x14ac:dyDescent="0.25">
      <c r="A696" s="9">
        <v>6940</v>
      </c>
      <c r="B696" s="10">
        <f>1-EXP(-((4*Параметры!$B$2/Параметры!$B$3*Параметры!$B$10*Параметры!$B$4)*(Параметры!$B$6*Параметры!$B$7/Параметры!$B$8*1E-24))*(A696*0.0000001)/SIN(RADIANS(Параметры!$B$9)))</f>
        <v>5.6868198306399664E-2</v>
      </c>
      <c r="C696" s="10">
        <f>1-EXP(-((4*Параметры!$B$2/Параметры!$B$3*Параметры!$B$10*Параметры!$B$5)*(Параметры!$B$6*Параметры!$B$7/Параметры!$B$8*1E-24))*(A696*0.0000001)/SIN(RADIANS(Параметры!$B$9)))</f>
        <v>0.23162053228850665</v>
      </c>
    </row>
    <row r="697" spans="1:3" ht="15.75" x14ac:dyDescent="0.25">
      <c r="A697" s="9">
        <v>6950</v>
      </c>
      <c r="B697" s="10">
        <f>1-EXP(-((4*Параметры!$B$2/Параметры!$B$3*Параметры!$B$10*Параметры!$B$4)*(Параметры!$B$6*Параметры!$B$7/Параметры!$B$8*1E-24))*(A697*0.0000001)/SIN(RADIANS(Параметры!$B$9)))</f>
        <v>5.6947762166237537E-2</v>
      </c>
      <c r="C697" s="10">
        <f>1-EXP(-((4*Параметры!$B$2/Параметры!$B$3*Параметры!$B$10*Параметры!$B$5)*(Параметры!$B$6*Параметры!$B$7/Параметры!$B$8*1E-24))*(A697*0.0000001)/SIN(RADIANS(Параметры!$B$9)))</f>
        <v>0.23191218606442754</v>
      </c>
    </row>
    <row r="698" spans="1:3" ht="15.75" x14ac:dyDescent="0.25">
      <c r="A698" s="9">
        <v>6960</v>
      </c>
      <c r="B698" s="10">
        <f>1-EXP(-((4*Параметры!$B$2/Параметры!$B$3*Параметры!$B$10*Параметры!$B$4)*(Параметры!$B$6*Параметры!$B$7/Параметры!$B$8*1E-24))*(A698*0.0000001)/SIN(RADIANS(Параметры!$B$9)))</f>
        <v>5.7027319313961766E-2</v>
      </c>
      <c r="C698" s="10">
        <f>1-EXP(-((4*Параметры!$B$2/Параметры!$B$3*Параметры!$B$10*Параметры!$B$5)*(Параметры!$B$6*Параметры!$B$7/Параметры!$B$8*1E-24))*(A698*0.0000001)/SIN(RADIANS(Параметры!$B$9)))</f>
        <v>0.23220372913733178</v>
      </c>
    </row>
    <row r="699" spans="1:3" ht="15.75" x14ac:dyDescent="0.25">
      <c r="A699" s="9">
        <v>6970</v>
      </c>
      <c r="B699" s="10">
        <f>1-EXP(-((4*Параметры!$B$2/Параметры!$B$3*Параметры!$B$10*Параметры!$B$4)*(Параметры!$B$6*Параметры!$B$7/Параметры!$B$8*1E-24))*(A699*0.0000001)/SIN(RADIANS(Параметры!$B$9)))</f>
        <v>5.7106869750138678E-2</v>
      </c>
      <c r="C699" s="10">
        <f>1-EXP(-((4*Параметры!$B$2/Параметры!$B$3*Параметры!$B$10*Параметры!$B$5)*(Параметры!$B$6*Параметры!$B$7/Параметры!$B$8*1E-24))*(A699*0.0000001)/SIN(RADIANS(Параметры!$B$9)))</f>
        <v>0.23249516154923899</v>
      </c>
    </row>
    <row r="700" spans="1:3" ht="15.75" x14ac:dyDescent="0.25">
      <c r="A700" s="9">
        <v>6980</v>
      </c>
      <c r="B700" s="10">
        <f>1-EXP(-((4*Параметры!$B$2/Параметры!$B$3*Параметры!$B$10*Параметры!$B$4)*(Параметры!$B$6*Параметры!$B$7/Параметры!$B$8*1E-24))*(A700*0.0000001)/SIN(RADIANS(Параметры!$B$9)))</f>
        <v>5.7186413475334374E-2</v>
      </c>
      <c r="C700" s="10">
        <f>1-EXP(-((4*Параметры!$B$2/Параметры!$B$3*Параметры!$B$10*Параметры!$B$5)*(Параметры!$B$6*Параметры!$B$7/Параметры!$B$8*1E-24))*(A700*0.0000001)/SIN(RADIANS(Параметры!$B$9)))</f>
        <v>0.23278648334215257</v>
      </c>
    </row>
    <row r="701" spans="1:3" ht="15.75" x14ac:dyDescent="0.25">
      <c r="A701" s="9">
        <v>6990</v>
      </c>
      <c r="B701" s="10">
        <f>1-EXP(-((4*Параметры!$B$2/Параметры!$B$3*Параметры!$B$10*Параметры!$B$4)*(Параметры!$B$6*Параметры!$B$7/Параметры!$B$8*1E-24))*(A701*0.0000001)/SIN(RADIANS(Параметры!$B$9)))</f>
        <v>5.726595049011507E-2</v>
      </c>
      <c r="C701" s="10">
        <f>1-EXP(-((4*Параметры!$B$2/Параметры!$B$3*Параметры!$B$10*Параметры!$B$5)*(Параметры!$B$6*Параметры!$B$7/Параметры!$B$8*1E-24))*(A701*0.0000001)/SIN(RADIANS(Параметры!$B$9)))</f>
        <v>0.23307769455806038</v>
      </c>
    </row>
    <row r="702" spans="1:3" ht="15.75" x14ac:dyDescent="0.25">
      <c r="A702" s="9">
        <v>7000</v>
      </c>
      <c r="B702" s="10">
        <f>1-EXP(-((4*Параметры!$B$2/Параметры!$B$3*Параметры!$B$10*Параметры!$B$4)*(Параметры!$B$6*Параметры!$B$7/Параметры!$B$8*1E-24))*(A702*0.0000001)/SIN(RADIANS(Параметры!$B$9)))</f>
        <v>5.7345480795046866E-2</v>
      </c>
      <c r="C702" s="10">
        <f>1-EXP(-((4*Параметры!$B$2/Параметры!$B$3*Параметры!$B$10*Параметры!$B$5)*(Параметры!$B$6*Параметры!$B$7/Параметры!$B$8*1E-24))*(A702*0.0000001)/SIN(RADIANS(Параметры!$B$9)))</f>
        <v>0.23336879523893395</v>
      </c>
    </row>
    <row r="703" spans="1:3" ht="15.75" x14ac:dyDescent="0.25">
      <c r="A703" s="9">
        <v>7010</v>
      </c>
      <c r="B703" s="10">
        <f>1-EXP(-((4*Параметры!$B$2/Параметры!$B$3*Параметры!$B$10*Параметры!$B$4)*(Параметры!$B$6*Параметры!$B$7/Параметры!$B$8*1E-24))*(A703*0.0000001)/SIN(RADIANS(Параметры!$B$9)))</f>
        <v>5.7425004390695866E-2</v>
      </c>
      <c r="C703" s="10">
        <f>1-EXP(-((4*Параметры!$B$2/Параметры!$B$3*Параметры!$B$10*Параметры!$B$5)*(Параметры!$B$6*Параметры!$B$7/Параметры!$B$8*1E-24))*(A703*0.0000001)/SIN(RADIANS(Параметры!$B$9)))</f>
        <v>0.23365978542672916</v>
      </c>
    </row>
    <row r="704" spans="1:3" ht="15.75" x14ac:dyDescent="0.25">
      <c r="A704" s="9">
        <v>7020</v>
      </c>
      <c r="B704" s="10">
        <f>1-EXP(-((4*Параметры!$B$2/Параметры!$B$3*Параметры!$B$10*Параметры!$B$4)*(Параметры!$B$6*Параметры!$B$7/Параметры!$B$8*1E-24))*(A704*0.0000001)/SIN(RADIANS(Параметры!$B$9)))</f>
        <v>5.7504521277627951E-2</v>
      </c>
      <c r="C704" s="10">
        <f>1-EXP(-((4*Параметры!$B$2/Параметры!$B$3*Параметры!$B$10*Параметры!$B$5)*(Параметры!$B$6*Параметры!$B$7/Параметры!$B$8*1E-24))*(A704*0.0000001)/SIN(RADIANS(Параметры!$B$9)))</f>
        <v>0.23395066516338581</v>
      </c>
    </row>
    <row r="705" spans="1:3" ht="15.75" x14ac:dyDescent="0.25">
      <c r="A705" s="9">
        <v>7030</v>
      </c>
      <c r="B705" s="10">
        <f>1-EXP(-((4*Параметры!$B$2/Параметры!$B$3*Параметры!$B$10*Параметры!$B$4)*(Параметры!$B$6*Параметры!$B$7/Параметры!$B$8*1E-24))*(A705*0.0000001)/SIN(RADIANS(Параметры!$B$9)))</f>
        <v>5.7584031456409113E-2</v>
      </c>
      <c r="C705" s="10">
        <f>1-EXP(-((4*Параметры!$B$2/Параметры!$B$3*Параметры!$B$10*Параметры!$B$5)*(Параметры!$B$6*Параметры!$B$7/Параметры!$B$8*1E-24))*(A705*0.0000001)/SIN(RADIANS(Параметры!$B$9)))</f>
        <v>0.2342414344908279</v>
      </c>
    </row>
    <row r="706" spans="1:3" ht="15.75" x14ac:dyDescent="0.25">
      <c r="A706" s="9">
        <v>7040</v>
      </c>
      <c r="B706" s="10">
        <f>1-EXP(-((4*Параметры!$B$2/Параметры!$B$3*Параметры!$B$10*Параметры!$B$4)*(Параметры!$B$6*Параметры!$B$7/Параметры!$B$8*1E-24))*(A706*0.0000001)/SIN(RADIANS(Параметры!$B$9)))</f>
        <v>5.7663534927605231E-2</v>
      </c>
      <c r="C706" s="10">
        <f>1-EXP(-((4*Параметры!$B$2/Параметры!$B$3*Параметры!$B$10*Параметры!$B$5)*(Параметры!$B$6*Параметры!$B$7/Параметры!$B$8*1E-24))*(A706*0.0000001)/SIN(RADIANS(Параметры!$B$9)))</f>
        <v>0.23453209345096349</v>
      </c>
    </row>
    <row r="707" spans="1:3" ht="15.75" x14ac:dyDescent="0.25">
      <c r="A707" s="9">
        <v>7050</v>
      </c>
      <c r="B707" s="10">
        <f>1-EXP(-((4*Параметры!$B$2/Параметры!$B$3*Параметры!$B$10*Параметры!$B$4)*(Параметры!$B$6*Параметры!$B$7/Параметры!$B$8*1E-24))*(A707*0.0000001)/SIN(RADIANS(Параметры!$B$9)))</f>
        <v>5.7743031691782298E-2</v>
      </c>
      <c r="C707" s="10">
        <f>1-EXP(-((4*Параметры!$B$2/Параметры!$B$3*Параметры!$B$10*Параметры!$B$5)*(Параметры!$B$6*Параметры!$B$7/Параметры!$B$8*1E-24))*(A707*0.0000001)/SIN(RADIANS(Параметры!$B$9)))</f>
        <v>0.2348226420856846</v>
      </c>
    </row>
    <row r="708" spans="1:3" ht="15.75" x14ac:dyDescent="0.25">
      <c r="A708" s="9">
        <v>7060</v>
      </c>
      <c r="B708" s="10">
        <f>1-EXP(-((4*Параметры!$B$2/Параметры!$B$3*Параметры!$B$10*Параметры!$B$4)*(Параметры!$B$6*Параметры!$B$7/Параметры!$B$8*1E-24))*(A708*0.0000001)/SIN(RADIANS(Параметры!$B$9)))</f>
        <v>5.7822521749506084E-2</v>
      </c>
      <c r="C708" s="10">
        <f>1-EXP(-((4*Параметры!$B$2/Параметры!$B$3*Параметры!$B$10*Параметры!$B$5)*(Параметры!$B$6*Параметры!$B$7/Параметры!$B$8*1E-24))*(A708*0.0000001)/SIN(RADIANS(Параметры!$B$9)))</f>
        <v>0.23511308043686741</v>
      </c>
    </row>
    <row r="709" spans="1:3" ht="15.75" x14ac:dyDescent="0.25">
      <c r="A709" s="9">
        <v>7070</v>
      </c>
      <c r="B709" s="10">
        <f>1-EXP(-((4*Параметры!$B$2/Параметры!$B$3*Параметры!$B$10*Параметры!$B$4)*(Параметры!$B$6*Параметры!$B$7/Параметры!$B$8*1E-24))*(A709*0.0000001)/SIN(RADIANS(Параметры!$B$9)))</f>
        <v>5.7902005101342247E-2</v>
      </c>
      <c r="C709" s="10">
        <f>1-EXP(-((4*Параметры!$B$2/Параметры!$B$3*Параметры!$B$10*Параметры!$B$5)*(Параметры!$B$6*Параметры!$B$7/Параметры!$B$8*1E-24))*(A709*0.0000001)/SIN(RADIANS(Параметры!$B$9)))</f>
        <v>0.23540340854637243</v>
      </c>
    </row>
    <row r="710" spans="1:3" ht="15.75" x14ac:dyDescent="0.25">
      <c r="A710" s="9">
        <v>7080</v>
      </c>
      <c r="B710" s="10">
        <f>1-EXP(-((4*Параметры!$B$2/Параметры!$B$3*Параметры!$B$10*Параметры!$B$4)*(Параметры!$B$6*Параметры!$B$7/Параметры!$B$8*1E-24))*(A710*0.0000001)/SIN(RADIANS(Параметры!$B$9)))</f>
        <v>5.7981481747856556E-2</v>
      </c>
      <c r="C710" s="10">
        <f>1-EXP(-((4*Параметры!$B$2/Параметры!$B$3*Параметры!$B$10*Параметры!$B$5)*(Параметры!$B$6*Параметры!$B$7/Параметры!$B$8*1E-24))*(A710*0.0000001)/SIN(RADIANS(Параметры!$B$9)))</f>
        <v>0.23569362645604386</v>
      </c>
    </row>
    <row r="711" spans="1:3" ht="15.75" x14ac:dyDescent="0.25">
      <c r="A711" s="9">
        <v>7090</v>
      </c>
      <c r="B711" s="10">
        <f>1-EXP(-((4*Параметры!$B$2/Параметры!$B$3*Параметры!$B$10*Параметры!$B$4)*(Параметры!$B$6*Параметры!$B$7/Параметры!$B$8*1E-24))*(A711*0.0000001)/SIN(RADIANS(Параметры!$B$9)))</f>
        <v>5.8060951689614781E-2</v>
      </c>
      <c r="C711" s="10">
        <f>1-EXP(-((4*Параметры!$B$2/Параметры!$B$3*Параметры!$B$10*Параметры!$B$5)*(Параметры!$B$6*Параметры!$B$7/Параметры!$B$8*1E-24))*(A711*0.0000001)/SIN(RADIANS(Параметры!$B$9)))</f>
        <v>0.23598373420771046</v>
      </c>
    </row>
    <row r="712" spans="1:3" ht="15.75" x14ac:dyDescent="0.25">
      <c r="A712" s="9">
        <v>7100</v>
      </c>
      <c r="B712" s="10">
        <f>1-EXP(-((4*Параметры!$B$2/Параметры!$B$3*Параметры!$B$10*Параметры!$B$4)*(Параметры!$B$6*Параметры!$B$7/Параметры!$B$8*1E-24))*(A712*0.0000001)/SIN(RADIANS(Параметры!$B$9)))</f>
        <v>5.814041492718236E-2</v>
      </c>
      <c r="C712" s="10">
        <f>1-EXP(-((4*Параметры!$B$2/Параметры!$B$3*Параметры!$B$10*Параметры!$B$5)*(Параметры!$B$6*Параметры!$B$7/Параметры!$B$8*1E-24))*(A712*0.0000001)/SIN(RADIANS(Параметры!$B$9)))</f>
        <v>0.23627373184318468</v>
      </c>
    </row>
    <row r="713" spans="1:3" ht="15.75" x14ac:dyDescent="0.25">
      <c r="A713" s="9">
        <v>7110</v>
      </c>
      <c r="B713" s="10">
        <f>1-EXP(-((4*Параметры!$B$2/Параметры!$B$3*Параметры!$B$10*Параметры!$B$4)*(Параметры!$B$6*Параметры!$B$7/Параметры!$B$8*1E-24))*(A713*0.0000001)/SIN(RADIANS(Параметры!$B$9)))</f>
        <v>5.8219871461125061E-2</v>
      </c>
      <c r="C713" s="10">
        <f>1-EXP(-((4*Параметры!$B$2/Параметры!$B$3*Параметры!$B$10*Параметры!$B$5)*(Параметры!$B$6*Параметры!$B$7/Параметры!$B$8*1E-24))*(A713*0.0000001)/SIN(RADIANS(Параметры!$B$9)))</f>
        <v>0.23656361940426351</v>
      </c>
    </row>
    <row r="714" spans="1:3" ht="15.75" x14ac:dyDescent="0.25">
      <c r="A714" s="9">
        <v>7120</v>
      </c>
      <c r="B714" s="10">
        <f>1-EXP(-((4*Параметры!$B$2/Параметры!$B$3*Параметры!$B$10*Параметры!$B$4)*(Параметры!$B$6*Параметры!$B$7/Параметры!$B$8*1E-24))*(A714*0.0000001)/SIN(RADIANS(Параметры!$B$9)))</f>
        <v>5.829932129200821E-2</v>
      </c>
      <c r="C714" s="10">
        <f>1-EXP(-((4*Параметры!$B$2/Параметры!$B$3*Параметры!$B$10*Параметры!$B$5)*(Параметры!$B$6*Параметры!$B$7/Параметры!$B$8*1E-24))*(A714*0.0000001)/SIN(RADIANS(Параметры!$B$9)))</f>
        <v>0.23685339693272778</v>
      </c>
    </row>
    <row r="715" spans="1:3" ht="15.75" x14ac:dyDescent="0.25">
      <c r="A715" s="9">
        <v>7130</v>
      </c>
      <c r="B715" s="10">
        <f>1-EXP(-((4*Параметры!$B$2/Параметры!$B$3*Параметры!$B$10*Параметры!$B$4)*(Параметры!$B$6*Параметры!$B$7/Параметры!$B$8*1E-24))*(A715*0.0000001)/SIN(RADIANS(Параметры!$B$9)))</f>
        <v>5.8378764420397466E-2</v>
      </c>
      <c r="C715" s="10">
        <f>1-EXP(-((4*Параметры!$B$2/Параметры!$B$3*Параметры!$B$10*Параметры!$B$5)*(Параметры!$B$6*Параметры!$B$7/Параметры!$B$8*1E-24))*(A715*0.0000001)/SIN(RADIANS(Параметры!$B$9)))</f>
        <v>0.23714306447034261</v>
      </c>
    </row>
    <row r="716" spans="1:3" ht="15.75" x14ac:dyDescent="0.25">
      <c r="A716" s="9">
        <v>7140</v>
      </c>
      <c r="B716" s="10">
        <f>1-EXP(-((4*Параметры!$B$2/Параметры!$B$3*Параметры!$B$10*Параметры!$B$4)*(Параметры!$B$6*Параметры!$B$7/Параметры!$B$8*1E-24))*(A716*0.0000001)/SIN(RADIANS(Параметры!$B$9)))</f>
        <v>5.8458200846858266E-2</v>
      </c>
      <c r="C716" s="10">
        <f>1-EXP(-((4*Параметры!$B$2/Параметры!$B$3*Параметры!$B$10*Параметры!$B$5)*(Параметры!$B$6*Параметры!$B$7/Параметры!$B$8*1E-24))*(A716*0.0000001)/SIN(RADIANS(Параметры!$B$9)))</f>
        <v>0.23743262205885718</v>
      </c>
    </row>
    <row r="717" spans="1:3" ht="15.75" x14ac:dyDescent="0.25">
      <c r="A717" s="9">
        <v>7150</v>
      </c>
      <c r="B717" s="10">
        <f>1-EXP(-((4*Параметры!$B$2/Параметры!$B$3*Параметры!$B$10*Параметры!$B$4)*(Параметры!$B$6*Параметры!$B$7/Параметры!$B$8*1E-24))*(A717*0.0000001)/SIN(RADIANS(Параметры!$B$9)))</f>
        <v>5.8537630571955823E-2</v>
      </c>
      <c r="C717" s="10">
        <f>1-EXP(-((4*Параметры!$B$2/Параметры!$B$3*Параметры!$B$10*Параметры!$B$5)*(Параметры!$B$6*Параметры!$B$7/Параметры!$B$8*1E-24))*(A717*0.0000001)/SIN(RADIANS(Параметры!$B$9)))</f>
        <v>0.23772206974000487</v>
      </c>
    </row>
    <row r="718" spans="1:3" ht="15.75" x14ac:dyDescent="0.25">
      <c r="A718" s="9">
        <v>7160</v>
      </c>
      <c r="B718" s="10">
        <f>1-EXP(-((4*Параметры!$B$2/Параметры!$B$3*Параметры!$B$10*Параметры!$B$4)*(Параметры!$B$6*Параметры!$B$7/Параметры!$B$8*1E-24))*(A718*0.0000001)/SIN(RADIANS(Параметры!$B$9)))</f>
        <v>5.8617053596255575E-2</v>
      </c>
      <c r="C718" s="10">
        <f>1-EXP(-((4*Параметры!$B$2/Параметры!$B$3*Параметры!$B$10*Параметры!$B$5)*(Параметры!$B$6*Параметры!$B$7/Параметры!$B$8*1E-24))*(A718*0.0000001)/SIN(RADIANS(Параметры!$B$9)))</f>
        <v>0.23801140755550343</v>
      </c>
    </row>
    <row r="719" spans="1:3" ht="15.75" x14ac:dyDescent="0.25">
      <c r="A719" s="9">
        <v>7170</v>
      </c>
      <c r="B719" s="10">
        <f>1-EXP(-((4*Параметры!$B$2/Параметры!$B$3*Параметры!$B$10*Параметры!$B$4)*(Параметры!$B$6*Параметры!$B$7/Параметры!$B$8*1E-24))*(A719*0.0000001)/SIN(RADIANS(Параметры!$B$9)))</f>
        <v>5.8696469920322736E-2</v>
      </c>
      <c r="C719" s="10">
        <f>1-EXP(-((4*Параметры!$B$2/Параметры!$B$3*Параметры!$B$10*Параметры!$B$5)*(Параметры!$B$6*Параметры!$B$7/Параметры!$B$8*1E-24))*(A719*0.0000001)/SIN(RADIANS(Параметры!$B$9)))</f>
        <v>0.23830063554705427</v>
      </c>
    </row>
    <row r="720" spans="1:3" ht="15.75" x14ac:dyDescent="0.25">
      <c r="A720" s="9">
        <v>7180</v>
      </c>
      <c r="B720" s="10">
        <f>1-EXP(-((4*Параметры!$B$2/Параметры!$B$3*Параметры!$B$10*Параметры!$B$4)*(Параметры!$B$6*Параметры!$B$7/Параметры!$B$8*1E-24))*(A720*0.0000001)/SIN(RADIANS(Параметры!$B$9)))</f>
        <v>5.8775879544722742E-2</v>
      </c>
      <c r="C720" s="10">
        <f>1-EXP(-((4*Параметры!$B$2/Параметры!$B$3*Параметры!$B$10*Параметры!$B$5)*(Параметры!$B$6*Параметры!$B$7/Параметры!$B$8*1E-24))*(A720*0.0000001)/SIN(RADIANS(Параметры!$B$9)))</f>
        <v>0.23858975375634328</v>
      </c>
    </row>
    <row r="721" spans="1:3" ht="15.75" x14ac:dyDescent="0.25">
      <c r="A721" s="9">
        <v>7190</v>
      </c>
      <c r="B721" s="10">
        <f>1-EXP(-((4*Параметры!$B$2/Параметры!$B$3*Параметры!$B$10*Параметры!$B$4)*(Параметры!$B$6*Параметры!$B$7/Параметры!$B$8*1E-24))*(A721*0.0000001)/SIN(RADIANS(Параметры!$B$9)))</f>
        <v>5.8855282470020587E-2</v>
      </c>
      <c r="C721" s="10">
        <f>1-EXP(-((4*Параметры!$B$2/Параметры!$B$3*Параметры!$B$10*Параметры!$B$5)*(Параметры!$B$6*Параметры!$B$7/Параметры!$B$8*1E-24))*(A721*0.0000001)/SIN(RADIANS(Параметры!$B$9)))</f>
        <v>0.23887876222504079</v>
      </c>
    </row>
    <row r="722" spans="1:3" ht="15.75" x14ac:dyDescent="0.25">
      <c r="A722" s="9">
        <v>7200</v>
      </c>
      <c r="B722" s="10">
        <f>1-EXP(-((4*Параметры!$B$2/Параметры!$B$3*Параметры!$B$10*Параметры!$B$4)*(Параметры!$B$6*Параметры!$B$7/Параметры!$B$8*1E-24))*(A722*0.0000001)/SIN(RADIANS(Параметры!$B$9)))</f>
        <v>5.8934678696781484E-2</v>
      </c>
      <c r="C722" s="10">
        <f>1-EXP(-((4*Параметры!$B$2/Параметры!$B$3*Параметры!$B$10*Параметры!$B$5)*(Параметры!$B$6*Параметры!$B$7/Параметры!$B$8*1E-24))*(A722*0.0000001)/SIN(RADIANS(Параметры!$B$9)))</f>
        <v>0.23916766099480069</v>
      </c>
    </row>
    <row r="723" spans="1:3" ht="15.75" x14ac:dyDescent="0.25">
      <c r="A723" s="9">
        <v>7210</v>
      </c>
      <c r="B723" s="10">
        <f>1-EXP(-((4*Параметры!$B$2/Параметры!$B$3*Параметры!$B$10*Параметры!$B$4)*(Параметры!$B$6*Параметры!$B$7/Параметры!$B$8*1E-24))*(A723*0.0000001)/SIN(RADIANS(Параметры!$B$9)))</f>
        <v>5.9014068225570537E-2</v>
      </c>
      <c r="C723" s="10">
        <f>1-EXP(-((4*Параметры!$B$2/Параметры!$B$3*Параметры!$B$10*Параметры!$B$5)*(Параметры!$B$6*Параметры!$B$7/Параметры!$B$8*1E-24))*(A723*0.0000001)/SIN(RADIANS(Параметры!$B$9)))</f>
        <v>0.23945645010726158</v>
      </c>
    </row>
    <row r="724" spans="1:3" ht="15.75" x14ac:dyDescent="0.25">
      <c r="A724" s="9">
        <v>7220</v>
      </c>
      <c r="B724" s="10">
        <f>1-EXP(-((4*Параметры!$B$2/Параметры!$B$3*Параметры!$B$10*Параметры!$B$4)*(Параметры!$B$6*Параметры!$B$7/Параметры!$B$8*1E-24))*(A724*0.0000001)/SIN(RADIANS(Параметры!$B$9)))</f>
        <v>5.9093451056952739E-2</v>
      </c>
      <c r="C724" s="10">
        <f>1-EXP(-((4*Параметры!$B$2/Параметры!$B$3*Параметры!$B$10*Параметры!$B$5)*(Параметры!$B$6*Параметры!$B$7/Параметры!$B$8*1E-24))*(A724*0.0000001)/SIN(RADIANS(Параметры!$B$9)))</f>
        <v>0.23974512960404615</v>
      </c>
    </row>
    <row r="725" spans="1:3" ht="15.75" x14ac:dyDescent="0.25">
      <c r="A725" s="9">
        <v>7230</v>
      </c>
      <c r="B725" s="10">
        <f>1-EXP(-((4*Параметры!$B$2/Параметры!$B$3*Параметры!$B$10*Параметры!$B$4)*(Параметры!$B$6*Параметры!$B$7/Параметры!$B$8*1E-24))*(A725*0.0000001)/SIN(RADIANS(Параметры!$B$9)))</f>
        <v>5.9172827191493305E-2</v>
      </c>
      <c r="C725" s="10">
        <f>1-EXP(-((4*Параметры!$B$2/Параметры!$B$3*Параметры!$B$10*Параметры!$B$5)*(Параметры!$B$6*Параметры!$B$7/Параметры!$B$8*1E-24))*(A725*0.0000001)/SIN(RADIANS(Параметры!$B$9)))</f>
        <v>0.24003369952676101</v>
      </c>
    </row>
    <row r="726" spans="1:3" ht="15.75" x14ac:dyDescent="0.25">
      <c r="A726" s="9">
        <v>7240</v>
      </c>
      <c r="B726" s="10">
        <f>1-EXP(-((4*Параметры!$B$2/Параметры!$B$3*Параметры!$B$10*Параметры!$B$4)*(Параметры!$B$6*Параметры!$B$7/Параметры!$B$8*1E-24))*(A726*0.0000001)/SIN(RADIANS(Параметры!$B$9)))</f>
        <v>5.9252196629756892E-2</v>
      </c>
      <c r="C726" s="10">
        <f>1-EXP(-((4*Параметры!$B$2/Параметры!$B$3*Параметры!$B$10*Параметры!$B$5)*(Параметры!$B$6*Параметры!$B$7/Параметры!$B$8*1E-24))*(A726*0.0000001)/SIN(RADIANS(Параметры!$B$9)))</f>
        <v>0.24032215991699735</v>
      </c>
    </row>
    <row r="727" spans="1:3" ht="15.75" x14ac:dyDescent="0.25">
      <c r="A727" s="9">
        <v>7250</v>
      </c>
      <c r="B727" s="10">
        <f>1-EXP(-((4*Параметры!$B$2/Параметры!$B$3*Параметры!$B$10*Параметры!$B$4)*(Параметры!$B$6*Параметры!$B$7/Параметры!$B$8*1E-24))*(A727*0.0000001)/SIN(RADIANS(Параметры!$B$9)))</f>
        <v>5.9331559372308496E-2</v>
      </c>
      <c r="C727" s="10">
        <f>1-EXP(-((4*Параметры!$B$2/Параметры!$B$3*Параметры!$B$10*Параметры!$B$5)*(Параметры!$B$6*Параметры!$B$7/Параметры!$B$8*1E-24))*(A727*0.0000001)/SIN(RADIANS(Параметры!$B$9)))</f>
        <v>0.24061051081633045</v>
      </c>
    </row>
    <row r="728" spans="1:3" ht="15.75" x14ac:dyDescent="0.25">
      <c r="A728" s="9">
        <v>7260</v>
      </c>
      <c r="B728" s="10">
        <f>1-EXP(-((4*Параметры!$B$2/Параметры!$B$3*Параметры!$B$10*Параметры!$B$4)*(Параметры!$B$6*Параметры!$B$7/Параметры!$B$8*1E-24))*(A728*0.0000001)/SIN(RADIANS(Параметры!$B$9)))</f>
        <v>5.9410915419713106E-2</v>
      </c>
      <c r="C728" s="10">
        <f>1-EXP(-((4*Параметры!$B$2/Параметры!$B$3*Параметры!$B$10*Параметры!$B$5)*(Параметры!$B$6*Параметры!$B$7/Параметры!$B$8*1E-24))*(A728*0.0000001)/SIN(RADIANS(Параметры!$B$9)))</f>
        <v>0.24089875226631963</v>
      </c>
    </row>
    <row r="729" spans="1:3" ht="15.75" x14ac:dyDescent="0.25">
      <c r="A729" s="9">
        <v>7270</v>
      </c>
      <c r="B729" s="10">
        <f>1-EXP(-((4*Параметры!$B$2/Параметры!$B$3*Параметры!$B$10*Параметры!$B$4)*(Параметры!$B$6*Параметры!$B$7/Параметры!$B$8*1E-24))*(A729*0.0000001)/SIN(RADIANS(Параметры!$B$9)))</f>
        <v>5.9490264772535495E-2</v>
      </c>
      <c r="C729" s="10">
        <f>1-EXP(-((4*Параметры!$B$2/Параметры!$B$3*Параметры!$B$10*Параметры!$B$5)*(Параметры!$B$6*Параметры!$B$7/Параметры!$B$8*1E-24))*(A729*0.0000001)/SIN(RADIANS(Параметры!$B$9)))</f>
        <v>0.24118688430850854</v>
      </c>
    </row>
    <row r="730" spans="1:3" ht="15.75" x14ac:dyDescent="0.25">
      <c r="A730" s="9">
        <v>7280</v>
      </c>
      <c r="B730" s="10">
        <f>1-EXP(-((4*Параметры!$B$2/Параметры!$B$3*Параметры!$B$10*Параметры!$B$4)*(Параметры!$B$6*Параметры!$B$7/Параметры!$B$8*1E-24))*(A730*0.0000001)/SIN(RADIANS(Параметры!$B$9)))</f>
        <v>5.9569607431340321E-2</v>
      </c>
      <c r="C730" s="10">
        <f>1-EXP(-((4*Параметры!$B$2/Параметры!$B$3*Параметры!$B$10*Параметры!$B$5)*(Параметры!$B$6*Параметры!$B$7/Параметры!$B$8*1E-24))*(A730*0.0000001)/SIN(RADIANS(Параметры!$B$9)))</f>
        <v>0.24147490698442531</v>
      </c>
    </row>
    <row r="731" spans="1:3" ht="15.75" x14ac:dyDescent="0.25">
      <c r="A731" s="9">
        <v>7290</v>
      </c>
      <c r="B731" s="10">
        <f>1-EXP(-((4*Параметры!$B$2/Параметры!$B$3*Параметры!$B$10*Параметры!$B$4)*(Параметры!$B$6*Параметры!$B$7/Параметры!$B$8*1E-24))*(A731*0.0000001)/SIN(RADIANS(Параметры!$B$9)))</f>
        <v>5.9648943396692355E-2</v>
      </c>
      <c r="C731" s="10">
        <f>1-EXP(-((4*Параметры!$B$2/Параметры!$B$3*Параметры!$B$10*Параметры!$B$5)*(Параметры!$B$6*Параметры!$B$7/Параметры!$B$8*1E-24))*(A731*0.0000001)/SIN(RADIANS(Параметры!$B$9)))</f>
        <v>0.24176282033558194</v>
      </c>
    </row>
    <row r="732" spans="1:3" ht="15.75" x14ac:dyDescent="0.25">
      <c r="A732" s="9">
        <v>7300</v>
      </c>
      <c r="B732" s="10">
        <f>1-EXP(-((4*Параметры!$B$2/Параметры!$B$3*Параметры!$B$10*Параметры!$B$4)*(Параметры!$B$6*Параметры!$B$7/Параметры!$B$8*1E-24))*(A732*0.0000001)/SIN(RADIANS(Параметры!$B$9)))</f>
        <v>5.9728272669156368E-2</v>
      </c>
      <c r="C732" s="10">
        <f>1-EXP(-((4*Параметры!$B$2/Параметры!$B$3*Параметры!$B$10*Параметры!$B$5)*(Параметры!$B$6*Параметры!$B$7/Параметры!$B$8*1E-24))*(A732*0.0000001)/SIN(RADIANS(Параметры!$B$9)))</f>
        <v>0.2420506244034748</v>
      </c>
    </row>
    <row r="733" spans="1:3" ht="15.75" x14ac:dyDescent="0.25">
      <c r="A733" s="9">
        <v>7310</v>
      </c>
      <c r="B733" s="10">
        <f>1-EXP(-((4*Параметры!$B$2/Параметры!$B$3*Параметры!$B$10*Параметры!$B$4)*(Параметры!$B$6*Параметры!$B$7/Параметры!$B$8*1E-24))*(A733*0.0000001)/SIN(RADIANS(Параметры!$B$9)))</f>
        <v>5.9807595249296797E-2</v>
      </c>
      <c r="C733" s="10">
        <f>1-EXP(-((4*Параметры!$B$2/Параметры!$B$3*Параметры!$B$10*Параметры!$B$5)*(Параметры!$B$6*Параметры!$B$7/Параметры!$B$8*1E-24))*(A733*0.0000001)/SIN(RADIANS(Параметры!$B$9)))</f>
        <v>0.2423383192295846</v>
      </c>
    </row>
    <row r="734" spans="1:3" ht="15.75" x14ac:dyDescent="0.25">
      <c r="A734" s="9">
        <v>7320</v>
      </c>
      <c r="B734" s="10">
        <f>1-EXP(-((4*Параметры!$B$2/Параметры!$B$3*Параметры!$B$10*Параметры!$B$4)*(Параметры!$B$6*Параметры!$B$7/Параметры!$B$8*1E-24))*(A734*0.0000001)/SIN(RADIANS(Параметры!$B$9)))</f>
        <v>5.98869111376783E-2</v>
      </c>
      <c r="C734" s="10">
        <f>1-EXP(-((4*Параметры!$B$2/Параметры!$B$3*Параметры!$B$10*Параметры!$B$5)*(Параметры!$B$6*Параметры!$B$7/Параметры!$B$8*1E-24))*(A734*0.0000001)/SIN(RADIANS(Параметры!$B$9)))</f>
        <v>0.24262590485537627</v>
      </c>
    </row>
    <row r="735" spans="1:3" ht="15.75" x14ac:dyDescent="0.25">
      <c r="A735" s="9">
        <v>7330</v>
      </c>
      <c r="B735" s="10">
        <f>1-EXP(-((4*Параметры!$B$2/Параметры!$B$3*Параметры!$B$10*Параметры!$B$4)*(Параметры!$B$6*Параметры!$B$7/Параметры!$B$8*1E-24))*(A735*0.0000001)/SIN(RADIANS(Параметры!$B$9)))</f>
        <v>5.9966220334865428E-2</v>
      </c>
      <c r="C735" s="10">
        <f>1-EXP(-((4*Параметры!$B$2/Параметры!$B$3*Параметры!$B$10*Параметры!$B$5)*(Параметры!$B$6*Параметры!$B$7/Параметры!$B$8*1E-24))*(A735*0.0000001)/SIN(RADIANS(Параметры!$B$9)))</f>
        <v>0.24291338132229889</v>
      </c>
    </row>
    <row r="736" spans="1:3" ht="15.75" x14ac:dyDescent="0.25">
      <c r="A736" s="9">
        <v>7340</v>
      </c>
      <c r="B736" s="10">
        <f>1-EXP(-((4*Параметры!$B$2/Параметры!$B$3*Параметры!$B$10*Параметры!$B$4)*(Параметры!$B$6*Параметры!$B$7/Параметры!$B$8*1E-24))*(A736*0.0000001)/SIN(RADIANS(Параметры!$B$9)))</f>
        <v>6.0045522841422616E-2</v>
      </c>
      <c r="C736" s="10">
        <f>1-EXP(-((4*Параметры!$B$2/Параметры!$B$3*Параметры!$B$10*Параметры!$B$5)*(Параметры!$B$6*Параметры!$B$7/Параметры!$B$8*1E-24))*(A736*0.0000001)/SIN(RADIANS(Параметры!$B$9)))</f>
        <v>0.24320074867178598</v>
      </c>
    </row>
    <row r="737" spans="1:3" ht="15.75" x14ac:dyDescent="0.25">
      <c r="A737" s="9">
        <v>7350</v>
      </c>
      <c r="B737" s="10">
        <f>1-EXP(-((4*Параметры!$B$2/Параметры!$B$3*Параметры!$B$10*Параметры!$B$4)*(Параметры!$B$6*Параметры!$B$7/Параметры!$B$8*1E-24))*(A737*0.0000001)/SIN(RADIANS(Параметры!$B$9)))</f>
        <v>6.0124818657914414E-2</v>
      </c>
      <c r="C737" s="10">
        <f>1-EXP(-((4*Параметры!$B$2/Параметры!$B$3*Параметры!$B$10*Параметры!$B$5)*(Параметры!$B$6*Параметры!$B$7/Параметры!$B$8*1E-24))*(A737*0.0000001)/SIN(RADIANS(Параметры!$B$9)))</f>
        <v>0.24348800694525519</v>
      </c>
    </row>
    <row r="738" spans="1:3" ht="15.75" x14ac:dyDescent="0.25">
      <c r="A738" s="9">
        <v>7360</v>
      </c>
      <c r="B738" s="10">
        <f>1-EXP(-((4*Параметры!$B$2/Параметры!$B$3*Параметры!$B$10*Параметры!$B$4)*(Параметры!$B$6*Параметры!$B$7/Параметры!$B$8*1E-24))*(A738*0.0000001)/SIN(RADIANS(Параметры!$B$9)))</f>
        <v>6.0204107784905037E-2</v>
      </c>
      <c r="C738" s="10">
        <f>1-EXP(-((4*Параметры!$B$2/Параметры!$B$3*Параметры!$B$10*Параметры!$B$5)*(Параметры!$B$6*Параметры!$B$7/Параметры!$B$8*1E-24))*(A738*0.0000001)/SIN(RADIANS(Параметры!$B$9)))</f>
        <v>0.2437751561841085</v>
      </c>
    </row>
    <row r="739" spans="1:3" ht="15.75" x14ac:dyDescent="0.25">
      <c r="A739" s="9">
        <v>7370</v>
      </c>
      <c r="B739" s="10">
        <f>1-EXP(-((4*Параметры!$B$2/Параметры!$B$3*Параметры!$B$10*Параметры!$B$4)*(Параметры!$B$6*Параметры!$B$7/Параметры!$B$8*1E-24))*(A739*0.0000001)/SIN(RADIANS(Параметры!$B$9)))</f>
        <v>6.028339022295881E-2</v>
      </c>
      <c r="C739" s="10">
        <f>1-EXP(-((4*Параметры!$B$2/Параметры!$B$3*Параметры!$B$10*Параметры!$B$5)*(Параметры!$B$6*Параметры!$B$7/Параметры!$B$8*1E-24))*(A739*0.0000001)/SIN(RADIANS(Параметры!$B$9)))</f>
        <v>0.24406219642973215</v>
      </c>
    </row>
    <row r="740" spans="1:3" ht="15.75" x14ac:dyDescent="0.25">
      <c r="A740" s="9">
        <v>7380</v>
      </c>
      <c r="B740" s="10">
        <f>1-EXP(-((4*Параметры!$B$2/Параметры!$B$3*Параметры!$B$10*Параметры!$B$4)*(Параметры!$B$6*Параметры!$B$7/Параметры!$B$8*1E-24))*(A740*0.0000001)/SIN(RADIANS(Параметры!$B$9)))</f>
        <v>6.0362665972640173E-2</v>
      </c>
      <c r="C740" s="10">
        <f>1-EXP(-((4*Параметры!$B$2/Параметры!$B$3*Параметры!$B$10*Параметры!$B$5)*(Параметры!$B$6*Параметры!$B$7/Параметры!$B$8*1E-24))*(A740*0.0000001)/SIN(RADIANS(Параметры!$B$9)))</f>
        <v>0.24434912772349682</v>
      </c>
    </row>
    <row r="741" spans="1:3" ht="15.75" x14ac:dyDescent="0.25">
      <c r="A741" s="9">
        <v>7390</v>
      </c>
      <c r="B741" s="10">
        <f>1-EXP(-((4*Параметры!$B$2/Параметры!$B$3*Параметры!$B$10*Параметры!$B$4)*(Параметры!$B$6*Параметры!$B$7/Параметры!$B$8*1E-24))*(A741*0.0000001)/SIN(RADIANS(Параметры!$B$9)))</f>
        <v>6.0441935034513339E-2</v>
      </c>
      <c r="C741" s="10">
        <f>1-EXP(-((4*Параметры!$B$2/Параметры!$B$3*Параметры!$B$10*Параметры!$B$5)*(Параметры!$B$6*Параметры!$B$7/Параметры!$B$8*1E-24))*(A741*0.0000001)/SIN(RADIANS(Параметры!$B$9)))</f>
        <v>0.24463595010675721</v>
      </c>
    </row>
    <row r="742" spans="1:3" ht="15.75" x14ac:dyDescent="0.25">
      <c r="A742" s="9">
        <v>7400</v>
      </c>
      <c r="B742" s="10">
        <f>1-EXP(-((4*Параметры!$B$2/Параметры!$B$3*Параметры!$B$10*Параметры!$B$4)*(Параметры!$B$6*Параметры!$B$7/Параметры!$B$8*1E-24))*(A742*0.0000001)/SIN(RADIANS(Параметры!$B$9)))</f>
        <v>6.0521197409142413E-2</v>
      </c>
      <c r="C742" s="10">
        <f>1-EXP(-((4*Параметры!$B$2/Параметры!$B$3*Параметры!$B$10*Параметры!$B$5)*(Параметры!$B$6*Параметры!$B$7/Параметры!$B$8*1E-24))*(A742*0.0000001)/SIN(RADIANS(Параметры!$B$9)))</f>
        <v>0.24492266362085247</v>
      </c>
    </row>
    <row r="743" spans="1:3" ht="15.75" x14ac:dyDescent="0.25">
      <c r="A743" s="9">
        <v>7410</v>
      </c>
      <c r="B743" s="10">
        <f>1-EXP(-((4*Параметры!$B$2/Параметры!$B$3*Параметры!$B$10*Параметры!$B$4)*(Параметры!$B$6*Параметры!$B$7/Параметры!$B$8*1E-24))*(A743*0.0000001)/SIN(RADIANS(Параметры!$B$9)))</f>
        <v>6.0600453097091611E-2</v>
      </c>
      <c r="C743" s="10">
        <f>1-EXP(-((4*Параметры!$B$2/Параметры!$B$3*Параметры!$B$10*Параметры!$B$5)*(Параметры!$B$6*Параметры!$B$7/Параметры!$B$8*1E-24))*(A743*0.0000001)/SIN(RADIANS(Параметры!$B$9)))</f>
        <v>0.24520926830710632</v>
      </c>
    </row>
    <row r="744" spans="1:3" ht="15.75" x14ac:dyDescent="0.25">
      <c r="A744" s="9">
        <v>7420</v>
      </c>
      <c r="B744" s="10">
        <f>1-EXP(-((4*Параметры!$B$2/Параметры!$B$3*Параметры!$B$10*Параметры!$B$4)*(Параметры!$B$6*Параметры!$B$7/Параметры!$B$8*1E-24))*(A744*0.0000001)/SIN(RADIANS(Параметры!$B$9)))</f>
        <v>6.0679702098924926E-2</v>
      </c>
      <c r="C744" s="10">
        <f>1-EXP(-((4*Параметры!$B$2/Параметры!$B$3*Параметры!$B$10*Параметры!$B$5)*(Параметры!$B$6*Параметры!$B$7/Параметры!$B$8*1E-24))*(A744*0.0000001)/SIN(RADIANS(Параметры!$B$9)))</f>
        <v>0.24549576420682617</v>
      </c>
    </row>
    <row r="745" spans="1:3" ht="15.75" x14ac:dyDescent="0.25">
      <c r="A745" s="9">
        <v>7430</v>
      </c>
      <c r="B745" s="10">
        <f>1-EXP(-((4*Параметры!$B$2/Параметры!$B$3*Параметры!$B$10*Параметры!$B$4)*(Параметры!$B$6*Параметры!$B$7/Параметры!$B$8*1E-24))*(A745*0.0000001)/SIN(RADIANS(Параметры!$B$9)))</f>
        <v>6.0758944415206573E-2</v>
      </c>
      <c r="C745" s="10">
        <f>1-EXP(-((4*Параметры!$B$2/Параметры!$B$3*Параметры!$B$10*Параметры!$B$5)*(Параметры!$B$6*Параметры!$B$7/Параметры!$B$8*1E-24))*(A745*0.0000001)/SIN(RADIANS(Параметры!$B$9)))</f>
        <v>0.24578215136130444</v>
      </c>
    </row>
    <row r="746" spans="1:3" ht="15.75" x14ac:dyDescent="0.25">
      <c r="A746" s="9">
        <v>7440</v>
      </c>
      <c r="B746" s="10">
        <f>1-EXP(-((4*Параметры!$B$2/Параметры!$B$3*Параметры!$B$10*Параметры!$B$4)*(Параметры!$B$6*Параметры!$B$7/Параметры!$B$8*1E-24))*(A746*0.0000001)/SIN(RADIANS(Параметры!$B$9)))</f>
        <v>6.0838180046500434E-2</v>
      </c>
      <c r="C746" s="10">
        <f>1-EXP(-((4*Параметры!$B$2/Параметры!$B$3*Параметры!$B$10*Параметры!$B$5)*(Параметры!$B$6*Параметры!$B$7/Параметры!$B$8*1E-24))*(A746*0.0000001)/SIN(RADIANS(Параметры!$B$9)))</f>
        <v>0.24606842981181742</v>
      </c>
    </row>
    <row r="747" spans="1:3" ht="15.75" x14ac:dyDescent="0.25">
      <c r="A747" s="9">
        <v>7450</v>
      </c>
      <c r="B747" s="10">
        <f>1-EXP(-((4*Параметры!$B$2/Параметры!$B$3*Параметры!$B$10*Параметры!$B$4)*(Параметры!$B$6*Параметры!$B$7/Параметры!$B$8*1E-24))*(A747*0.0000001)/SIN(RADIANS(Параметры!$B$9)))</f>
        <v>6.0917408993370503E-2</v>
      </c>
      <c r="C747" s="10">
        <f>1-EXP(-((4*Параметры!$B$2/Параметры!$B$3*Параметры!$B$10*Параметры!$B$5)*(Параметры!$B$6*Параметры!$B$7/Параметры!$B$8*1E-24))*(A747*0.0000001)/SIN(RADIANS(Параметры!$B$9)))</f>
        <v>0.24635459959962591</v>
      </c>
    </row>
    <row r="748" spans="1:3" ht="15.75" x14ac:dyDescent="0.25">
      <c r="A748" s="9">
        <v>7460</v>
      </c>
      <c r="B748" s="10">
        <f>1-EXP(-((4*Параметры!$B$2/Параметры!$B$3*Параметры!$B$10*Параметры!$B$4)*(Параметры!$B$6*Параметры!$B$7/Параметры!$B$8*1E-24))*(A748*0.0000001)/SIN(RADIANS(Параметры!$B$9)))</f>
        <v>6.0996631256380662E-2</v>
      </c>
      <c r="C748" s="10">
        <f>1-EXP(-((4*Параметры!$B$2/Параметры!$B$3*Параметры!$B$10*Параметры!$B$5)*(Параметры!$B$6*Параметры!$B$7/Параметры!$B$8*1E-24))*(A748*0.0000001)/SIN(RADIANS(Параметры!$B$9)))</f>
        <v>0.24664066076597491</v>
      </c>
    </row>
    <row r="749" spans="1:3" ht="15.75" x14ac:dyDescent="0.25">
      <c r="A749" s="9">
        <v>7470</v>
      </c>
      <c r="B749" s="10">
        <f>1-EXP(-((4*Параметры!$B$2/Параметры!$B$3*Параметры!$B$10*Параметры!$B$4)*(Параметры!$B$6*Параметры!$B$7/Параметры!$B$8*1E-24))*(A749*0.0000001)/SIN(RADIANS(Параметры!$B$9)))</f>
        <v>6.1075846836094794E-2</v>
      </c>
      <c r="C749" s="10">
        <f>1-EXP(-((4*Параметры!$B$2/Параметры!$B$3*Параметры!$B$10*Параметры!$B$5)*(Параметры!$B$6*Параметры!$B$7/Параметры!$B$8*1E-24))*(A749*0.0000001)/SIN(RADIANS(Параметры!$B$9)))</f>
        <v>0.24692661335209387</v>
      </c>
    </row>
    <row r="750" spans="1:3" ht="15.75" x14ac:dyDescent="0.25">
      <c r="A750" s="9">
        <v>7480</v>
      </c>
      <c r="B750" s="10">
        <f>1-EXP(-((4*Параметры!$B$2/Параметры!$B$3*Параметры!$B$10*Параметры!$B$4)*(Параметры!$B$6*Параметры!$B$7/Параметры!$B$8*1E-24))*(A750*0.0000001)/SIN(RADIANS(Параметры!$B$9)))</f>
        <v>6.1155055733076669E-2</v>
      </c>
      <c r="C750" s="10">
        <f>1-EXP(-((4*Параметры!$B$2/Параметры!$B$3*Параметры!$B$10*Параметры!$B$5)*(Параметры!$B$6*Параметры!$B$7/Параметры!$B$8*1E-24))*(A750*0.0000001)/SIN(RADIANS(Параметры!$B$9)))</f>
        <v>0.24721245739919673</v>
      </c>
    </row>
    <row r="751" spans="1:3" ht="15.75" x14ac:dyDescent="0.25">
      <c r="A751" s="9">
        <v>7490</v>
      </c>
      <c r="B751" s="10">
        <f>1-EXP(-((4*Параметры!$B$2/Параметры!$B$3*Параметры!$B$10*Параметры!$B$4)*(Параметры!$B$6*Параметры!$B$7/Параметры!$B$8*1E-24))*(A751*0.0000001)/SIN(RADIANS(Параметры!$B$9)))</f>
        <v>6.1234257947890058E-2</v>
      </c>
      <c r="C751" s="10">
        <f>1-EXP(-((4*Параметры!$B$2/Параметры!$B$3*Параметры!$B$10*Параметры!$B$5)*(Параметры!$B$6*Параметры!$B$7/Параметры!$B$8*1E-24))*(A751*0.0000001)/SIN(RADIANS(Параметры!$B$9)))</f>
        <v>0.24749819294848163</v>
      </c>
    </row>
    <row r="752" spans="1:3" ht="15.75" x14ac:dyDescent="0.25">
      <c r="A752" s="9">
        <v>7500</v>
      </c>
      <c r="B752" s="10">
        <f>1-EXP(-((4*Параметры!$B$2/Параметры!$B$3*Параметры!$B$10*Параметры!$B$4)*(Параметры!$B$6*Параметры!$B$7/Параметры!$B$8*1E-24))*(A752*0.0000001)/SIN(RADIANS(Параметры!$B$9)))</f>
        <v>6.1313453481098845E-2</v>
      </c>
      <c r="C752" s="10">
        <f>1-EXP(-((4*Параметры!$B$2/Параметры!$B$3*Параметры!$B$10*Параметры!$B$5)*(Параметры!$B$6*Параметры!$B$7/Параметры!$B$8*1E-24))*(A752*0.0000001)/SIN(RADIANS(Параметры!$B$9)))</f>
        <v>0.24778382004113098</v>
      </c>
    </row>
    <row r="753" spans="1:3" ht="15.75" x14ac:dyDescent="0.25">
      <c r="A753" s="9">
        <v>7510</v>
      </c>
      <c r="B753" s="10">
        <f>1-EXP(-((4*Параметры!$B$2/Параметры!$B$3*Параметры!$B$10*Параметры!$B$4)*(Параметры!$B$6*Параметры!$B$7/Параметры!$B$8*1E-24))*(A753*0.0000001)/SIN(RADIANS(Параметры!$B$9)))</f>
        <v>6.1392642333266467E-2</v>
      </c>
      <c r="C753" s="10">
        <f>1-EXP(-((4*Параметры!$B$2/Параметры!$B$3*Параметры!$B$10*Параметры!$B$5)*(Параметры!$B$6*Параметры!$B$7/Параметры!$B$8*1E-24))*(A753*0.0000001)/SIN(RADIANS(Параметры!$B$9)))</f>
        <v>0.24806933871831172</v>
      </c>
    </row>
    <row r="754" spans="1:3" ht="15.75" x14ac:dyDescent="0.25">
      <c r="A754" s="9">
        <v>7520</v>
      </c>
      <c r="B754" s="10">
        <f>1-EXP(-((4*Параметры!$B$2/Параметры!$B$3*Параметры!$B$10*Параметры!$B$4)*(Параметры!$B$6*Параметры!$B$7/Параметры!$B$8*1E-24))*(A754*0.0000001)/SIN(RADIANS(Параметры!$B$9)))</f>
        <v>6.1471824504956585E-2</v>
      </c>
      <c r="C754" s="10">
        <f>1-EXP(-((4*Параметры!$B$2/Параметры!$B$3*Параметры!$B$10*Параметры!$B$5)*(Параметры!$B$6*Параметры!$B$7/Параметры!$B$8*1E-24))*(A754*0.0000001)/SIN(RADIANS(Параметры!$B$9)))</f>
        <v>0.24835474902117505</v>
      </c>
    </row>
    <row r="755" spans="1:3" ht="15.75" x14ac:dyDescent="0.25">
      <c r="A755" s="9">
        <v>7530</v>
      </c>
      <c r="B755" s="10">
        <f>1-EXP(-((4*Параметры!$B$2/Параметры!$B$3*Параметры!$B$10*Параметры!$B$4)*(Параметры!$B$6*Параметры!$B$7/Параметры!$B$8*1E-24))*(A755*0.0000001)/SIN(RADIANS(Параметры!$B$9)))</f>
        <v>6.1550999996732858E-2</v>
      </c>
      <c r="C755" s="10">
        <f>1-EXP(-((4*Параметры!$B$2/Параметры!$B$3*Параметры!$B$10*Параметры!$B$5)*(Параметры!$B$6*Параметры!$B$7/Параметры!$B$8*1E-24))*(A755*0.0000001)/SIN(RADIANS(Параметры!$B$9)))</f>
        <v>0.24864005099085662</v>
      </c>
    </row>
    <row r="756" spans="1:3" ht="15.75" x14ac:dyDescent="0.25">
      <c r="A756" s="9">
        <v>7540</v>
      </c>
      <c r="B756" s="10">
        <f>1-EXP(-((4*Параметры!$B$2/Параметры!$B$3*Параметры!$B$10*Параметры!$B$4)*(Параметры!$B$6*Параметры!$B$7/Параметры!$B$8*1E-24))*(A756*0.0000001)/SIN(RADIANS(Параметры!$B$9)))</f>
        <v>6.1630168809158836E-2</v>
      </c>
      <c r="C756" s="10">
        <f>1-EXP(-((4*Параметры!$B$2/Параметры!$B$3*Параметры!$B$10*Параметры!$B$5)*(Параметры!$B$6*Параметры!$B$7/Параметры!$B$8*1E-24))*(A756*0.0000001)/SIN(RADIANS(Параметры!$B$9)))</f>
        <v>0.24892524466847654</v>
      </c>
    </row>
    <row r="757" spans="1:3" ht="15.75" x14ac:dyDescent="0.25">
      <c r="A757" s="9">
        <v>7550</v>
      </c>
      <c r="B757" s="10">
        <f>1-EXP(-((4*Параметры!$B$2/Параметры!$B$3*Параметры!$B$10*Параметры!$B$4)*(Параметры!$B$6*Параметры!$B$7/Параметры!$B$8*1E-24))*(A757*0.0000001)/SIN(RADIANS(Параметры!$B$9)))</f>
        <v>6.1709330942797957E-2</v>
      </c>
      <c r="C757" s="10">
        <f>1-EXP(-((4*Параметры!$B$2/Параметры!$B$3*Параметры!$B$10*Параметры!$B$5)*(Параметры!$B$6*Параметры!$B$7/Параметры!$B$8*1E-24))*(A757*0.0000001)/SIN(RADIANS(Параметры!$B$9)))</f>
        <v>0.24921033009513904</v>
      </c>
    </row>
    <row r="758" spans="1:3" ht="15.75" x14ac:dyDescent="0.25">
      <c r="A758" s="9">
        <v>7560</v>
      </c>
      <c r="B758" s="10">
        <f>1-EXP(-((4*Параметры!$B$2/Параметры!$B$3*Параметры!$B$10*Параметры!$B$4)*(Параметры!$B$6*Параметры!$B$7/Параметры!$B$8*1E-24))*(A758*0.0000001)/SIN(RADIANS(Параметры!$B$9)))</f>
        <v>6.1788486398213549E-2</v>
      </c>
      <c r="C758" s="10">
        <f>1-EXP(-((4*Параметры!$B$2/Параметры!$B$3*Параметры!$B$10*Параметры!$B$5)*(Параметры!$B$6*Параметры!$B$7/Параметры!$B$8*1E-24))*(A758*0.0000001)/SIN(RADIANS(Параметры!$B$9)))</f>
        <v>0.24949530731193326</v>
      </c>
    </row>
    <row r="759" spans="1:3" ht="15.75" x14ac:dyDescent="0.25">
      <c r="A759" s="9">
        <v>7570</v>
      </c>
      <c r="B759" s="10">
        <f>1-EXP(-((4*Параметры!$B$2/Параметры!$B$3*Параметры!$B$10*Параметры!$B$4)*(Параметры!$B$6*Параметры!$B$7/Параметры!$B$8*1E-24))*(A759*0.0000001)/SIN(RADIANS(Параметры!$B$9)))</f>
        <v>6.186763517596916E-2</v>
      </c>
      <c r="C759" s="10">
        <f>1-EXP(-((4*Параметры!$B$2/Параметры!$B$3*Параметры!$B$10*Параметры!$B$5)*(Параметры!$B$6*Параметры!$B$7/Параметры!$B$8*1E-24))*(A759*0.0000001)/SIN(RADIANS(Параметры!$B$9)))</f>
        <v>0.2497801763599321</v>
      </c>
    </row>
    <row r="760" spans="1:3" ht="15.75" x14ac:dyDescent="0.25">
      <c r="A760" s="9">
        <v>7580</v>
      </c>
      <c r="B760" s="10">
        <f>1-EXP(-((4*Параметры!$B$2/Параметры!$B$3*Параметры!$B$10*Параметры!$B$4)*(Параметры!$B$6*Параметры!$B$7/Параметры!$B$8*1E-24))*(A760*0.0000001)/SIN(RADIANS(Параметры!$B$9)))</f>
        <v>6.1946777276628007E-2</v>
      </c>
      <c r="C760" s="10">
        <f>1-EXP(-((4*Параметры!$B$2/Параметры!$B$3*Параметры!$B$10*Параметры!$B$5)*(Параметры!$B$6*Параметры!$B$7/Параметры!$B$8*1E-24))*(A760*0.0000001)/SIN(RADIANS(Параметры!$B$9)))</f>
        <v>0.2500649372801933</v>
      </c>
    </row>
    <row r="761" spans="1:3" ht="15.75" x14ac:dyDescent="0.25">
      <c r="A761" s="9">
        <v>7590</v>
      </c>
      <c r="B761" s="10">
        <f>1-EXP(-((4*Параметры!$B$2/Параметры!$B$3*Параметры!$B$10*Параметры!$B$4)*(Параметры!$B$6*Параметры!$B$7/Параметры!$B$8*1E-24))*(A761*0.0000001)/SIN(RADIANS(Параметры!$B$9)))</f>
        <v>6.2025912700753416E-2</v>
      </c>
      <c r="C761" s="10">
        <f>1-EXP(-((4*Параметры!$B$2/Параметры!$B$3*Параметры!$B$10*Параметры!$B$5)*(Параметры!$B$6*Параметры!$B$7/Параметры!$B$8*1E-24))*(A761*0.0000001)/SIN(RADIANS(Параметры!$B$9)))</f>
        <v>0.2503495901137589</v>
      </c>
    </row>
    <row r="762" spans="1:3" ht="15.75" x14ac:dyDescent="0.25">
      <c r="A762" s="9">
        <v>7600</v>
      </c>
      <c r="B762" s="10">
        <f>1-EXP(-((4*Параметры!$B$2/Параметры!$B$3*Параметры!$B$10*Параметры!$B$4)*(Параметры!$B$6*Параметры!$B$7/Параметры!$B$8*1E-24))*(A762*0.0000001)/SIN(RADIANS(Параметры!$B$9)))</f>
        <v>6.2105041448908715E-2</v>
      </c>
      <c r="C762" s="10">
        <f>1-EXP(-((4*Параметры!$B$2/Параметры!$B$3*Параметры!$B$10*Параметры!$B$5)*(Параметры!$B$6*Параметры!$B$7/Параметры!$B$8*1E-24))*(A762*0.0000001)/SIN(RADIANS(Параметры!$B$9)))</f>
        <v>0.25063413490165531</v>
      </c>
    </row>
    <row r="763" spans="1:3" ht="15.75" x14ac:dyDescent="0.25">
      <c r="A763" s="9">
        <v>7610</v>
      </c>
      <c r="B763" s="10">
        <f>1-EXP(-((4*Параметры!$B$2/Параметры!$B$3*Параметры!$B$10*Параметры!$B$4)*(Параметры!$B$6*Параметры!$B$7/Параметры!$B$8*1E-24))*(A763*0.0000001)/SIN(RADIANS(Параметры!$B$9)))</f>
        <v>6.2184163521656899E-2</v>
      </c>
      <c r="C763" s="10">
        <f>1-EXP(-((4*Параметры!$B$2/Параметры!$B$3*Параметры!$B$10*Параметры!$B$5)*(Параметры!$B$6*Параметры!$B$7/Параметры!$B$8*1E-24))*(A763*0.0000001)/SIN(RADIANS(Параметры!$B$9)))</f>
        <v>0.25091857168489362</v>
      </c>
    </row>
    <row r="764" spans="1:3" ht="15.75" x14ac:dyDescent="0.25">
      <c r="A764" s="9">
        <v>7620</v>
      </c>
      <c r="B764" s="10">
        <f>1-EXP(-((4*Параметры!$B$2/Параметры!$B$3*Параметры!$B$10*Параметры!$B$4)*(Параметры!$B$6*Параметры!$B$7/Параметры!$B$8*1E-24))*(A764*0.0000001)/SIN(RADIANS(Параметры!$B$9)))</f>
        <v>6.2263278919561293E-2</v>
      </c>
      <c r="C764" s="10">
        <f>1-EXP(-((4*Параметры!$B$2/Параметры!$B$3*Параметры!$B$10*Параметры!$B$5)*(Параметры!$B$6*Параметры!$B$7/Параметры!$B$8*1E-24))*(A764*0.0000001)/SIN(RADIANS(Параметры!$B$9)))</f>
        <v>0.25120290050446892</v>
      </c>
    </row>
    <row r="765" spans="1:3" ht="15.75" x14ac:dyDescent="0.25">
      <c r="A765" s="9">
        <v>7630</v>
      </c>
      <c r="B765" s="10">
        <f>1-EXP(-((4*Параметры!$B$2/Параметры!$B$3*Параметры!$B$10*Параметры!$B$4)*(Параметры!$B$6*Параметры!$B$7/Параметры!$B$8*1E-24))*(A765*0.0000001)/SIN(RADIANS(Параметры!$B$9)))</f>
        <v>6.2342387643185004E-2</v>
      </c>
      <c r="C765" s="10">
        <f>1-EXP(-((4*Параметры!$B$2/Параметры!$B$3*Параметры!$B$10*Параметры!$B$5)*(Параметры!$B$6*Параметры!$B$7/Параметры!$B$8*1E-24))*(A765*0.0000001)/SIN(RADIANS(Параметры!$B$9)))</f>
        <v>0.25148712140136109</v>
      </c>
    </row>
    <row r="766" spans="1:3" ht="15.75" x14ac:dyDescent="0.25">
      <c r="A766" s="9">
        <v>7640</v>
      </c>
      <c r="B766" s="10">
        <f>1-EXP(-((4*Параметры!$B$2/Параметры!$B$3*Параметры!$B$10*Параметры!$B$4)*(Параметры!$B$6*Параметры!$B$7/Параметры!$B$8*1E-24))*(A766*0.0000001)/SIN(RADIANS(Параметры!$B$9)))</f>
        <v>6.2421489693090915E-2</v>
      </c>
      <c r="C766" s="10">
        <f>1-EXP(-((4*Параметры!$B$2/Параметры!$B$3*Параметры!$B$10*Параметры!$B$5)*(Параметры!$B$6*Параметры!$B$7/Параметры!$B$8*1E-24))*(A766*0.0000001)/SIN(RADIANS(Параметры!$B$9)))</f>
        <v>0.25177123441653437</v>
      </c>
    </row>
    <row r="767" spans="1:3" ht="15.75" x14ac:dyDescent="0.25">
      <c r="A767" s="9">
        <v>7650</v>
      </c>
      <c r="B767" s="10">
        <f>1-EXP(-((4*Параметры!$B$2/Параметры!$B$3*Параметры!$B$10*Параметры!$B$4)*(Параметры!$B$6*Параметры!$B$7/Параметры!$B$8*1E-24))*(A767*0.0000001)/SIN(RADIANS(Параметры!$B$9)))</f>
        <v>6.2500585069842129E-2</v>
      </c>
      <c r="C767" s="10">
        <f>1-EXP(-((4*Параметры!$B$2/Параметры!$B$3*Параметры!$B$10*Параметры!$B$5)*(Параметры!$B$6*Параметры!$B$7/Параметры!$B$8*1E-24))*(A767*0.0000001)/SIN(RADIANS(Параметры!$B$9)))</f>
        <v>0.25205523959093734</v>
      </c>
    </row>
    <row r="768" spans="1:3" ht="15.75" x14ac:dyDescent="0.25">
      <c r="A768" s="9">
        <v>7660</v>
      </c>
      <c r="B768" s="10">
        <f>1-EXP(-((4*Параметры!$B$2/Параметры!$B$3*Параметры!$B$10*Параметры!$B$4)*(Параметры!$B$6*Параметры!$B$7/Параметры!$B$8*1E-24))*(A768*0.0000001)/SIN(RADIANS(Параметры!$B$9)))</f>
        <v>6.2579673774001643E-2</v>
      </c>
      <c r="C768" s="10">
        <f>1-EXP(-((4*Параметры!$B$2/Параметры!$B$3*Параметры!$B$10*Параметры!$B$5)*(Параметры!$B$6*Параметры!$B$7/Параметры!$B$8*1E-24))*(A768*0.0000001)/SIN(RADIANS(Параметры!$B$9)))</f>
        <v>0.25233913696550303</v>
      </c>
    </row>
    <row r="769" spans="1:3" ht="15.75" x14ac:dyDescent="0.25">
      <c r="A769" s="9">
        <v>7670</v>
      </c>
      <c r="B769" s="10">
        <f>1-EXP(-((4*Параметры!$B$2/Параметры!$B$3*Параметры!$B$10*Параметры!$B$4)*(Параметры!$B$6*Параметры!$B$7/Параметры!$B$8*1E-24))*(A769*0.0000001)/SIN(RADIANS(Параметры!$B$9)))</f>
        <v>6.2658755806132338E-2</v>
      </c>
      <c r="C769" s="10">
        <f>1-EXP(-((4*Параметры!$B$2/Параметры!$B$3*Параметры!$B$10*Параметры!$B$5)*(Параметры!$B$6*Параметры!$B$7/Параметры!$B$8*1E-24))*(A769*0.0000001)/SIN(RADIANS(Параметры!$B$9)))</f>
        <v>0.25262292658114927</v>
      </c>
    </row>
    <row r="770" spans="1:3" ht="15.75" x14ac:dyDescent="0.25">
      <c r="A770" s="9">
        <v>7680</v>
      </c>
      <c r="B770" s="10">
        <f>1-EXP(-((4*Параметры!$B$2/Параметры!$B$3*Параметры!$B$10*Параметры!$B$4)*(Параметры!$B$6*Параметры!$B$7/Параметры!$B$8*1E-24))*(A770*0.0000001)/SIN(RADIANS(Параметры!$B$9)))</f>
        <v>6.2737831166797098E-2</v>
      </c>
      <c r="C770" s="10">
        <f>1-EXP(-((4*Параметры!$B$2/Параметры!$B$3*Параметры!$B$10*Параметры!$B$5)*(Параметры!$B$6*Параметры!$B$7/Параметры!$B$8*1E-24))*(A770*0.0000001)/SIN(RADIANS(Параметры!$B$9)))</f>
        <v>0.25290660847877799</v>
      </c>
    </row>
    <row r="771" spans="1:3" ht="15.75" x14ac:dyDescent="0.25">
      <c r="A771" s="9">
        <v>7690</v>
      </c>
      <c r="B771" s="10">
        <f>1-EXP(-((4*Параметры!$B$2/Параметры!$B$3*Параметры!$B$10*Параметры!$B$4)*(Параметры!$B$6*Параметры!$B$7/Параметры!$B$8*1E-24))*(A771*0.0000001)/SIN(RADIANS(Параметры!$B$9)))</f>
        <v>6.2816899856558583E-2</v>
      </c>
      <c r="C771" s="10">
        <f>1-EXP(-((4*Параметры!$B$2/Параметры!$B$3*Параметры!$B$10*Параметры!$B$5)*(Параметры!$B$6*Параметры!$B$7/Параметры!$B$8*1E-24))*(A771*0.0000001)/SIN(RADIANS(Параметры!$B$9)))</f>
        <v>0.25319018269927573</v>
      </c>
    </row>
    <row r="772" spans="1:3" ht="15.75" x14ac:dyDescent="0.25">
      <c r="A772" s="9">
        <v>7700</v>
      </c>
      <c r="B772" s="10">
        <f>1-EXP(-((4*Параметры!$B$2/Параметры!$B$3*Параметры!$B$10*Параметры!$B$4)*(Параметры!$B$6*Параметры!$B$7/Параметры!$B$8*1E-24))*(A772*0.0000001)/SIN(RADIANS(Параметры!$B$9)))</f>
        <v>6.2895961875979789E-2</v>
      </c>
      <c r="C772" s="10">
        <f>1-EXP(-((4*Параметры!$B$2/Параметры!$B$3*Параметры!$B$10*Параметры!$B$5)*(Параметры!$B$6*Параметры!$B$7/Параметры!$B$8*1E-24))*(A772*0.0000001)/SIN(RADIANS(Параметры!$B$9)))</f>
        <v>0.25347364928351335</v>
      </c>
    </row>
    <row r="773" spans="1:3" ht="15.75" x14ac:dyDescent="0.25">
      <c r="A773" s="9">
        <v>7710</v>
      </c>
      <c r="B773" s="10">
        <f>1-EXP(-((4*Параметры!$B$2/Параметры!$B$3*Параметры!$B$10*Параметры!$B$4)*(Параметры!$B$6*Параметры!$B$7/Параметры!$B$8*1E-24))*(A773*0.0000001)/SIN(RADIANS(Параметры!$B$9)))</f>
        <v>6.2975017225623264E-2</v>
      </c>
      <c r="C773" s="10">
        <f>1-EXP(-((4*Параметры!$B$2/Параметры!$B$3*Параметры!$B$10*Параметры!$B$5)*(Параметры!$B$6*Параметры!$B$7/Параметры!$B$8*1E-24))*(A773*0.0000001)/SIN(RADIANS(Параметры!$B$9)))</f>
        <v>0.2537570082723466</v>
      </c>
    </row>
    <row r="774" spans="1:3" ht="15.75" x14ac:dyDescent="0.25">
      <c r="A774" s="9">
        <v>7720</v>
      </c>
      <c r="B774" s="10">
        <f>1-EXP(-((4*Параметры!$B$2/Параметры!$B$3*Параметры!$B$10*Параметры!$B$4)*(Параметры!$B$6*Параметры!$B$7/Параметры!$B$8*1E-24))*(A774*0.0000001)/SIN(RADIANS(Параметры!$B$9)))</f>
        <v>6.3054065906051782E-2</v>
      </c>
      <c r="C774" s="10">
        <f>1-EXP(-((4*Параметры!$B$2/Параметры!$B$3*Параметры!$B$10*Параметры!$B$5)*(Параметры!$B$6*Параметры!$B$7/Параметры!$B$8*1E-24))*(A774*0.0000001)/SIN(RADIANS(Параметры!$B$9)))</f>
        <v>0.25404025970661526</v>
      </c>
    </row>
    <row r="775" spans="1:3" ht="15.75" x14ac:dyDescent="0.25">
      <c r="A775" s="9">
        <v>7730</v>
      </c>
      <c r="B775" s="10">
        <f>1-EXP(-((4*Параметры!$B$2/Параметры!$B$3*Параметры!$B$10*Параметры!$B$4)*(Параметры!$B$6*Параметры!$B$7/Параметры!$B$8*1E-24))*(A775*0.0000001)/SIN(RADIANS(Параметры!$B$9)))</f>
        <v>6.3133107917827891E-2</v>
      </c>
      <c r="C775" s="10">
        <f>1-EXP(-((4*Параметры!$B$2/Параметры!$B$3*Параметры!$B$10*Параметры!$B$5)*(Параметры!$B$6*Параметры!$B$7/Параметры!$B$8*1E-24))*(A775*0.0000001)/SIN(RADIANS(Параметры!$B$9)))</f>
        <v>0.2543234036271439</v>
      </c>
    </row>
    <row r="776" spans="1:3" ht="15.75" x14ac:dyDescent="0.25">
      <c r="A776" s="9">
        <v>7740</v>
      </c>
      <c r="B776" s="10">
        <f>1-EXP(-((4*Параметры!$B$2/Параметры!$B$3*Параметры!$B$10*Параметры!$B$4)*(Параметры!$B$6*Параметры!$B$7/Параметры!$B$8*1E-24))*(A776*0.0000001)/SIN(RADIANS(Параметры!$B$9)))</f>
        <v>6.3212143261514142E-2</v>
      </c>
      <c r="C776" s="10">
        <f>1-EXP(-((4*Параметры!$B$2/Параметры!$B$3*Параметры!$B$10*Параметры!$B$5)*(Параметры!$B$6*Параметры!$B$7/Параметры!$B$8*1E-24))*(A776*0.0000001)/SIN(RADIANS(Параметры!$B$9)))</f>
        <v>0.25460644007474154</v>
      </c>
    </row>
    <row r="777" spans="1:3" ht="15.75" x14ac:dyDescent="0.25">
      <c r="A777" s="9">
        <v>7750</v>
      </c>
      <c r="B777" s="10">
        <f>1-EXP(-((4*Параметры!$B$2/Параметры!$B$3*Параметры!$B$10*Параметры!$B$4)*(Параметры!$B$6*Параметры!$B$7/Параметры!$B$8*1E-24))*(A777*0.0000001)/SIN(RADIANS(Параметры!$B$9)))</f>
        <v>6.3291171937673196E-2</v>
      </c>
      <c r="C777" s="10">
        <f>1-EXP(-((4*Параметры!$B$2/Параметры!$B$3*Параметры!$B$10*Параметры!$B$5)*(Параметры!$B$6*Параметры!$B$7/Параметры!$B$8*1E-24))*(A777*0.0000001)/SIN(RADIANS(Параметры!$B$9)))</f>
        <v>0.25488936909020155</v>
      </c>
    </row>
    <row r="778" spans="1:3" ht="15.75" x14ac:dyDescent="0.25">
      <c r="A778" s="9">
        <v>7760</v>
      </c>
      <c r="B778" s="10">
        <f>1-EXP(-((4*Параметры!$B$2/Параметры!$B$3*Параметры!$B$10*Параметры!$B$4)*(Параметры!$B$6*Параметры!$B$7/Параметры!$B$8*1E-24))*(A778*0.0000001)/SIN(RADIANS(Параметры!$B$9)))</f>
        <v>6.3370193946867492E-2</v>
      </c>
      <c r="C778" s="10">
        <f>1-EXP(-((4*Параметры!$B$2/Параметры!$B$3*Параметры!$B$10*Параметры!$B$5)*(Параметры!$B$6*Параметры!$B$7/Параметры!$B$8*1E-24))*(A778*0.0000001)/SIN(RADIANS(Параметры!$B$9)))</f>
        <v>0.25517219071430208</v>
      </c>
    </row>
    <row r="779" spans="1:3" ht="15.75" x14ac:dyDescent="0.25">
      <c r="A779" s="9">
        <v>7770</v>
      </c>
      <c r="B779" s="10">
        <f>1-EXP(-((4*Параметры!$B$2/Параметры!$B$3*Параметры!$B$10*Параметры!$B$4)*(Параметры!$B$6*Параметры!$B$7/Параметры!$B$8*1E-24))*(A779*0.0000001)/SIN(RADIANS(Параметры!$B$9)))</f>
        <v>6.3449209289659358E-2</v>
      </c>
      <c r="C779" s="10">
        <f>1-EXP(-((4*Параметры!$B$2/Параметры!$B$3*Параметры!$B$10*Параметры!$B$5)*(Параметры!$B$6*Параметры!$B$7/Параметры!$B$8*1E-24))*(A779*0.0000001)/SIN(RADIANS(Параметры!$B$9)))</f>
        <v>0.25545490498780554</v>
      </c>
    </row>
    <row r="780" spans="1:3" ht="15.75" x14ac:dyDescent="0.25">
      <c r="A780" s="9">
        <v>7780</v>
      </c>
      <c r="B780" s="10">
        <f>1-EXP(-((4*Параметры!$B$2/Параметры!$B$3*Параметры!$B$10*Параметры!$B$4)*(Параметры!$B$6*Параметры!$B$7/Параметры!$B$8*1E-24))*(A780*0.0000001)/SIN(RADIANS(Параметры!$B$9)))</f>
        <v>6.3528217966611344E-2</v>
      </c>
      <c r="C780" s="10">
        <f>1-EXP(-((4*Параметры!$B$2/Параметры!$B$3*Параметры!$B$10*Параметры!$B$5)*(Параметры!$B$6*Параметры!$B$7/Параметры!$B$8*1E-24))*(A780*0.0000001)/SIN(RADIANS(Параметры!$B$9)))</f>
        <v>0.25573751195145911</v>
      </c>
    </row>
    <row r="781" spans="1:3" ht="15.75" x14ac:dyDescent="0.25">
      <c r="A781" s="9">
        <v>7790</v>
      </c>
      <c r="B781" s="10">
        <f>1-EXP(-((4*Параметры!$B$2/Параметры!$B$3*Параметры!$B$10*Параметры!$B$4)*(Параметры!$B$6*Параметры!$B$7/Параметры!$B$8*1E-24))*(A781*0.0000001)/SIN(RADIANS(Параметры!$B$9)))</f>
        <v>6.3607219978285667E-2</v>
      </c>
      <c r="C781" s="10">
        <f>1-EXP(-((4*Параметры!$B$2/Параметры!$B$3*Параметры!$B$10*Параметры!$B$5)*(Параметры!$B$6*Параметры!$B$7/Параметры!$B$8*1E-24))*(A781*0.0000001)/SIN(RADIANS(Параметры!$B$9)))</f>
        <v>0.25602001164599431</v>
      </c>
    </row>
    <row r="782" spans="1:3" ht="15.75" x14ac:dyDescent="0.25">
      <c r="A782" s="9">
        <v>7800</v>
      </c>
      <c r="B782" s="10">
        <f>1-EXP(-((4*Параметры!$B$2/Параметры!$B$3*Параметры!$B$10*Параметры!$B$4)*(Параметры!$B$6*Параметры!$B$7/Параметры!$B$8*1E-24))*(A782*0.0000001)/SIN(RADIANS(Параметры!$B$9)))</f>
        <v>6.3686215325244655E-2</v>
      </c>
      <c r="C782" s="10">
        <f>1-EXP(-((4*Параметры!$B$2/Параметры!$B$3*Параметры!$B$10*Параметры!$B$5)*(Параметры!$B$6*Параметры!$B$7/Параметры!$B$8*1E-24))*(A782*0.0000001)/SIN(RADIANS(Параметры!$B$9)))</f>
        <v>0.25630240411212735</v>
      </c>
    </row>
    <row r="783" spans="1:3" ht="15.75" x14ac:dyDescent="0.25">
      <c r="A783" s="9">
        <v>7810</v>
      </c>
      <c r="B783" s="10">
        <f>1-EXP(-((4*Параметры!$B$2/Параметры!$B$3*Параметры!$B$10*Параметры!$B$4)*(Параметры!$B$6*Параметры!$B$7/Параметры!$B$8*1E-24))*(A783*0.0000001)/SIN(RADIANS(Параметры!$B$9)))</f>
        <v>6.3765204008050524E-2</v>
      </c>
      <c r="C783" s="10">
        <f>1-EXP(-((4*Параметры!$B$2/Параметры!$B$3*Параметры!$B$10*Параметры!$B$5)*(Параметры!$B$6*Параметры!$B$7/Параметры!$B$8*1E-24))*(A783*0.0000001)/SIN(RADIANS(Параметры!$B$9)))</f>
        <v>0.2565846893905589</v>
      </c>
    </row>
    <row r="784" spans="1:3" ht="15.75" x14ac:dyDescent="0.25">
      <c r="A784" s="9">
        <v>7820</v>
      </c>
      <c r="B784" s="10">
        <f>1-EXP(-((4*Параметры!$B$2/Параметры!$B$3*Параметры!$B$10*Параметры!$B$4)*(Параметры!$B$6*Параметры!$B$7/Параметры!$B$8*1E-24))*(A784*0.0000001)/SIN(RADIANS(Параметры!$B$9)))</f>
        <v>6.3844186027265493E-2</v>
      </c>
      <c r="C784" s="10">
        <f>1-EXP(-((4*Параметры!$B$2/Параметры!$B$3*Параметры!$B$10*Параметры!$B$5)*(Параметры!$B$6*Параметры!$B$7/Параметры!$B$8*1E-24))*(A784*0.0000001)/SIN(RADIANS(Параметры!$B$9)))</f>
        <v>0.25686686752197407</v>
      </c>
    </row>
    <row r="785" spans="1:3" ht="15.75" x14ac:dyDescent="0.25">
      <c r="A785" s="9">
        <v>7830</v>
      </c>
      <c r="B785" s="10">
        <f>1-EXP(-((4*Параметры!$B$2/Параметры!$B$3*Параметры!$B$10*Параметры!$B$4)*(Параметры!$B$6*Параметры!$B$7/Параметры!$B$8*1E-24))*(A785*0.0000001)/SIN(RADIANS(Параметры!$B$9)))</f>
        <v>6.3923161383451665E-2</v>
      </c>
      <c r="C785" s="10">
        <f>1-EXP(-((4*Параметры!$B$2/Параметры!$B$3*Параметры!$B$10*Параметры!$B$5)*(Параметры!$B$6*Параметры!$B$7/Параметры!$B$8*1E-24))*(A785*0.0000001)/SIN(RADIANS(Параметры!$B$9)))</f>
        <v>0.25714893854704279</v>
      </c>
    </row>
    <row r="786" spans="1:3" ht="15.75" x14ac:dyDescent="0.25">
      <c r="A786" s="9">
        <v>7840</v>
      </c>
      <c r="B786" s="10">
        <f>1-EXP(-((4*Параметры!$B$2/Параметры!$B$3*Параметры!$B$10*Параметры!$B$4)*(Параметры!$B$6*Параметры!$B$7/Параметры!$B$8*1E-24))*(A786*0.0000001)/SIN(RADIANS(Параметры!$B$9)))</f>
        <v>6.400213007717126E-2</v>
      </c>
      <c r="C786" s="10">
        <f>1-EXP(-((4*Параметры!$B$2/Параметры!$B$3*Параметры!$B$10*Параметры!$B$5)*(Параметры!$B$6*Параметры!$B$7/Параметры!$B$8*1E-24))*(A786*0.0000001)/SIN(RADIANS(Параметры!$B$9)))</f>
        <v>0.25743090250641942</v>
      </c>
    </row>
    <row r="787" spans="1:3" ht="15.75" x14ac:dyDescent="0.25">
      <c r="A787" s="9">
        <v>7850</v>
      </c>
      <c r="B787" s="10">
        <f>1-EXP(-((4*Параметры!$B$2/Параметры!$B$3*Параметры!$B$10*Параметры!$B$4)*(Параметры!$B$6*Параметры!$B$7/Параметры!$B$8*1E-24))*(A787*0.0000001)/SIN(RADIANS(Параметры!$B$9)))</f>
        <v>6.4081092108986271E-2</v>
      </c>
      <c r="C787" s="10">
        <f>1-EXP(-((4*Параметры!$B$2/Параметры!$B$3*Параметры!$B$10*Параметры!$B$5)*(Параметры!$B$6*Параметры!$B$7/Параметры!$B$8*1E-24))*(A787*0.0000001)/SIN(RADIANS(Параметры!$B$9)))</f>
        <v>0.25771275944074279</v>
      </c>
    </row>
    <row r="788" spans="1:3" ht="15.75" x14ac:dyDescent="0.25">
      <c r="A788" s="9">
        <v>7860</v>
      </c>
      <c r="B788" s="10">
        <f>1-EXP(-((4*Параметры!$B$2/Параметры!$B$3*Параметры!$B$10*Параметры!$B$4)*(Параметры!$B$6*Параметры!$B$7/Параметры!$B$8*1E-24))*(A788*0.0000001)/SIN(RADIANS(Параметры!$B$9)))</f>
        <v>6.4160047479458693E-2</v>
      </c>
      <c r="C788" s="10">
        <f>1-EXP(-((4*Параметры!$B$2/Параметры!$B$3*Параметры!$B$10*Параметры!$B$5)*(Параметры!$B$6*Параметры!$B$7/Параметры!$B$8*1E-24))*(A788*0.0000001)/SIN(RADIANS(Параметры!$B$9)))</f>
        <v>0.2579945093906364</v>
      </c>
    </row>
    <row r="789" spans="1:3" ht="15.75" x14ac:dyDescent="0.25">
      <c r="A789" s="9">
        <v>7870</v>
      </c>
      <c r="B789" s="10">
        <f>1-EXP(-((4*Параметры!$B$2/Параметры!$B$3*Параметры!$B$10*Параметры!$B$4)*(Параметры!$B$6*Параметры!$B$7/Параметры!$B$8*1E-24))*(A789*0.0000001)/SIN(RADIANS(Параметры!$B$9)))</f>
        <v>6.4238996189150521E-2</v>
      </c>
      <c r="C789" s="10">
        <f>1-EXP(-((4*Параметры!$B$2/Параметры!$B$3*Параметры!$B$10*Параметры!$B$5)*(Параметры!$B$6*Параметры!$B$7/Параметры!$B$8*1E-24))*(A789*0.0000001)/SIN(RADIANS(Параметры!$B$9)))</f>
        <v>0.25827615239670842</v>
      </c>
    </row>
    <row r="790" spans="1:3" ht="15.75" x14ac:dyDescent="0.25">
      <c r="A790" s="9">
        <v>7880</v>
      </c>
      <c r="B790" s="10">
        <f>1-EXP(-((4*Параметры!$B$2/Параметры!$B$3*Параметры!$B$10*Параметры!$B$4)*(Параметры!$B$6*Параметры!$B$7/Параметры!$B$8*1E-24))*(A790*0.0000001)/SIN(RADIANS(Параметры!$B$9)))</f>
        <v>6.4317938238623529E-2</v>
      </c>
      <c r="C790" s="10">
        <f>1-EXP(-((4*Параметры!$B$2/Параметры!$B$3*Параметры!$B$10*Параметры!$B$5)*(Параметры!$B$6*Параметры!$B$7/Параметры!$B$8*1E-24))*(A790*0.0000001)/SIN(RADIANS(Параметры!$B$9)))</f>
        <v>0.25855768849955141</v>
      </c>
    </row>
    <row r="791" spans="1:3" ht="15.75" x14ac:dyDescent="0.25">
      <c r="A791" s="9">
        <v>7890</v>
      </c>
      <c r="B791" s="10">
        <f>1-EXP(-((4*Параметры!$B$2/Параметры!$B$3*Параметры!$B$10*Параметры!$B$4)*(Параметры!$B$6*Параметры!$B$7/Параметры!$B$8*1E-24))*(A791*0.0000001)/SIN(RADIANS(Параметры!$B$9)))</f>
        <v>6.4396873628439821E-2</v>
      </c>
      <c r="C791" s="10">
        <f>1-EXP(-((4*Параметры!$B$2/Параметры!$B$3*Параметры!$B$10*Параметры!$B$5)*(Параметры!$B$6*Параметры!$B$7/Параметры!$B$8*1E-24))*(A791*0.0000001)/SIN(RADIANS(Параметры!$B$9)))</f>
        <v>0.25883911773974277</v>
      </c>
    </row>
    <row r="792" spans="1:3" ht="15.75" x14ac:dyDescent="0.25">
      <c r="A792" s="9">
        <v>7900</v>
      </c>
      <c r="B792" s="10">
        <f>1-EXP(-((4*Параметры!$B$2/Параметры!$B$3*Параметры!$B$10*Параметры!$B$4)*(Параметры!$B$6*Параметры!$B$7/Параметры!$B$8*1E-24))*(A792*0.0000001)/SIN(RADIANS(Параметры!$B$9)))</f>
        <v>6.447580235916095E-2</v>
      </c>
      <c r="C792" s="10">
        <f>1-EXP(-((4*Параметры!$B$2/Параметры!$B$3*Параметры!$B$10*Параметры!$B$5)*(Параметры!$B$6*Параметры!$B$7/Параметры!$B$8*1E-24))*(A792*0.0000001)/SIN(RADIANS(Параметры!$B$9)))</f>
        <v>0.25912044015784419</v>
      </c>
    </row>
    <row r="793" spans="1:3" ht="15.75" x14ac:dyDescent="0.25">
      <c r="A793" s="9">
        <v>7910</v>
      </c>
      <c r="B793" s="10">
        <f>1-EXP(-((4*Параметры!$B$2/Параметры!$B$3*Параметры!$B$10*Параметры!$B$4)*(Параметры!$B$6*Параметры!$B$7/Параметры!$B$8*1E-24))*(A793*0.0000001)/SIN(RADIANS(Параметры!$B$9)))</f>
        <v>6.4554724431348909E-2</v>
      </c>
      <c r="C793" s="10">
        <f>1-EXP(-((4*Параметры!$B$2/Параметры!$B$3*Параметры!$B$10*Параметры!$B$5)*(Параметры!$B$6*Параметры!$B$7/Параметры!$B$8*1E-24))*(A793*0.0000001)/SIN(RADIANS(Параметры!$B$9)))</f>
        <v>0.25940165579440211</v>
      </c>
    </row>
    <row r="794" spans="1:3" ht="15.75" x14ac:dyDescent="0.25">
      <c r="A794" s="9">
        <v>7920</v>
      </c>
      <c r="B794" s="10">
        <f>1-EXP(-((4*Параметры!$B$2/Параметры!$B$3*Параметры!$B$10*Параметры!$B$4)*(Параметры!$B$6*Параметры!$B$7/Параметры!$B$8*1E-24))*(A794*0.0000001)/SIN(RADIANS(Параметры!$B$9)))</f>
        <v>6.463363984556536E-2</v>
      </c>
      <c r="C794" s="10">
        <f>1-EXP(-((4*Параметры!$B$2/Параметры!$B$3*Параметры!$B$10*Параметры!$B$5)*(Параметры!$B$6*Параметры!$B$7/Параметры!$B$8*1E-24))*(A794*0.0000001)/SIN(RADIANS(Параметры!$B$9)))</f>
        <v>0.25968276468994778</v>
      </c>
    </row>
    <row r="795" spans="1:3" ht="15.75" x14ac:dyDescent="0.25">
      <c r="A795" s="9">
        <v>7930</v>
      </c>
      <c r="B795" s="10">
        <f>1-EXP(-((4*Параметры!$B$2/Параметры!$B$3*Параметры!$B$10*Параметры!$B$4)*(Параметры!$B$6*Параметры!$B$7/Параметры!$B$8*1E-24))*(A795*0.0000001)/SIN(RADIANS(Параметры!$B$9)))</f>
        <v>6.4712548602371966E-2</v>
      </c>
      <c r="C795" s="10">
        <f>1-EXP(-((4*Параметры!$B$2/Параметры!$B$3*Параметры!$B$10*Параметры!$B$5)*(Параметры!$B$6*Параметры!$B$7/Параметры!$B$8*1E-24))*(A795*0.0000001)/SIN(RADIANS(Параметры!$B$9)))</f>
        <v>0.25996376688499678</v>
      </c>
    </row>
    <row r="796" spans="1:3" ht="15.75" x14ac:dyDescent="0.25">
      <c r="A796" s="9">
        <v>7940</v>
      </c>
      <c r="B796" s="10">
        <f>1-EXP(-((4*Параметры!$B$2/Параметры!$B$3*Параметры!$B$10*Параметры!$B$4)*(Параметры!$B$6*Параметры!$B$7/Параметры!$B$8*1E-24))*(A796*0.0000001)/SIN(RADIANS(Параметры!$B$9)))</f>
        <v>6.4791450702330278E-2</v>
      </c>
      <c r="C796" s="10">
        <f>1-EXP(-((4*Параметры!$B$2/Параметры!$B$3*Параметры!$B$10*Параметры!$B$5)*(Параметры!$B$6*Параметры!$B$7/Параметры!$B$8*1E-24))*(A796*0.0000001)/SIN(RADIANS(Параметры!$B$9)))</f>
        <v>0.2602446624200494</v>
      </c>
    </row>
    <row r="797" spans="1:3" ht="15.75" x14ac:dyDescent="0.25">
      <c r="A797" s="9">
        <v>7950</v>
      </c>
      <c r="B797" s="10">
        <f>1-EXP(-((4*Параметры!$B$2/Параметры!$B$3*Параметры!$B$10*Параметры!$B$4)*(Параметры!$B$6*Параметры!$B$7/Параметры!$B$8*1E-24))*(A797*0.0000001)/SIN(RADIANS(Параметры!$B$9)))</f>
        <v>6.4870346146001845E-2</v>
      </c>
      <c r="C797" s="10">
        <f>1-EXP(-((4*Параметры!$B$2/Параметры!$B$3*Параметры!$B$10*Параметры!$B$5)*(Параметры!$B$6*Параметры!$B$7/Параметры!$B$8*1E-24))*(A797*0.0000001)/SIN(RADIANS(Параметры!$B$9)))</f>
        <v>0.26052545133559057</v>
      </c>
    </row>
    <row r="798" spans="1:3" ht="15.75" x14ac:dyDescent="0.25">
      <c r="A798" s="9">
        <v>7960</v>
      </c>
      <c r="B798" s="10">
        <f>1-EXP(-((4*Параметры!$B$2/Параметры!$B$3*Параметры!$B$10*Параметры!$B$4)*(Параметры!$B$6*Параметры!$B$7/Параметры!$B$8*1E-24))*(A798*0.0000001)/SIN(RADIANS(Параметры!$B$9)))</f>
        <v>6.4949234933948441E-2</v>
      </c>
      <c r="C798" s="10">
        <f>1-EXP(-((4*Параметры!$B$2/Параметры!$B$3*Параметры!$B$10*Параметры!$B$5)*(Параметры!$B$6*Параметры!$B$7/Параметры!$B$8*1E-24))*(A798*0.0000001)/SIN(RADIANS(Параметры!$B$9)))</f>
        <v>0.26080613367208993</v>
      </c>
    </row>
    <row r="799" spans="1:3" ht="15.75" x14ac:dyDescent="0.25">
      <c r="A799" s="9">
        <v>7970</v>
      </c>
      <c r="B799" s="10">
        <f>1-EXP(-((4*Параметры!$B$2/Параметры!$B$3*Параметры!$B$10*Параметры!$B$4)*(Параметры!$B$6*Параметры!$B$7/Параметры!$B$8*1E-24))*(A799*0.0000001)/SIN(RADIANS(Параметры!$B$9)))</f>
        <v>6.5028117066731395E-2</v>
      </c>
      <c r="C799" s="10">
        <f>1-EXP(-((4*Параметры!$B$2/Параметры!$B$3*Параметры!$B$10*Параметры!$B$5)*(Параметры!$B$6*Параметры!$B$7/Параметры!$B$8*1E-24))*(A799*0.0000001)/SIN(RADIANS(Параметры!$B$9)))</f>
        <v>0.26108670947000168</v>
      </c>
    </row>
    <row r="800" spans="1:3" ht="15.75" x14ac:dyDescent="0.25">
      <c r="A800" s="9">
        <v>7980</v>
      </c>
      <c r="B800" s="10">
        <f>1-EXP(-((4*Параметры!$B$2/Параметры!$B$3*Параметры!$B$10*Параметры!$B$4)*(Параметры!$B$6*Параметры!$B$7/Параметры!$B$8*1E-24))*(A800*0.0000001)/SIN(RADIANS(Параметры!$B$9)))</f>
        <v>6.5106992544912146E-2</v>
      </c>
      <c r="C800" s="10">
        <f>1-EXP(-((4*Параметры!$B$2/Параметры!$B$3*Параметры!$B$10*Параметры!$B$5)*(Параметры!$B$6*Параметры!$B$7/Параметры!$B$8*1E-24))*(A800*0.0000001)/SIN(RADIANS(Параметры!$B$9)))</f>
        <v>0.26136717876976456</v>
      </c>
    </row>
    <row r="801" spans="1:3" ht="15.75" x14ac:dyDescent="0.25">
      <c r="A801" s="9">
        <v>7990</v>
      </c>
      <c r="B801" s="10">
        <f>1-EXP(-((4*Параметры!$B$2/Параметры!$B$3*Параметры!$B$10*Параметры!$B$4)*(Параметры!$B$6*Параметры!$B$7/Параметры!$B$8*1E-24))*(A801*0.0000001)/SIN(RADIANS(Параметры!$B$9)))</f>
        <v>6.5185861369052023E-2</v>
      </c>
      <c r="C801" s="10">
        <f>1-EXP(-((4*Параметры!$B$2/Параметры!$B$3*Параметры!$B$10*Параметры!$B$5)*(Параметры!$B$6*Параметры!$B$7/Параметры!$B$8*1E-24))*(A801*0.0000001)/SIN(RADIANS(Параметры!$B$9)))</f>
        <v>0.26164754161180204</v>
      </c>
    </row>
    <row r="802" spans="1:3" ht="15.75" x14ac:dyDescent="0.25">
      <c r="A802" s="9">
        <v>8000</v>
      </c>
      <c r="B802" s="10">
        <f>1-EXP(-((4*Параметры!$B$2/Параметры!$B$3*Параметры!$B$10*Параметры!$B$4)*(Параметры!$B$6*Параметры!$B$7/Параметры!$B$8*1E-24))*(A802*0.0000001)/SIN(RADIANS(Параметры!$B$9)))</f>
        <v>6.5264723539712466E-2</v>
      </c>
      <c r="C802" s="10">
        <f>1-EXP(-((4*Параметры!$B$2/Параметры!$B$3*Параметры!$B$10*Параметры!$B$5)*(Параметры!$B$6*Параметры!$B$7/Параметры!$B$8*1E-24))*(A802*0.0000001)/SIN(RADIANS(Параметры!$B$9)))</f>
        <v>0.26192779803652244</v>
      </c>
    </row>
    <row r="803" spans="1:3" ht="15.75" x14ac:dyDescent="0.25">
      <c r="A803" s="9">
        <v>8010</v>
      </c>
      <c r="B803" s="10">
        <f>1-EXP(-((4*Параметры!$B$2/Параметры!$B$3*Параметры!$B$10*Параметры!$B$4)*(Параметры!$B$6*Параметры!$B$7/Параметры!$B$8*1E-24))*(A803*0.0000001)/SIN(RADIANS(Параметры!$B$9)))</f>
        <v>6.5343579057454804E-2</v>
      </c>
      <c r="C803" s="10">
        <f>1-EXP(-((4*Параметры!$B$2/Параметры!$B$3*Параметры!$B$10*Параметры!$B$5)*(Параметры!$B$6*Параметры!$B$7/Параметры!$B$8*1E-24))*(A803*0.0000001)/SIN(RADIANS(Параметры!$B$9)))</f>
        <v>0.26220794808431858</v>
      </c>
    </row>
    <row r="804" spans="1:3" ht="15.75" x14ac:dyDescent="0.25">
      <c r="A804" s="9">
        <v>8020</v>
      </c>
      <c r="B804" s="10">
        <f>1-EXP(-((4*Параметры!$B$2/Параметры!$B$3*Параметры!$B$10*Параметры!$B$4)*(Параметры!$B$6*Параметры!$B$7/Параметры!$B$8*1E-24))*(A804*0.0000001)/SIN(RADIANS(Параметры!$B$9)))</f>
        <v>6.5422427922840143E-2</v>
      </c>
      <c r="C804" s="10">
        <f>1-EXP(-((4*Параметры!$B$2/Параметры!$B$3*Параметры!$B$10*Параметры!$B$5)*(Параметры!$B$6*Параметры!$B$7/Параметры!$B$8*1E-24))*(A804*0.0000001)/SIN(RADIANS(Параметры!$B$9)))</f>
        <v>0.26248799179556781</v>
      </c>
    </row>
    <row r="805" spans="1:3" ht="15.75" x14ac:dyDescent="0.25">
      <c r="A805" s="9">
        <v>8030</v>
      </c>
      <c r="B805" s="10">
        <f>1-EXP(-((4*Параметры!$B$2/Параметры!$B$3*Параметры!$B$10*Параметры!$B$4)*(Параметры!$B$6*Параметры!$B$7/Параметры!$B$8*1E-24))*(A805*0.0000001)/SIN(RADIANS(Параметры!$B$9)))</f>
        <v>6.5501270136429812E-2</v>
      </c>
      <c r="C805" s="10">
        <f>1-EXP(-((4*Параметры!$B$2/Параметры!$B$3*Параметры!$B$10*Параметры!$B$5)*(Параметры!$B$6*Параметры!$B$7/Параметры!$B$8*1E-24))*(A805*0.0000001)/SIN(RADIANS(Параметры!$B$9)))</f>
        <v>0.26276792921063241</v>
      </c>
    </row>
    <row r="806" spans="1:3" ht="15.75" x14ac:dyDescent="0.25">
      <c r="A806" s="9">
        <v>8040</v>
      </c>
      <c r="B806" s="10">
        <f>1-EXP(-((4*Параметры!$B$2/Параметры!$B$3*Параметры!$B$10*Параметры!$B$4)*(Параметры!$B$6*Параметры!$B$7/Параметры!$B$8*1E-24))*(A806*0.0000001)/SIN(RADIANS(Параметры!$B$9)))</f>
        <v>6.5580105698784918E-2</v>
      </c>
      <c r="C806" s="10">
        <f>1-EXP(-((4*Параметры!$B$2/Параметры!$B$3*Параметры!$B$10*Параметры!$B$5)*(Параметры!$B$6*Параметры!$B$7/Параметры!$B$8*1E-24))*(A806*0.0000001)/SIN(RADIANS(Параметры!$B$9)))</f>
        <v>0.26304776036985911</v>
      </c>
    </row>
    <row r="807" spans="1:3" ht="15.75" x14ac:dyDescent="0.25">
      <c r="A807" s="9">
        <v>8050</v>
      </c>
      <c r="B807" s="10">
        <f>1-EXP(-((4*Параметры!$B$2/Параметры!$B$3*Параметры!$B$10*Параметры!$B$4)*(Параметры!$B$6*Параметры!$B$7/Параметры!$B$8*1E-24))*(A807*0.0000001)/SIN(RADIANS(Параметры!$B$9)))</f>
        <v>6.5658934610466679E-2</v>
      </c>
      <c r="C807" s="10">
        <f>1-EXP(-((4*Параметры!$B$2/Параметры!$B$3*Параметры!$B$10*Параметры!$B$5)*(Параметры!$B$6*Параметры!$B$7/Параметры!$B$8*1E-24))*(A807*0.0000001)/SIN(RADIANS(Параметры!$B$9)))</f>
        <v>0.26332748531357941</v>
      </c>
    </row>
    <row r="808" spans="1:3" ht="15.75" x14ac:dyDescent="0.25">
      <c r="A808" s="9">
        <v>8060</v>
      </c>
      <c r="B808" s="10">
        <f>1-EXP(-((4*Параметры!$B$2/Параметры!$B$3*Параметры!$B$10*Параметры!$B$4)*(Параметры!$B$6*Параметры!$B$7/Параметры!$B$8*1E-24))*(A808*0.0000001)/SIN(RADIANS(Параметры!$B$9)))</f>
        <v>6.573775687203598E-2</v>
      </c>
      <c r="C808" s="10">
        <f>1-EXP(-((4*Параметры!$B$2/Параметры!$B$3*Параметры!$B$10*Параметры!$B$5)*(Параметры!$B$6*Параметры!$B$7/Параметры!$B$8*1E-24))*(A808*0.0000001)/SIN(RADIANS(Параметры!$B$9)))</f>
        <v>0.26360710408210974</v>
      </c>
    </row>
    <row r="809" spans="1:3" ht="15.75" x14ac:dyDescent="0.25">
      <c r="A809" s="9">
        <v>8070</v>
      </c>
      <c r="B809" s="10">
        <f>1-EXP(-((4*Параметры!$B$2/Параметры!$B$3*Параметры!$B$10*Параметры!$B$4)*(Параметры!$B$6*Параметры!$B$7/Параметры!$B$8*1E-24))*(A809*0.0000001)/SIN(RADIANS(Параметры!$B$9)))</f>
        <v>6.5816572484053815E-2</v>
      </c>
      <c r="C809" s="10">
        <f>1-EXP(-((4*Параметры!$B$2/Параметры!$B$3*Параметры!$B$10*Параметры!$B$5)*(Параметры!$B$6*Параметры!$B$7/Параметры!$B$8*1E-24))*(A809*0.0000001)/SIN(RADIANS(Параметры!$B$9)))</f>
        <v>0.26388661671575087</v>
      </c>
    </row>
    <row r="810" spans="1:3" ht="15.75" x14ac:dyDescent="0.25">
      <c r="A810" s="9">
        <v>8080</v>
      </c>
      <c r="B810" s="10">
        <f>1-EXP(-((4*Параметры!$B$2/Параметры!$B$3*Параметры!$B$10*Параметры!$B$4)*(Параметры!$B$6*Параметры!$B$7/Параметры!$B$8*1E-24))*(A810*0.0000001)/SIN(RADIANS(Параметры!$B$9)))</f>
        <v>6.5895381447081292E-2</v>
      </c>
      <c r="C810" s="10">
        <f>1-EXP(-((4*Параметры!$B$2/Параметры!$B$3*Параметры!$B$10*Параметры!$B$5)*(Параметры!$B$6*Параметры!$B$7/Параметры!$B$8*1E-24))*(A810*0.0000001)/SIN(RADIANS(Параметры!$B$9)))</f>
        <v>0.26416602325478833</v>
      </c>
    </row>
    <row r="811" spans="1:3" ht="15.75" x14ac:dyDescent="0.25">
      <c r="A811" s="9">
        <v>8090</v>
      </c>
      <c r="B811" s="10">
        <f>1-EXP(-((4*Параметры!$B$2/Параметры!$B$3*Параметры!$B$10*Параметры!$B$4)*(Параметры!$B$6*Параметры!$B$7/Параметры!$B$8*1E-24))*(A811*0.0000001)/SIN(RADIANS(Параметры!$B$9)))</f>
        <v>6.5974183761679295E-2</v>
      </c>
      <c r="C811" s="10">
        <f>1-EXP(-((4*Параметры!$B$2/Параметры!$B$3*Параметры!$B$10*Параметры!$B$5)*(Параметры!$B$6*Параметры!$B$7/Параметры!$B$8*1E-24))*(A811*0.0000001)/SIN(RADIANS(Параметры!$B$9)))</f>
        <v>0.26444532373949259</v>
      </c>
    </row>
    <row r="812" spans="1:3" ht="15.75" x14ac:dyDescent="0.25">
      <c r="A812" s="9">
        <v>8100</v>
      </c>
      <c r="B812" s="10">
        <f>1-EXP(-((4*Параметры!$B$2/Параметры!$B$3*Параметры!$B$10*Параметры!$B$4)*(Параметры!$B$6*Параметры!$B$7/Параметры!$B$8*1E-24))*(A812*0.0000001)/SIN(RADIANS(Параметры!$B$9)))</f>
        <v>6.6052979428408709E-2</v>
      </c>
      <c r="C812" s="10">
        <f>1-EXP(-((4*Параметры!$B$2/Параметры!$B$3*Параметры!$B$10*Параметры!$B$5)*(Параметры!$B$6*Параметры!$B$7/Параметры!$B$8*1E-24))*(A812*0.0000001)/SIN(RADIANS(Параметры!$B$9)))</f>
        <v>0.26472451821011866</v>
      </c>
    </row>
    <row r="813" spans="1:3" ht="15.75" x14ac:dyDescent="0.25">
      <c r="A813" s="9">
        <v>8110</v>
      </c>
      <c r="B813" s="10">
        <f>1-EXP(-((4*Параметры!$B$2/Параметры!$B$3*Параметры!$B$10*Параметры!$B$4)*(Параметры!$B$6*Параметры!$B$7/Параметры!$B$8*1E-24))*(A813*0.0000001)/SIN(RADIANS(Параметры!$B$9)))</f>
        <v>6.6131768447830197E-2</v>
      </c>
      <c r="C813" s="10">
        <f>1-EXP(-((4*Параметры!$B$2/Параметры!$B$3*Параметры!$B$10*Параметры!$B$5)*(Параметры!$B$6*Параметры!$B$7/Параметры!$B$8*1E-24))*(A813*0.0000001)/SIN(RADIANS(Параметры!$B$9)))</f>
        <v>0.26500360670690637</v>
      </c>
    </row>
    <row r="814" spans="1:3" ht="15.75" x14ac:dyDescent="0.25">
      <c r="A814" s="9">
        <v>8120</v>
      </c>
      <c r="B814" s="10">
        <f>1-EXP(-((4*Параметры!$B$2/Параметры!$B$3*Параметры!$B$10*Параметры!$B$4)*(Параметры!$B$6*Параметры!$B$7/Параметры!$B$8*1E-24))*(A814*0.0000001)/SIN(RADIANS(Параметры!$B$9)))</f>
        <v>6.6210550820504754E-2</v>
      </c>
      <c r="C814" s="10">
        <f>1-EXP(-((4*Параметры!$B$2/Параметры!$B$3*Параметры!$B$10*Параметры!$B$5)*(Параметры!$B$6*Параметры!$B$7/Параметры!$B$8*1E-24))*(A814*0.0000001)/SIN(RADIANS(Параметры!$B$9)))</f>
        <v>0.26528258927007997</v>
      </c>
    </row>
    <row r="815" spans="1:3" ht="15.75" x14ac:dyDescent="0.25">
      <c r="A815" s="9">
        <v>8130</v>
      </c>
      <c r="B815" s="10">
        <f>1-EXP(-((4*Параметры!$B$2/Параметры!$B$3*Параметры!$B$10*Параметры!$B$4)*(Параметры!$B$6*Параметры!$B$7/Параметры!$B$8*1E-24))*(A815*0.0000001)/SIN(RADIANS(Параметры!$B$9)))</f>
        <v>6.6289326546993044E-2</v>
      </c>
      <c r="C815" s="10">
        <f>1-EXP(-((4*Параметры!$B$2/Параметры!$B$3*Параметры!$B$10*Параметры!$B$5)*(Параметры!$B$6*Параметры!$B$7/Параметры!$B$8*1E-24))*(A815*0.0000001)/SIN(RADIANS(Параметры!$B$9)))</f>
        <v>0.26556146593984897</v>
      </c>
    </row>
    <row r="816" spans="1:3" ht="15.75" x14ac:dyDescent="0.25">
      <c r="A816" s="9">
        <v>8140</v>
      </c>
      <c r="B816" s="10">
        <f>1-EXP(-((4*Параметры!$B$2/Параметры!$B$3*Параметры!$B$10*Параметры!$B$4)*(Параметры!$B$6*Параметры!$B$7/Параметры!$B$8*1E-24))*(A816*0.0000001)/SIN(RADIANS(Параметры!$B$9)))</f>
        <v>6.6368095627855617E-2</v>
      </c>
      <c r="C816" s="10">
        <f>1-EXP(-((4*Параметры!$B$2/Параметры!$B$3*Параметры!$B$10*Параметры!$B$5)*(Параметры!$B$6*Параметры!$B$7/Параметры!$B$8*1E-24))*(A816*0.0000001)/SIN(RADIANS(Параметры!$B$9)))</f>
        <v>0.26584023675640711</v>
      </c>
    </row>
    <row r="817" spans="1:3" ht="15.75" x14ac:dyDescent="0.25">
      <c r="A817" s="9">
        <v>8150</v>
      </c>
      <c r="B817" s="10">
        <f>1-EXP(-((4*Параметры!$B$2/Параметры!$B$3*Параметры!$B$10*Параметры!$B$4)*(Параметры!$B$6*Параметры!$B$7/Параметры!$B$8*1E-24))*(A817*0.0000001)/SIN(RADIANS(Параметры!$B$9)))</f>
        <v>6.6446858063653358E-2</v>
      </c>
      <c r="C817" s="10">
        <f>1-EXP(-((4*Параметры!$B$2/Параметры!$B$3*Параметры!$B$10*Параметры!$B$5)*(Параметры!$B$6*Параметры!$B$7/Параметры!$B$8*1E-24))*(A817*0.0000001)/SIN(RADIANS(Параметры!$B$9)))</f>
        <v>0.26611890175993314</v>
      </c>
    </row>
    <row r="818" spans="1:3" ht="15.75" x14ac:dyDescent="0.25">
      <c r="A818" s="9">
        <v>8160</v>
      </c>
      <c r="B818" s="10">
        <f>1-EXP(-((4*Параметры!$B$2/Параметры!$B$3*Параметры!$B$10*Параметры!$B$4)*(Параметры!$B$6*Параметры!$B$7/Параметры!$B$8*1E-24))*(A818*0.0000001)/SIN(RADIANS(Параметры!$B$9)))</f>
        <v>6.6525613854946597E-2</v>
      </c>
      <c r="C818" s="10">
        <f>1-EXP(-((4*Параметры!$B$2/Параметры!$B$3*Параметры!$B$10*Параметры!$B$5)*(Параметры!$B$6*Параметры!$B$7/Параметры!$B$8*1E-24))*(A818*0.0000001)/SIN(RADIANS(Параметры!$B$9)))</f>
        <v>0.26639746099059058</v>
      </c>
    </row>
    <row r="819" spans="1:3" ht="15.75" x14ac:dyDescent="0.25">
      <c r="A819" s="9">
        <v>8170</v>
      </c>
      <c r="B819" s="10">
        <f>1-EXP(-((4*Параметры!$B$2/Параметры!$B$3*Параметры!$B$10*Параметры!$B$4)*(Параметры!$B$6*Параметры!$B$7/Параметры!$B$8*1E-24))*(A819*0.0000001)/SIN(RADIANS(Параметры!$B$9)))</f>
        <v>6.6604363002295996E-2</v>
      </c>
      <c r="C819" s="10">
        <f>1-EXP(-((4*Параметры!$B$2/Параметры!$B$3*Параметры!$B$10*Параметры!$B$5)*(Параметры!$B$6*Параметры!$B$7/Параметры!$B$8*1E-24))*(A819*0.0000001)/SIN(RADIANS(Параметры!$B$9)))</f>
        <v>0.26667591448852768</v>
      </c>
    </row>
    <row r="820" spans="1:3" ht="15.75" x14ac:dyDescent="0.25">
      <c r="A820" s="9">
        <v>8180</v>
      </c>
      <c r="B820" s="10">
        <f>1-EXP(-((4*Параметры!$B$2/Параметры!$B$3*Параметры!$B$10*Параметры!$B$4)*(Параметры!$B$6*Параметры!$B$7/Параметры!$B$8*1E-24))*(A820*0.0000001)/SIN(RADIANS(Параметры!$B$9)))</f>
        <v>6.6683105506261997E-2</v>
      </c>
      <c r="C820" s="10">
        <f>1-EXP(-((4*Параметры!$B$2/Параметры!$B$3*Параметры!$B$10*Параметры!$B$5)*(Параметры!$B$6*Параметры!$B$7/Параметры!$B$8*1E-24))*(A820*0.0000001)/SIN(RADIANS(Параметры!$B$9)))</f>
        <v>0.2669542622938772</v>
      </c>
    </row>
    <row r="821" spans="1:3" ht="15.75" x14ac:dyDescent="0.25">
      <c r="A821" s="9">
        <v>8190</v>
      </c>
      <c r="B821" s="10">
        <f>1-EXP(-((4*Параметры!$B$2/Параметры!$B$3*Параметры!$B$10*Параметры!$B$4)*(Параметры!$B$6*Параметры!$B$7/Параметры!$B$8*1E-24))*(A821*0.0000001)/SIN(RADIANS(Параметры!$B$9)))</f>
        <v>6.6761841367405039E-2</v>
      </c>
      <c r="C821" s="10">
        <f>1-EXP(-((4*Параметры!$B$2/Параметры!$B$3*Параметры!$B$10*Параметры!$B$5)*(Параметры!$B$6*Параметры!$B$7/Параметры!$B$8*1E-24))*(A821*0.0000001)/SIN(RADIANS(Параметры!$B$9)))</f>
        <v>0.26723250444675706</v>
      </c>
    </row>
    <row r="822" spans="1:3" ht="15.75" x14ac:dyDescent="0.25">
      <c r="A822" s="9">
        <v>8200</v>
      </c>
      <c r="B822" s="10">
        <f>1-EXP(-((4*Параметры!$B$2/Параметры!$B$3*Параметры!$B$10*Параметры!$B$4)*(Параметры!$B$6*Параметры!$B$7/Параметры!$B$8*1E-24))*(A822*0.0000001)/SIN(RADIANS(Параметры!$B$9)))</f>
        <v>6.6840570586285675E-2</v>
      </c>
      <c r="C822" s="10">
        <f>1-EXP(-((4*Параметры!$B$2/Параметры!$B$3*Параметры!$B$10*Параметры!$B$5)*(Параметры!$B$6*Параметры!$B$7/Параметры!$B$8*1E-24))*(A822*0.0000001)/SIN(RADIANS(Параметры!$B$9)))</f>
        <v>0.26751064098726973</v>
      </c>
    </row>
    <row r="823" spans="1:3" ht="15.75" x14ac:dyDescent="0.25">
      <c r="A823" s="9">
        <v>8210</v>
      </c>
      <c r="B823" s="10">
        <f>1-EXP(-((4*Параметры!$B$2/Параметры!$B$3*Параметры!$B$10*Параметры!$B$4)*(Параметры!$B$6*Параметры!$B$7/Параметры!$B$8*1E-24))*(A823*0.0000001)/SIN(RADIANS(Параметры!$B$9)))</f>
        <v>6.6919293163464122E-2</v>
      </c>
      <c r="C823" s="10">
        <f>1-EXP(-((4*Параметры!$B$2/Параметры!$B$3*Параметры!$B$10*Параметры!$B$5)*(Параметры!$B$6*Параметры!$B$7/Параметры!$B$8*1E-24))*(A823*0.0000001)/SIN(RADIANS(Параметры!$B$9)))</f>
        <v>0.26778867195550238</v>
      </c>
    </row>
    <row r="824" spans="1:3" ht="15.75" x14ac:dyDescent="0.25">
      <c r="A824" s="9">
        <v>8220</v>
      </c>
      <c r="B824" s="10">
        <f>1-EXP(-((4*Параметры!$B$2/Параметры!$B$3*Параметры!$B$10*Параметры!$B$4)*(Параметры!$B$6*Параметры!$B$7/Параметры!$B$8*1E-24))*(A824*0.0000001)/SIN(RADIANS(Параметры!$B$9)))</f>
        <v>6.6998009099500599E-2</v>
      </c>
      <c r="C824" s="10">
        <f>1-EXP(-((4*Параметры!$B$2/Параметры!$B$3*Параметры!$B$10*Параметры!$B$5)*(Параметры!$B$6*Параметры!$B$7/Параметры!$B$8*1E-24))*(A824*0.0000001)/SIN(RADIANS(Параметры!$B$9)))</f>
        <v>0.26806659739152716</v>
      </c>
    </row>
    <row r="825" spans="1:3" ht="15.75" x14ac:dyDescent="0.25">
      <c r="A825" s="9">
        <v>8230</v>
      </c>
      <c r="B825" s="10">
        <f>1-EXP(-((4*Параметры!$B$2/Параметры!$B$3*Параметры!$B$10*Параметры!$B$4)*(Параметры!$B$6*Параметры!$B$7/Параметры!$B$8*1E-24))*(A825*0.0000001)/SIN(RADIANS(Параметры!$B$9)))</f>
        <v>6.7076718394955548E-2</v>
      </c>
      <c r="C825" s="10">
        <f>1-EXP(-((4*Параметры!$B$2/Параметры!$B$3*Параметры!$B$10*Параметры!$B$5)*(Параметры!$B$6*Параметры!$B$7/Параметры!$B$8*1E-24))*(A825*0.0000001)/SIN(RADIANS(Параметры!$B$9)))</f>
        <v>0.26834441733540104</v>
      </c>
    </row>
    <row r="826" spans="1:3" ht="15.75" x14ac:dyDescent="0.25">
      <c r="A826" s="9">
        <v>8240</v>
      </c>
      <c r="B826" s="10">
        <f>1-EXP(-((4*Параметры!$B$2/Параметры!$B$3*Параметры!$B$10*Параметры!$B$4)*(Параметры!$B$6*Параметры!$B$7/Параметры!$B$8*1E-24))*(A826*0.0000001)/SIN(RADIANS(Параметры!$B$9)))</f>
        <v>6.7155421050389075E-2</v>
      </c>
      <c r="C826" s="10">
        <f>1-EXP(-((4*Параметры!$B$2/Параметры!$B$3*Параметры!$B$10*Параметры!$B$5)*(Параметры!$B$6*Параметры!$B$7/Параметры!$B$8*1E-24))*(A826*0.0000001)/SIN(RADIANS(Параметры!$B$9)))</f>
        <v>0.26862213182716543</v>
      </c>
    </row>
    <row r="827" spans="1:3" ht="15.75" x14ac:dyDescent="0.25">
      <c r="A827" s="9">
        <v>8250</v>
      </c>
      <c r="B827" s="10">
        <f>1-EXP(-((4*Параметры!$B$2/Параметры!$B$3*Параметры!$B$10*Параметры!$B$4)*(Параметры!$B$6*Параметры!$B$7/Параметры!$B$8*1E-24))*(A827*0.0000001)/SIN(RADIANS(Параметры!$B$9)))</f>
        <v>6.7234117066361399E-2</v>
      </c>
      <c r="C827" s="10">
        <f>1-EXP(-((4*Параметры!$B$2/Параметры!$B$3*Параметры!$B$10*Параметры!$B$5)*(Параметры!$B$6*Параметры!$B$7/Параметры!$B$8*1E-24))*(A827*0.0000001)/SIN(RADIANS(Параметры!$B$9)))</f>
        <v>0.2688997409068471</v>
      </c>
    </row>
    <row r="828" spans="1:3" ht="15.75" x14ac:dyDescent="0.25">
      <c r="A828" s="9">
        <v>8260</v>
      </c>
      <c r="B828" s="10">
        <f>1-EXP(-((4*Параметры!$B$2/Параметры!$B$3*Параметры!$B$10*Параметры!$B$4)*(Параметры!$B$6*Параметры!$B$7/Параметры!$B$8*1E-24))*(A828*0.0000001)/SIN(RADIANS(Параметры!$B$9)))</f>
        <v>6.7312806443432516E-2</v>
      </c>
      <c r="C828" s="10">
        <f>1-EXP(-((4*Параметры!$B$2/Параметры!$B$3*Параметры!$B$10*Параметры!$B$5)*(Параметры!$B$6*Параметры!$B$7/Параметры!$B$8*1E-24))*(A828*0.0000001)/SIN(RADIANS(Параметры!$B$9)))</f>
        <v>0.26917724461445691</v>
      </c>
    </row>
    <row r="829" spans="1:3" ht="15.75" x14ac:dyDescent="0.25">
      <c r="A829" s="9">
        <v>8270</v>
      </c>
      <c r="B829" s="10">
        <f>1-EXP(-((4*Параметры!$B$2/Параметры!$B$3*Параметры!$B$10*Параметры!$B$4)*(Параметры!$B$6*Параметры!$B$7/Параметры!$B$8*1E-24))*(A829*0.0000001)/SIN(RADIANS(Параметры!$B$9)))</f>
        <v>6.7391489182162645E-2</v>
      </c>
      <c r="C829" s="10">
        <f>1-EXP(-((4*Параметры!$B$2/Параметры!$B$3*Параметры!$B$10*Параметры!$B$5)*(Параметры!$B$6*Параметры!$B$7/Параметры!$B$8*1E-24))*(A829*0.0000001)/SIN(RADIANS(Параметры!$B$9)))</f>
        <v>0.26945464298999122</v>
      </c>
    </row>
    <row r="830" spans="1:3" ht="15.75" x14ac:dyDescent="0.25">
      <c r="A830" s="9">
        <v>8280</v>
      </c>
      <c r="B830" s="10">
        <f>1-EXP(-((4*Параметры!$B$2/Параметры!$B$3*Параметры!$B$10*Параметры!$B$4)*(Параметры!$B$6*Параметры!$B$7/Параметры!$B$8*1E-24))*(A830*0.0000001)/SIN(RADIANS(Параметры!$B$9)))</f>
        <v>6.7470165283111672E-2</v>
      </c>
      <c r="C830" s="10">
        <f>1-EXP(-((4*Параметры!$B$2/Параметры!$B$3*Параметры!$B$10*Параметры!$B$5)*(Параметры!$B$6*Параметры!$B$7/Параметры!$B$8*1E-24))*(A830*0.0000001)/SIN(RADIANS(Параметры!$B$9)))</f>
        <v>0.26973193607343093</v>
      </c>
    </row>
    <row r="831" spans="1:3" ht="15.75" x14ac:dyDescent="0.25">
      <c r="A831" s="9">
        <v>8290</v>
      </c>
      <c r="B831" s="10">
        <f>1-EXP(-((4*Параметры!$B$2/Параметры!$B$3*Параметры!$B$10*Параметры!$B$4)*(Параметры!$B$6*Параметры!$B$7/Параметры!$B$8*1E-24))*(A831*0.0000001)/SIN(RADIANS(Параметры!$B$9)))</f>
        <v>6.7548834746839592E-2</v>
      </c>
      <c r="C831" s="10">
        <f>1-EXP(-((4*Параметры!$B$2/Параметры!$B$3*Параметры!$B$10*Параметры!$B$5)*(Параметры!$B$6*Параметры!$B$7/Параметры!$B$8*1E-24))*(A831*0.0000001)/SIN(RADIANS(Параметры!$B$9)))</f>
        <v>0.27000912390474163</v>
      </c>
    </row>
    <row r="832" spans="1:3" ht="15.75" x14ac:dyDescent="0.25">
      <c r="A832" s="9">
        <v>8300</v>
      </c>
      <c r="B832" s="10">
        <f>1-EXP(-((4*Параметры!$B$2/Параметры!$B$3*Параметры!$B$10*Параметры!$B$4)*(Параметры!$B$6*Параметры!$B$7/Параметры!$B$8*1E-24))*(A832*0.0000001)/SIN(RADIANS(Параметры!$B$9)))</f>
        <v>6.7627497573906403E-2</v>
      </c>
      <c r="C832" s="10">
        <f>1-EXP(-((4*Параметры!$B$2/Параметры!$B$3*Параметры!$B$10*Параметры!$B$5)*(Параметры!$B$6*Параметры!$B$7/Параметры!$B$8*1E-24))*(A832*0.0000001)/SIN(RADIANS(Параметры!$B$9)))</f>
        <v>0.27028620652387403</v>
      </c>
    </row>
    <row r="833" spans="1:3" ht="15.75" x14ac:dyDescent="0.25">
      <c r="A833" s="9">
        <v>8310</v>
      </c>
      <c r="B833" s="10">
        <f>1-EXP(-((4*Параметры!$B$2/Параметры!$B$3*Параметры!$B$10*Параметры!$B$4)*(Параметры!$B$6*Параметры!$B$7/Параметры!$B$8*1E-24))*(A833*0.0000001)/SIN(RADIANS(Параметры!$B$9)))</f>
        <v>6.770615376487199E-2</v>
      </c>
      <c r="C833" s="10">
        <f>1-EXP(-((4*Параметры!$B$2/Параметры!$B$3*Параметры!$B$10*Параметры!$B$5)*(Параметры!$B$6*Параметры!$B$7/Параметры!$B$8*1E-24))*(A833*0.0000001)/SIN(RADIANS(Параметры!$B$9)))</f>
        <v>0.27056318397076329</v>
      </c>
    </row>
    <row r="834" spans="1:3" ht="15.75" x14ac:dyDescent="0.25">
      <c r="A834" s="9">
        <v>8320</v>
      </c>
      <c r="B834" s="10">
        <f>1-EXP(-((4*Параметры!$B$2/Параметры!$B$3*Параметры!$B$10*Параметры!$B$4)*(Параметры!$B$6*Параметры!$B$7/Параметры!$B$8*1E-24))*(A834*0.0000001)/SIN(RADIANS(Параметры!$B$9)))</f>
        <v>6.7784803320296128E-2</v>
      </c>
      <c r="C834" s="10">
        <f>1-EXP(-((4*Параметры!$B$2/Параметры!$B$3*Параметры!$B$10*Параметры!$B$5)*(Параметры!$B$6*Параметры!$B$7/Параметры!$B$8*1E-24))*(A834*0.0000001)/SIN(RADIANS(Параметры!$B$9)))</f>
        <v>0.2708400562853297</v>
      </c>
    </row>
    <row r="835" spans="1:3" ht="15.75" x14ac:dyDescent="0.25">
      <c r="A835" s="9">
        <v>8330</v>
      </c>
      <c r="B835" s="10">
        <f>1-EXP(-((4*Параметры!$B$2/Параметры!$B$3*Параметры!$B$10*Параметры!$B$4)*(Параметры!$B$6*Параметры!$B$7/Параметры!$B$8*1E-24))*(A835*0.0000001)/SIN(RADIANS(Параметры!$B$9)))</f>
        <v>6.786344624073859E-2</v>
      </c>
      <c r="C835" s="10">
        <f>1-EXP(-((4*Параметры!$B$2/Параметры!$B$3*Параметры!$B$10*Параметры!$B$5)*(Параметры!$B$6*Параметры!$B$7/Параметры!$B$8*1E-24))*(A835*0.0000001)/SIN(RADIANS(Параметры!$B$9)))</f>
        <v>0.27111682350747857</v>
      </c>
    </row>
    <row r="836" spans="1:3" ht="15.75" x14ac:dyDescent="0.25">
      <c r="A836" s="9">
        <v>8340</v>
      </c>
      <c r="B836" s="10">
        <f>1-EXP(-((4*Параметры!$B$2/Параметры!$B$3*Параметры!$B$10*Параметры!$B$4)*(Параметры!$B$6*Параметры!$B$7/Параметры!$B$8*1E-24))*(A836*0.0000001)/SIN(RADIANS(Параметры!$B$9)))</f>
        <v>6.794208252675904E-2</v>
      </c>
      <c r="C836" s="10">
        <f>1-EXP(-((4*Параметры!$B$2/Параметры!$B$3*Параметры!$B$10*Параметры!$B$5)*(Параметры!$B$6*Параметры!$B$7/Параметры!$B$8*1E-24))*(A836*0.0000001)/SIN(RADIANS(Параметры!$B$9)))</f>
        <v>0.27139348567709953</v>
      </c>
    </row>
    <row r="837" spans="1:3" ht="15.75" x14ac:dyDescent="0.25">
      <c r="A837" s="9">
        <v>8350</v>
      </c>
      <c r="B837" s="10">
        <f>1-EXP(-((4*Параметры!$B$2/Параметры!$B$3*Параметры!$B$10*Параметры!$B$4)*(Параметры!$B$6*Параметры!$B$7/Параметры!$B$8*1E-24))*(A837*0.0000001)/SIN(RADIANS(Параметры!$B$9)))</f>
        <v>6.8020712178917364E-2</v>
      </c>
      <c r="C837" s="10">
        <f>1-EXP(-((4*Параметры!$B$2/Параметры!$B$3*Параметры!$B$10*Параметры!$B$5)*(Параметры!$B$6*Параметры!$B$7/Параметры!$B$8*1E-24))*(A837*0.0000001)/SIN(RADIANS(Параметры!$B$9)))</f>
        <v>0.27167004283406737</v>
      </c>
    </row>
    <row r="838" spans="1:3" ht="15.75" x14ac:dyDescent="0.25">
      <c r="A838" s="9">
        <v>8360</v>
      </c>
      <c r="B838" s="10">
        <f>1-EXP(-((4*Параметры!$B$2/Параметры!$B$3*Параметры!$B$10*Параметры!$B$4)*(Параметры!$B$6*Параметры!$B$7/Параметры!$B$8*1E-24))*(A838*0.0000001)/SIN(RADIANS(Параметры!$B$9)))</f>
        <v>6.8099335197773114E-2</v>
      </c>
      <c r="C838" s="10">
        <f>1-EXP(-((4*Параметры!$B$2/Параметры!$B$3*Параметры!$B$10*Параметры!$B$5)*(Параметры!$B$6*Параметры!$B$7/Параметры!$B$8*1E-24))*(A838*0.0000001)/SIN(RADIANS(Параметры!$B$9)))</f>
        <v>0.27194649501824197</v>
      </c>
    </row>
    <row r="839" spans="1:3" ht="15.75" x14ac:dyDescent="0.25">
      <c r="A839" s="9">
        <v>8370</v>
      </c>
      <c r="B839" s="10">
        <f>1-EXP(-((4*Параметры!$B$2/Параметры!$B$3*Параметры!$B$10*Параметры!$B$4)*(Параметры!$B$6*Параметры!$B$7/Параметры!$B$8*1E-24))*(A839*0.0000001)/SIN(RADIANS(Параметры!$B$9)))</f>
        <v>6.8177951583885843E-2</v>
      </c>
      <c r="C839" s="10">
        <f>1-EXP(-((4*Параметры!$B$2/Параметры!$B$3*Параметры!$B$10*Параметры!$B$5)*(Параметры!$B$6*Параметры!$B$7/Параметры!$B$8*1E-24))*(A839*0.0000001)/SIN(RADIANS(Параметры!$B$9)))</f>
        <v>0.2722228422694678</v>
      </c>
    </row>
    <row r="840" spans="1:3" ht="15.75" x14ac:dyDescent="0.25">
      <c r="A840" s="9">
        <v>8380</v>
      </c>
      <c r="B840" s="10">
        <f>1-EXP(-((4*Параметры!$B$2/Параметры!$B$3*Параметры!$B$10*Параметры!$B$4)*(Параметры!$B$6*Параметры!$B$7/Параметры!$B$8*1E-24))*(A840*0.0000001)/SIN(RADIANS(Параметры!$B$9)))</f>
        <v>6.8256561337815103E-2</v>
      </c>
      <c r="C840" s="10">
        <f>1-EXP(-((4*Параметры!$B$2/Параметры!$B$3*Параметры!$B$10*Параметры!$B$5)*(Параметры!$B$6*Параметры!$B$7/Параметры!$B$8*1E-24))*(A840*0.0000001)/SIN(RADIANS(Параметры!$B$9)))</f>
        <v>0.27249908462757411</v>
      </c>
    </row>
    <row r="841" spans="1:3" ht="15.75" x14ac:dyDescent="0.25">
      <c r="A841" s="9">
        <v>8390</v>
      </c>
      <c r="B841" s="10">
        <f>1-EXP(-((4*Параметры!$B$2/Параметры!$B$3*Параметры!$B$10*Параметры!$B$4)*(Параметры!$B$6*Параметры!$B$7/Параметры!$B$8*1E-24))*(A841*0.0000001)/SIN(RADIANS(Параметры!$B$9)))</f>
        <v>6.8335164460120335E-2</v>
      </c>
      <c r="C841" s="10">
        <f>1-EXP(-((4*Параметры!$B$2/Параметры!$B$3*Параметры!$B$10*Параметры!$B$5)*(Параметры!$B$6*Параметры!$B$7/Параметры!$B$8*1E-24))*(A841*0.0000001)/SIN(RADIANS(Параметры!$B$9)))</f>
        <v>0.27277522213237526</v>
      </c>
    </row>
    <row r="842" spans="1:3" ht="15.75" x14ac:dyDescent="0.25">
      <c r="A842" s="9">
        <v>8400</v>
      </c>
      <c r="B842" s="10">
        <f>1-EXP(-((4*Параметры!$B$2/Параметры!$B$3*Параметры!$B$10*Параметры!$B$4)*(Параметры!$B$6*Параметры!$B$7/Параметры!$B$8*1E-24))*(A842*0.0000001)/SIN(RADIANS(Параметры!$B$9)))</f>
        <v>6.8413760951361202E-2</v>
      </c>
      <c r="C842" s="10">
        <f>1-EXP(-((4*Параметры!$B$2/Параметры!$B$3*Параметры!$B$10*Параметры!$B$5)*(Параметры!$B$6*Параметры!$B$7/Параметры!$B$8*1E-24))*(A842*0.0000001)/SIN(RADIANS(Параметры!$B$9)))</f>
        <v>0.27305125482367043</v>
      </c>
    </row>
    <row r="843" spans="1:3" ht="15.75" x14ac:dyDescent="0.25">
      <c r="A843" s="9">
        <v>8410</v>
      </c>
      <c r="B843" s="10">
        <f>1-EXP(-((4*Параметры!$B$2/Параметры!$B$3*Параметры!$B$10*Параметры!$B$4)*(Параметры!$B$6*Параметры!$B$7/Параметры!$B$8*1E-24))*(A843*0.0000001)/SIN(RADIANS(Параметры!$B$9)))</f>
        <v>6.8492350812096925E-2</v>
      </c>
      <c r="C843" s="10">
        <f>1-EXP(-((4*Параметры!$B$2/Параметры!$B$3*Параметры!$B$10*Параметры!$B$5)*(Параметры!$B$6*Параметры!$B$7/Параметры!$B$8*1E-24))*(A843*0.0000001)/SIN(RADIANS(Параметры!$B$9)))</f>
        <v>0.27332718274124357</v>
      </c>
    </row>
    <row r="844" spans="1:3" ht="15.75" x14ac:dyDescent="0.25">
      <c r="A844" s="9">
        <v>8420</v>
      </c>
      <c r="B844" s="10">
        <f>1-EXP(-((4*Параметры!$B$2/Параметры!$B$3*Параметры!$B$10*Параметры!$B$4)*(Параметры!$B$6*Параметры!$B$7/Параметры!$B$8*1E-24))*(A844*0.0000001)/SIN(RADIANS(Параметры!$B$9)))</f>
        <v>6.8570934042886944E-2</v>
      </c>
      <c r="C844" s="10">
        <f>1-EXP(-((4*Параметры!$B$2/Параметры!$B$3*Параметры!$B$10*Параметры!$B$5)*(Параметры!$B$6*Параметры!$B$7/Параметры!$B$8*1E-24))*(A844*0.0000001)/SIN(RADIANS(Параметры!$B$9)))</f>
        <v>0.27360300592486386</v>
      </c>
    </row>
    <row r="845" spans="1:3" ht="15.75" x14ac:dyDescent="0.25">
      <c r="A845" s="9">
        <v>8430</v>
      </c>
      <c r="B845" s="10">
        <f>1-EXP(-((4*Параметры!$B$2/Параметры!$B$3*Параметры!$B$10*Параметры!$B$4)*(Параметры!$B$6*Параметры!$B$7/Параметры!$B$8*1E-24))*(A845*0.0000001)/SIN(RADIANS(Параметры!$B$9)))</f>
        <v>6.8649510644290479E-2</v>
      </c>
      <c r="C845" s="10">
        <f>1-EXP(-((4*Параметры!$B$2/Параметры!$B$3*Параметры!$B$10*Параметры!$B$5)*(Параметры!$B$6*Параметры!$B$7/Параметры!$B$8*1E-24))*(A845*0.0000001)/SIN(RADIANS(Параметры!$B$9)))</f>
        <v>0.27387872441428496</v>
      </c>
    </row>
    <row r="846" spans="1:3" ht="15.75" x14ac:dyDescent="0.25">
      <c r="A846" s="9">
        <v>8440</v>
      </c>
      <c r="B846" s="10">
        <f>1-EXP(-((4*Параметры!$B$2/Параметры!$B$3*Параметры!$B$10*Параметры!$B$4)*(Параметры!$B$6*Параметры!$B$7/Параметры!$B$8*1E-24))*(A846*0.0000001)/SIN(RADIANS(Параметры!$B$9)))</f>
        <v>6.872808061686686E-2</v>
      </c>
      <c r="C846" s="10">
        <f>1-EXP(-((4*Параметры!$B$2/Параметры!$B$3*Параметры!$B$10*Параметры!$B$5)*(Параметры!$B$6*Параметры!$B$7/Параметры!$B$8*1E-24))*(A846*0.0000001)/SIN(RADIANS(Параметры!$B$9)))</f>
        <v>0.27415433824924573</v>
      </c>
    </row>
    <row r="847" spans="1:3" ht="15.75" x14ac:dyDescent="0.25">
      <c r="A847" s="9">
        <v>8450</v>
      </c>
      <c r="B847" s="10">
        <f>1-EXP(-((4*Параметры!$B$2/Параметры!$B$3*Параметры!$B$10*Параметры!$B$4)*(Параметры!$B$6*Параметры!$B$7/Параметры!$B$8*1E-24))*(A847*0.0000001)/SIN(RADIANS(Параметры!$B$9)))</f>
        <v>6.8806643961175418E-2</v>
      </c>
      <c r="C847" s="10">
        <f>1-EXP(-((4*Параметры!$B$2/Параметры!$B$3*Параметры!$B$10*Параметры!$B$5)*(Параметры!$B$6*Параметры!$B$7/Параметры!$B$8*1E-24))*(A847*0.0000001)/SIN(RADIANS(Параметры!$B$9)))</f>
        <v>0.27442984746946975</v>
      </c>
    </row>
    <row r="848" spans="1:3" ht="15.75" x14ac:dyDescent="0.25">
      <c r="A848" s="9">
        <v>8460</v>
      </c>
      <c r="B848" s="10">
        <f>1-EXP(-((4*Параметры!$B$2/Параметры!$B$3*Параметры!$B$10*Параметры!$B$4)*(Параметры!$B$6*Параметры!$B$7/Параметры!$B$8*1E-24))*(A848*0.0000001)/SIN(RADIANS(Параметры!$B$9)))</f>
        <v>6.8885200677775038E-2</v>
      </c>
      <c r="C848" s="10">
        <f>1-EXP(-((4*Параметры!$B$2/Параметры!$B$3*Параметры!$B$10*Параметры!$B$5)*(Параметры!$B$6*Параметры!$B$7/Параметры!$B$8*1E-24))*(A848*0.0000001)/SIN(RADIANS(Параметры!$B$9)))</f>
        <v>0.2747052521146659</v>
      </c>
    </row>
    <row r="849" spans="1:3" ht="15.75" x14ac:dyDescent="0.25">
      <c r="A849" s="9">
        <v>8470</v>
      </c>
      <c r="B849" s="10">
        <f>1-EXP(-((4*Параметры!$B$2/Параметры!$B$3*Параметры!$B$10*Параметры!$B$4)*(Параметры!$B$6*Параметры!$B$7/Параметры!$B$8*1E-24))*(A849*0.0000001)/SIN(RADIANS(Параметры!$B$9)))</f>
        <v>6.8963750767225163E-2</v>
      </c>
      <c r="C849" s="10">
        <f>1-EXP(-((4*Параметры!$B$2/Параметры!$B$3*Параметры!$B$10*Параметры!$B$5)*(Параметры!$B$6*Параметры!$B$7/Параметры!$B$8*1E-24))*(A849*0.0000001)/SIN(RADIANS(Параметры!$B$9)))</f>
        <v>0.27498055222452744</v>
      </c>
    </row>
    <row r="850" spans="1:3" ht="15.75" x14ac:dyDescent="0.25">
      <c r="A850" s="9">
        <v>8480</v>
      </c>
      <c r="B850" s="10">
        <f>1-EXP(-((4*Параметры!$B$2/Параметры!$B$3*Параметры!$B$10*Параметры!$B$4)*(Параметры!$B$6*Параметры!$B$7/Параметры!$B$8*1E-24))*(A850*0.0000001)/SIN(RADIANS(Параметры!$B$9)))</f>
        <v>6.9042294230084567E-2</v>
      </c>
      <c r="C850" s="10">
        <f>1-EXP(-((4*Параметры!$B$2/Параметры!$B$3*Параметры!$B$10*Параметры!$B$5)*(Параметры!$B$6*Параметры!$B$7/Параметры!$B$8*1E-24))*(A850*0.0000001)/SIN(RADIANS(Параметры!$B$9)))</f>
        <v>0.27525574783873297</v>
      </c>
    </row>
    <row r="851" spans="1:3" ht="15.75" x14ac:dyDescent="0.25">
      <c r="A851" s="9">
        <v>8490</v>
      </c>
      <c r="B851" s="10">
        <f>1-EXP(-((4*Параметры!$B$2/Параметры!$B$3*Параметры!$B$10*Параметры!$B$4)*(Параметры!$B$6*Параметры!$B$7/Параметры!$B$8*1E-24))*(A851*0.0000001)/SIN(RADIANS(Параметры!$B$9)))</f>
        <v>6.9120831066912469E-2</v>
      </c>
      <c r="C851" s="10">
        <f>1-EXP(-((4*Параметры!$B$2/Параметры!$B$3*Параметры!$B$10*Параметры!$B$5)*(Параметры!$B$6*Параметры!$B$7/Параметры!$B$8*1E-24))*(A851*0.0000001)/SIN(RADIANS(Параметры!$B$9)))</f>
        <v>0.27553083899694597</v>
      </c>
    </row>
    <row r="852" spans="1:3" ht="15.75" x14ac:dyDescent="0.25">
      <c r="A852" s="9">
        <v>8500</v>
      </c>
      <c r="B852" s="10">
        <f>1-EXP(-((4*Параметры!$B$2/Параметры!$B$3*Параметры!$B$10*Параметры!$B$4)*(Параметры!$B$6*Параметры!$B$7/Параметры!$B$8*1E-24))*(A852*0.0000001)/SIN(RADIANS(Параметры!$B$9)))</f>
        <v>6.9199361278267868E-2</v>
      </c>
      <c r="C852" s="10">
        <f>1-EXP(-((4*Параметры!$B$2/Параметры!$B$3*Параметры!$B$10*Параметры!$B$5)*(Параметры!$B$6*Параметры!$B$7/Параметры!$B$8*1E-24))*(A852*0.0000001)/SIN(RADIANS(Параметры!$B$9)))</f>
        <v>0.27580582573881463</v>
      </c>
    </row>
    <row r="853" spans="1:3" ht="15.75" x14ac:dyDescent="0.25">
      <c r="A853" s="9">
        <v>8510</v>
      </c>
      <c r="B853" s="10">
        <f>1-EXP(-((4*Параметры!$B$2/Параметры!$B$3*Параметры!$B$10*Параметры!$B$4)*(Параметры!$B$6*Параметры!$B$7/Параметры!$B$8*1E-24))*(A853*0.0000001)/SIN(RADIANS(Параметры!$B$9)))</f>
        <v>6.9277884864709649E-2</v>
      </c>
      <c r="C853" s="10">
        <f>1-EXP(-((4*Параметры!$B$2/Параметры!$B$3*Параметры!$B$10*Параметры!$B$5)*(Параметры!$B$6*Параметры!$B$7/Параметры!$B$8*1E-24))*(A853*0.0000001)/SIN(RADIANS(Параметры!$B$9)))</f>
        <v>0.27608070810397245</v>
      </c>
    </row>
    <row r="854" spans="1:3" ht="15.75" x14ac:dyDescent="0.25">
      <c r="A854" s="9">
        <v>8520</v>
      </c>
      <c r="B854" s="10">
        <f>1-EXP(-((4*Параметры!$B$2/Параметры!$B$3*Параметры!$B$10*Параметры!$B$4)*(Параметры!$B$6*Параметры!$B$7/Параметры!$B$8*1E-24))*(A854*0.0000001)/SIN(RADIANS(Параметры!$B$9)))</f>
        <v>6.9356401826796588E-2</v>
      </c>
      <c r="C854" s="10">
        <f>1-EXP(-((4*Параметры!$B$2/Параметры!$B$3*Параметры!$B$10*Параметры!$B$5)*(Параметры!$B$6*Параметры!$B$7/Параметры!$B$8*1E-24))*(A854*0.0000001)/SIN(RADIANS(Параметры!$B$9)))</f>
        <v>0.27635548613203753</v>
      </c>
    </row>
    <row r="855" spans="1:3" ht="15.75" x14ac:dyDescent="0.25">
      <c r="A855" s="9">
        <v>8530</v>
      </c>
      <c r="B855" s="10">
        <f>1-EXP(-((4*Параметры!$B$2/Параметры!$B$3*Параметры!$B$10*Параметры!$B$4)*(Параметры!$B$6*Параметры!$B$7/Параметры!$B$8*1E-24))*(A855*0.0000001)/SIN(RADIANS(Параметры!$B$9)))</f>
        <v>6.9434912165087681E-2</v>
      </c>
      <c r="C855" s="10">
        <f>1-EXP(-((4*Параметры!$B$2/Параметры!$B$3*Параметры!$B$10*Параметры!$B$5)*(Параметры!$B$6*Параметры!$B$7/Параметры!$B$8*1E-24))*(A855*0.0000001)/SIN(RADIANS(Параметры!$B$9)))</f>
        <v>0.27663015986261319</v>
      </c>
    </row>
    <row r="856" spans="1:3" ht="15.75" x14ac:dyDescent="0.25">
      <c r="A856" s="9">
        <v>8540</v>
      </c>
      <c r="B856" s="10">
        <f>1-EXP(-((4*Параметры!$B$2/Параметры!$B$3*Параметры!$B$10*Параметры!$B$4)*(Параметры!$B$6*Параметры!$B$7/Параметры!$B$8*1E-24))*(A856*0.0000001)/SIN(RADIANS(Параметры!$B$9)))</f>
        <v>6.9513415880141705E-2</v>
      </c>
      <c r="C856" s="10">
        <f>1-EXP(-((4*Параметры!$B$2/Параметры!$B$3*Параметры!$B$10*Параметры!$B$5)*(Параметры!$B$6*Параметры!$B$7/Параметры!$B$8*1E-24))*(A856*0.0000001)/SIN(RADIANS(Параметры!$B$9)))</f>
        <v>0.27690472933528754</v>
      </c>
    </row>
    <row r="857" spans="1:3" ht="15.75" x14ac:dyDescent="0.25">
      <c r="A857" s="9">
        <v>8550</v>
      </c>
      <c r="B857" s="10">
        <f>1-EXP(-((4*Параметры!$B$2/Параметры!$B$3*Параметры!$B$10*Параметры!$B$4)*(Параметры!$B$6*Параметры!$B$7/Параметры!$B$8*1E-24))*(A857*0.0000001)/SIN(RADIANS(Параметры!$B$9)))</f>
        <v>6.9591912972517322E-2</v>
      </c>
      <c r="C857" s="10">
        <f>1-EXP(-((4*Параметры!$B$2/Параметры!$B$3*Параметры!$B$10*Параметры!$B$5)*(Параметры!$B$6*Параметры!$B$7/Параметры!$B$8*1E-24))*(A857*0.0000001)/SIN(RADIANS(Параметры!$B$9)))</f>
        <v>0.2771791945896338</v>
      </c>
    </row>
    <row r="858" spans="1:3" ht="15.75" x14ac:dyDescent="0.25">
      <c r="A858" s="9">
        <v>8560</v>
      </c>
      <c r="B858" s="10">
        <f>1-EXP(-((4*Параметры!$B$2/Параметры!$B$3*Параметры!$B$10*Параметры!$B$4)*(Параметры!$B$6*Параметры!$B$7/Параметры!$B$8*1E-24))*(A858*0.0000001)/SIN(RADIANS(Параметры!$B$9)))</f>
        <v>6.9670403442773199E-2</v>
      </c>
      <c r="C858" s="10">
        <f>1-EXP(-((4*Параметры!$B$2/Параметры!$B$3*Параметры!$B$10*Параметры!$B$5)*(Параметры!$B$6*Параметры!$B$7/Параметры!$B$8*1E-24))*(A858*0.0000001)/SIN(RADIANS(Параметры!$B$9)))</f>
        <v>0.27745355566521024</v>
      </c>
    </row>
    <row r="859" spans="1:3" ht="15.75" x14ac:dyDescent="0.25">
      <c r="A859" s="9">
        <v>8570</v>
      </c>
      <c r="B859" s="10">
        <f>1-EXP(-((4*Параметры!$B$2/Параметры!$B$3*Параметры!$B$10*Параметры!$B$4)*(Параметры!$B$6*Параметры!$B$7/Параметры!$B$8*1E-24))*(A859*0.0000001)/SIN(RADIANS(Параметры!$B$9)))</f>
        <v>6.9748887291468109E-2</v>
      </c>
      <c r="C859" s="10">
        <f>1-EXP(-((4*Параметры!$B$2/Параметры!$B$3*Параметры!$B$10*Параметры!$B$5)*(Параметры!$B$6*Параметры!$B$7/Параметры!$B$8*1E-24))*(A859*0.0000001)/SIN(RADIANS(Параметры!$B$9)))</f>
        <v>0.27772781260155976</v>
      </c>
    </row>
    <row r="860" spans="1:3" ht="15.75" x14ac:dyDescent="0.25">
      <c r="A860" s="9">
        <v>8580</v>
      </c>
      <c r="B860" s="10">
        <f>1-EXP(-((4*Параметры!$B$2/Параметры!$B$3*Параметры!$B$10*Параметры!$B$4)*(Параметры!$B$6*Параметры!$B$7/Параметры!$B$8*1E-24))*(A860*0.0000001)/SIN(RADIANS(Параметры!$B$9)))</f>
        <v>6.9827364519160606E-2</v>
      </c>
      <c r="C860" s="10">
        <f>1-EXP(-((4*Параметры!$B$2/Параметры!$B$3*Параметры!$B$10*Параметры!$B$5)*(Параметры!$B$6*Параметры!$B$7/Параметры!$B$8*1E-24))*(A860*0.0000001)/SIN(RADIANS(Параметры!$B$9)))</f>
        <v>0.27800196543821065</v>
      </c>
    </row>
    <row r="861" spans="1:3" ht="15.75" x14ac:dyDescent="0.25">
      <c r="A861" s="9">
        <v>8590</v>
      </c>
      <c r="B861" s="10">
        <f>1-EXP(-((4*Параметры!$B$2/Параметры!$B$3*Параметры!$B$10*Параметры!$B$4)*(Параметры!$B$6*Параметры!$B$7/Параметры!$B$8*1E-24))*(A861*0.0000001)/SIN(RADIANS(Параметры!$B$9)))</f>
        <v>6.9905835126409244E-2</v>
      </c>
      <c r="C861" s="10">
        <f>1-EXP(-((4*Параметры!$B$2/Параметры!$B$3*Параметры!$B$10*Параметры!$B$5)*(Параметры!$B$6*Параметры!$B$7/Параметры!$B$8*1E-24))*(A861*0.0000001)/SIN(RADIANS(Параметры!$B$9)))</f>
        <v>0.27827601421467596</v>
      </c>
    </row>
    <row r="862" spans="1:3" ht="15.75" x14ac:dyDescent="0.25">
      <c r="A862" s="9">
        <v>8600</v>
      </c>
      <c r="B862" s="10">
        <f>1-EXP(-((4*Параметры!$B$2/Параметры!$B$3*Параметры!$B$10*Параметры!$B$4)*(Параметры!$B$6*Параметры!$B$7/Параметры!$B$8*1E-24))*(A862*0.0000001)/SIN(RADIANS(Параметры!$B$9)))</f>
        <v>6.9984299113772575E-2</v>
      </c>
      <c r="C862" s="10">
        <f>1-EXP(-((4*Параметры!$B$2/Параметры!$B$3*Параметры!$B$10*Параметры!$B$5)*(Параметры!$B$6*Параметры!$B$7/Параметры!$B$8*1E-24))*(A862*0.0000001)/SIN(RADIANS(Параметры!$B$9)))</f>
        <v>0.27854995897045387</v>
      </c>
    </row>
    <row r="863" spans="1:3" ht="15.75" x14ac:dyDescent="0.25">
      <c r="A863" s="9">
        <v>8610</v>
      </c>
      <c r="B863" s="10">
        <f>1-EXP(-((4*Параметры!$B$2/Параметры!$B$3*Параметры!$B$10*Параметры!$B$4)*(Параметры!$B$6*Параметры!$B$7/Параметры!$B$8*1E-24))*(A863*0.0000001)/SIN(RADIANS(Параметры!$B$9)))</f>
        <v>7.006275648180893E-2</v>
      </c>
      <c r="C863" s="10">
        <f>1-EXP(-((4*Параметры!$B$2/Параметры!$B$3*Параметры!$B$10*Параметры!$B$5)*(Параметры!$B$6*Параметры!$B$7/Параметры!$B$8*1E-24))*(A863*0.0000001)/SIN(RADIANS(Параметры!$B$9)))</f>
        <v>0.27882379974502747</v>
      </c>
    </row>
    <row r="864" spans="1:3" ht="15.75" x14ac:dyDescent="0.25">
      <c r="A864" s="9">
        <v>8620</v>
      </c>
      <c r="B864" s="10">
        <f>1-EXP(-((4*Параметры!$B$2/Параметры!$B$3*Параметры!$B$10*Параметры!$B$4)*(Параметры!$B$6*Параметры!$B$7/Параметры!$B$8*1E-24))*(A864*0.0000001)/SIN(RADIANS(Параметры!$B$9)))</f>
        <v>7.0141207231076863E-2</v>
      </c>
      <c r="C864" s="10">
        <f>1-EXP(-((4*Параметры!$B$2/Параметры!$B$3*Параметры!$B$10*Параметры!$B$5)*(Параметры!$B$6*Параметры!$B$7/Параметры!$B$8*1E-24))*(A864*0.0000001)/SIN(RADIANS(Параметры!$B$9)))</f>
        <v>0.27909753657786485</v>
      </c>
    </row>
    <row r="865" spans="1:3" ht="15.75" x14ac:dyDescent="0.25">
      <c r="A865" s="9">
        <v>8630</v>
      </c>
      <c r="B865" s="10">
        <f>1-EXP(-((4*Параметры!$B$2/Параметры!$B$3*Параметры!$B$10*Параметры!$B$4)*(Параметры!$B$6*Параметры!$B$7/Параметры!$B$8*1E-24))*(A865*0.0000001)/SIN(RADIANS(Параметры!$B$9)))</f>
        <v>7.0219651362134705E-2</v>
      </c>
      <c r="C865" s="10">
        <f>1-EXP(-((4*Параметры!$B$2/Параметры!$B$3*Параметры!$B$10*Параметры!$B$5)*(Параметры!$B$6*Параметры!$B$7/Параметры!$B$8*1E-24))*(A865*0.0000001)/SIN(RADIANS(Параметры!$B$9)))</f>
        <v>0.27937116950841934</v>
      </c>
    </row>
    <row r="866" spans="1:3" ht="15.75" x14ac:dyDescent="0.25">
      <c r="A866" s="9">
        <v>8640</v>
      </c>
      <c r="B866" s="10">
        <f>1-EXP(-((4*Параметры!$B$2/Параметры!$B$3*Параметры!$B$10*Параметры!$B$4)*(Параметры!$B$6*Параметры!$B$7/Параметры!$B$8*1E-24))*(A866*0.0000001)/SIN(RADIANS(Параметры!$B$9)))</f>
        <v>7.0298088875540787E-2</v>
      </c>
      <c r="C866" s="10">
        <f>1-EXP(-((4*Параметры!$B$2/Параметры!$B$3*Параметры!$B$10*Параметры!$B$5)*(Параметры!$B$6*Параметры!$B$7/Параметры!$B$8*1E-24))*(A866*0.0000001)/SIN(RADIANS(Параметры!$B$9)))</f>
        <v>0.27964469857612895</v>
      </c>
    </row>
    <row r="867" spans="1:3" ht="15.75" x14ac:dyDescent="0.25">
      <c r="A867" s="9">
        <v>8650</v>
      </c>
      <c r="B867" s="10">
        <f>1-EXP(-((4*Параметры!$B$2/Параметры!$B$3*Параметры!$B$10*Параметры!$B$4)*(Параметры!$B$6*Параметры!$B$7/Параметры!$B$8*1E-24))*(A867*0.0000001)/SIN(RADIANS(Параметры!$B$9)))</f>
        <v>7.037651977185333E-2</v>
      </c>
      <c r="C867" s="10">
        <f>1-EXP(-((4*Параметры!$B$2/Параметры!$B$3*Параметры!$B$10*Параметры!$B$5)*(Параметры!$B$6*Параметры!$B$7/Параметры!$B$8*1E-24))*(A867*0.0000001)/SIN(RADIANS(Параметры!$B$9)))</f>
        <v>0.27991812382041703</v>
      </c>
    </row>
    <row r="868" spans="1:3" ht="15.75" x14ac:dyDescent="0.25">
      <c r="A868" s="9">
        <v>8660</v>
      </c>
      <c r="B868" s="10">
        <f>1-EXP(-((4*Параметры!$B$2/Параметры!$B$3*Параметры!$B$10*Параметры!$B$4)*(Параметры!$B$6*Параметры!$B$7/Параметры!$B$8*1E-24))*(A868*0.0000001)/SIN(RADIANS(Параметры!$B$9)))</f>
        <v>7.0454944051630553E-2</v>
      </c>
      <c r="C868" s="10">
        <f>1-EXP(-((4*Параметры!$B$2/Параметры!$B$3*Параметры!$B$10*Параметры!$B$5)*(Параметры!$B$6*Параметры!$B$7/Параметры!$B$8*1E-24))*(A868*0.0000001)/SIN(RADIANS(Параметры!$B$9)))</f>
        <v>0.28019144528069162</v>
      </c>
    </row>
    <row r="869" spans="1:3" ht="15.75" x14ac:dyDescent="0.25">
      <c r="A869" s="9">
        <v>8670</v>
      </c>
      <c r="B869" s="10">
        <f>1-EXP(-((4*Параметры!$B$2/Параметры!$B$3*Параметры!$B$10*Параметры!$B$4)*(Параметры!$B$6*Параметры!$B$7/Параметры!$B$8*1E-24))*(A869*0.0000001)/SIN(RADIANS(Параметры!$B$9)))</f>
        <v>7.0533361715430676E-2</v>
      </c>
      <c r="C869" s="10">
        <f>1-EXP(-((4*Параметры!$B$2/Параметры!$B$3*Параметры!$B$10*Параметры!$B$5)*(Параметры!$B$6*Параметры!$B$7/Параметры!$B$8*1E-24))*(A869*0.0000001)/SIN(RADIANS(Параметры!$B$9)))</f>
        <v>0.2804646629963462</v>
      </c>
    </row>
    <row r="870" spans="1:3" ht="15.75" x14ac:dyDescent="0.25">
      <c r="A870" s="9">
        <v>8680</v>
      </c>
      <c r="B870" s="10">
        <f>1-EXP(-((4*Параметры!$B$2/Параметры!$B$3*Параметры!$B$10*Параметры!$B$4)*(Параметры!$B$6*Параметры!$B$7/Параметры!$B$8*1E-24))*(A870*0.0000001)/SIN(RADIANS(Параметры!$B$9)))</f>
        <v>7.061177276381192E-2</v>
      </c>
      <c r="C870" s="10">
        <f>1-EXP(-((4*Параметры!$B$2/Параметры!$B$3*Параметры!$B$10*Параметры!$B$5)*(Параметры!$B$6*Параметры!$B$7/Параметры!$B$8*1E-24))*(A870*0.0000001)/SIN(RADIANS(Параметры!$B$9)))</f>
        <v>0.28073777700675917</v>
      </c>
    </row>
    <row r="871" spans="1:3" ht="15.75" x14ac:dyDescent="0.25">
      <c r="A871" s="9">
        <v>8690</v>
      </c>
      <c r="B871" s="10">
        <f>1-EXP(-((4*Параметры!$B$2/Параметры!$B$3*Параметры!$B$10*Параметры!$B$4)*(Параметры!$B$6*Параметры!$B$7/Параметры!$B$8*1E-24))*(A871*0.0000001)/SIN(RADIANS(Параметры!$B$9)))</f>
        <v>7.0690177197332171E-2</v>
      </c>
      <c r="C871" s="10">
        <f>1-EXP(-((4*Параметры!$B$2/Параметры!$B$3*Параметры!$B$10*Параметры!$B$5)*(Параметры!$B$6*Параметры!$B$7/Параметры!$B$8*1E-24))*(A871*0.0000001)/SIN(RADIANS(Параметры!$B$9)))</f>
        <v>0.28101078735129381</v>
      </c>
    </row>
    <row r="872" spans="1:3" ht="15.75" x14ac:dyDescent="0.25">
      <c r="A872" s="9">
        <v>8700</v>
      </c>
      <c r="B872" s="10">
        <f>1-EXP(-((4*Параметры!$B$2/Параметры!$B$3*Параметры!$B$10*Параметры!$B$4)*(Параметры!$B$6*Параметры!$B$7/Параметры!$B$8*1E-24))*(A872*0.0000001)/SIN(RADIANS(Параметры!$B$9)))</f>
        <v>7.0768575016549651E-2</v>
      </c>
      <c r="C872" s="10">
        <f>1-EXP(-((4*Параметры!$B$2/Параметры!$B$3*Параметры!$B$10*Параметры!$B$5)*(Параметры!$B$6*Параметры!$B$7/Параметры!$B$8*1E-24))*(A872*0.0000001)/SIN(RADIANS(Параметры!$B$9)))</f>
        <v>0.28128369406929854</v>
      </c>
    </row>
    <row r="873" spans="1:3" ht="15.75" x14ac:dyDescent="0.25">
      <c r="A873" s="9">
        <v>8710</v>
      </c>
      <c r="B873" s="10">
        <f>1-EXP(-((4*Параметры!$B$2/Параметры!$B$3*Параметры!$B$10*Параметры!$B$4)*(Параметры!$B$6*Параметры!$B$7/Параметры!$B$8*1E-24))*(A873*0.0000001)/SIN(RADIANS(Параметры!$B$9)))</f>
        <v>7.0846966222022245E-2</v>
      </c>
      <c r="C873" s="10">
        <f>1-EXP(-((4*Параметры!$B$2/Параметры!$B$3*Параметры!$B$10*Параметры!$B$5)*(Параметры!$B$6*Параметры!$B$7/Параметры!$B$8*1E-24))*(A873*0.0000001)/SIN(RADIANS(Параметры!$B$9)))</f>
        <v>0.281556497200107</v>
      </c>
    </row>
    <row r="874" spans="1:3" ht="15.75" x14ac:dyDescent="0.25">
      <c r="A874" s="9">
        <v>8720</v>
      </c>
      <c r="B874" s="10">
        <f>1-EXP(-((4*Параметры!$B$2/Параметры!$B$3*Параметры!$B$10*Параметры!$B$4)*(Параметры!$B$6*Параметры!$B$7/Параметры!$B$8*1E-24))*(A874*0.0000001)/SIN(RADIANS(Параметры!$B$9)))</f>
        <v>7.0925350814307953E-2</v>
      </c>
      <c r="C874" s="10">
        <f>1-EXP(-((4*Параметры!$B$2/Параметры!$B$3*Параметры!$B$10*Параметры!$B$5)*(Параметры!$B$6*Параметры!$B$7/Параметры!$B$8*1E-24))*(A874*0.0000001)/SIN(RADIANS(Параметры!$B$9)))</f>
        <v>0.28182919678303764</v>
      </c>
    </row>
    <row r="875" spans="1:3" ht="15.75" x14ac:dyDescent="0.25">
      <c r="A875" s="9">
        <v>8730</v>
      </c>
      <c r="B875" s="10">
        <f>1-EXP(-((4*Параметры!$B$2/Параметры!$B$3*Параметры!$B$10*Параметры!$B$4)*(Параметры!$B$6*Параметры!$B$7/Параметры!$B$8*1E-24))*(A875*0.0000001)/SIN(RADIANS(Параметры!$B$9)))</f>
        <v>7.100372879396466E-2</v>
      </c>
      <c r="C875" s="10">
        <f>1-EXP(-((4*Параметры!$B$2/Параметры!$B$3*Параметры!$B$10*Параметры!$B$5)*(Параметры!$B$6*Параметры!$B$7/Параметры!$B$8*1E-24))*(A875*0.0000001)/SIN(RADIANS(Параметры!$B$9)))</f>
        <v>0.28210179285739434</v>
      </c>
    </row>
    <row r="876" spans="1:3" ht="15.75" x14ac:dyDescent="0.25">
      <c r="A876" s="9">
        <v>8740</v>
      </c>
      <c r="B876" s="10">
        <f>1-EXP(-((4*Параметры!$B$2/Параметры!$B$3*Параметры!$B$10*Параметры!$B$4)*(Параметры!$B$6*Параметры!$B$7/Параметры!$B$8*1E-24))*(A876*0.0000001)/SIN(RADIANS(Параметры!$B$9)))</f>
        <v>7.1082100161550144E-2</v>
      </c>
      <c r="C876" s="10">
        <f>1-EXP(-((4*Параметры!$B$2/Параметры!$B$3*Параметры!$B$10*Параметры!$B$5)*(Параметры!$B$6*Параметры!$B$7/Параметры!$B$8*1E-24))*(A876*0.0000001)/SIN(RADIANS(Параметры!$B$9)))</f>
        <v>0.28237428546246557</v>
      </c>
    </row>
    <row r="877" spans="1:3" ht="15.75" x14ac:dyDescent="0.25">
      <c r="A877" s="9">
        <v>8750</v>
      </c>
      <c r="B877" s="10">
        <f>1-EXP(-((4*Параметры!$B$2/Параметры!$B$3*Параметры!$B$10*Параметры!$B$4)*(Параметры!$B$6*Параметры!$B$7/Параметры!$B$8*1E-24))*(A877*0.0000001)/SIN(RADIANS(Параметры!$B$9)))</f>
        <v>7.116046491762229E-2</v>
      </c>
      <c r="C877" s="10">
        <f>1-EXP(-((4*Параметры!$B$2/Параметры!$B$3*Параметры!$B$10*Параметры!$B$5)*(Параметры!$B$6*Параметры!$B$7/Параметры!$B$8*1E-24))*(A877*0.0000001)/SIN(RADIANS(Параметры!$B$9)))</f>
        <v>0.28264667463752535</v>
      </c>
    </row>
    <row r="878" spans="1:3" ht="15.75" x14ac:dyDescent="0.25">
      <c r="A878" s="9">
        <v>8760</v>
      </c>
      <c r="B878" s="10">
        <f>1-EXP(-((4*Параметры!$B$2/Параметры!$B$3*Параметры!$B$10*Параметры!$B$4)*(Параметры!$B$6*Параметры!$B$7/Параметры!$B$8*1E-24))*(A878*0.0000001)/SIN(RADIANS(Параметры!$B$9)))</f>
        <v>7.1238823062738876E-2</v>
      </c>
      <c r="C878" s="10">
        <f>1-EXP(-((4*Параметры!$B$2/Параметры!$B$3*Параметры!$B$10*Параметры!$B$5)*(Параметры!$B$6*Параметры!$B$7/Параметры!$B$8*1E-24))*(A878*0.0000001)/SIN(RADIANS(Параметры!$B$9)))</f>
        <v>0.28291896042183251</v>
      </c>
    </row>
    <row r="879" spans="1:3" ht="15.75" x14ac:dyDescent="0.25">
      <c r="A879" s="9">
        <v>8770</v>
      </c>
      <c r="B879" s="10">
        <f>1-EXP(-((4*Параметры!$B$2/Параметры!$B$3*Параметры!$B$10*Параметры!$B$4)*(Параметры!$B$6*Параметры!$B$7/Параметры!$B$8*1E-24))*(A879*0.0000001)/SIN(RADIANS(Параметры!$B$9)))</f>
        <v>7.1317174597457567E-2</v>
      </c>
      <c r="C879" s="10">
        <f>1-EXP(-((4*Параметры!$B$2/Параметры!$B$3*Параметры!$B$10*Параметры!$B$5)*(Параметры!$B$6*Параметры!$B$7/Параметры!$B$8*1E-24))*(A879*0.0000001)/SIN(RADIANS(Параметры!$B$9)))</f>
        <v>0.28319114285463121</v>
      </c>
    </row>
    <row r="880" spans="1:3" ht="15.75" x14ac:dyDescent="0.25">
      <c r="A880" s="9">
        <v>8780</v>
      </c>
      <c r="B880" s="10">
        <f>1-EXP(-((4*Параметры!$B$2/Параметры!$B$3*Параметры!$B$10*Параметры!$B$4)*(Параметры!$B$6*Параметры!$B$7/Параметры!$B$8*1E-24))*(A880*0.0000001)/SIN(RADIANS(Параметры!$B$9)))</f>
        <v>7.1395519522335915E-2</v>
      </c>
      <c r="C880" s="10">
        <f>1-EXP(-((4*Параметры!$B$2/Параметры!$B$3*Параметры!$B$10*Параметры!$B$5)*(Параметры!$B$6*Параметры!$B$7/Параметры!$B$8*1E-24))*(A880*0.0000001)/SIN(RADIANS(Параметры!$B$9)))</f>
        <v>0.2834632219751505</v>
      </c>
    </row>
    <row r="881" spans="1:3" ht="15.75" x14ac:dyDescent="0.25">
      <c r="A881" s="9">
        <v>8790</v>
      </c>
      <c r="B881" s="10">
        <f>1-EXP(-((4*Параметры!$B$2/Параметры!$B$3*Параметры!$B$10*Параметры!$B$4)*(Параметры!$B$6*Параметры!$B$7/Параметры!$B$8*1E-24))*(A881*0.0000001)/SIN(RADIANS(Параметры!$B$9)))</f>
        <v>7.1473857837931809E-2</v>
      </c>
      <c r="C881" s="10">
        <f>1-EXP(-((4*Параметры!$B$2/Параметры!$B$3*Параметры!$B$10*Параметры!$B$5)*(Параметры!$B$6*Параметры!$B$7/Параметры!$B$8*1E-24))*(A881*0.0000001)/SIN(RADIANS(Параметры!$B$9)))</f>
        <v>0.28373519782260459</v>
      </c>
    </row>
    <row r="882" spans="1:3" ht="15.75" x14ac:dyDescent="0.25">
      <c r="A882" s="9">
        <v>8800</v>
      </c>
      <c r="B882" s="10">
        <f>1-EXP(-((4*Параметры!$B$2/Параметры!$B$3*Параметры!$B$10*Параметры!$B$4)*(Параметры!$B$6*Параметры!$B$7/Параметры!$B$8*1E-24))*(A882*0.0000001)/SIN(RADIANS(Параметры!$B$9)))</f>
        <v>7.155218954480258E-2</v>
      </c>
      <c r="C882" s="10">
        <f>1-EXP(-((4*Параметры!$B$2/Параметры!$B$3*Параметры!$B$10*Параметры!$B$5)*(Параметры!$B$6*Параметры!$B$7/Параметры!$B$8*1E-24))*(A882*0.0000001)/SIN(RADIANS(Параметры!$B$9)))</f>
        <v>0.28400707043619278</v>
      </c>
    </row>
    <row r="883" spans="1:3" ht="15.75" x14ac:dyDescent="0.25">
      <c r="A883" s="9">
        <v>8810</v>
      </c>
      <c r="B883" s="10">
        <f>1-EXP(-((4*Параметры!$B$2/Параметры!$B$3*Параметры!$B$10*Параметры!$B$4)*(Параметры!$B$6*Параметры!$B$7/Параметры!$B$8*1E-24))*(A883*0.0000001)/SIN(RADIANS(Параметры!$B$9)))</f>
        <v>7.1630514643505783E-2</v>
      </c>
      <c r="C883" s="10">
        <f>1-EXP(-((4*Параметры!$B$2/Параметры!$B$3*Параметры!$B$10*Параметры!$B$5)*(Параметры!$B$6*Параметры!$B$7/Параметры!$B$8*1E-24))*(A883*0.0000001)/SIN(RADIANS(Параметры!$B$9)))</f>
        <v>0.28427883985509972</v>
      </c>
    </row>
    <row r="884" spans="1:3" ht="15.75" x14ac:dyDescent="0.25">
      <c r="A884" s="9">
        <v>8820</v>
      </c>
      <c r="B884" s="10">
        <f>1-EXP(-((4*Параметры!$B$2/Параметры!$B$3*Параметры!$B$10*Параметры!$B$4)*(Параметры!$B$6*Параметры!$B$7/Параметры!$B$8*1E-24))*(A884*0.0000001)/SIN(RADIANS(Параметры!$B$9)))</f>
        <v>7.170883313459897E-2</v>
      </c>
      <c r="C884" s="10">
        <f>1-EXP(-((4*Параметры!$B$2/Параметры!$B$3*Параметры!$B$10*Параметры!$B$5)*(Параметры!$B$6*Параметры!$B$7/Параметры!$B$8*1E-24))*(A884*0.0000001)/SIN(RADIANS(Параметры!$B$9)))</f>
        <v>0.28455050611849486</v>
      </c>
    </row>
    <row r="885" spans="1:3" ht="15.75" x14ac:dyDescent="0.25">
      <c r="A885" s="9">
        <v>8830</v>
      </c>
      <c r="B885" s="10">
        <f>1-EXP(-((4*Параметры!$B$2/Параметры!$B$3*Параметры!$B$10*Параметры!$B$4)*(Параметры!$B$6*Параметры!$B$7/Параметры!$B$8*1E-24))*(A885*0.0000001)/SIN(RADIANS(Параметры!$B$9)))</f>
        <v>7.1787145018639587E-2</v>
      </c>
      <c r="C885" s="10">
        <f>1-EXP(-((4*Параметры!$B$2/Параметры!$B$3*Параметры!$B$10*Параметры!$B$5)*(Параметры!$B$6*Параметры!$B$7/Параметры!$B$8*1E-24))*(A885*0.0000001)/SIN(RADIANS(Параметры!$B$9)))</f>
        <v>0.28482206926553311</v>
      </c>
    </row>
    <row r="886" spans="1:3" ht="15.75" x14ac:dyDescent="0.25">
      <c r="A886" s="9">
        <v>8840</v>
      </c>
      <c r="B886" s="10">
        <f>1-EXP(-((4*Параметры!$B$2/Параметры!$B$3*Параметры!$B$10*Параметры!$B$4)*(Параметры!$B$6*Параметры!$B$7/Параметры!$B$8*1E-24))*(A886*0.0000001)/SIN(RADIANS(Параметры!$B$9)))</f>
        <v>7.1865450296184852E-2</v>
      </c>
      <c r="C886" s="10">
        <f>1-EXP(-((4*Параметры!$B$2/Параметры!$B$3*Параметры!$B$10*Параметры!$B$5)*(Параметры!$B$6*Параметры!$B$7/Параметры!$B$8*1E-24))*(A886*0.0000001)/SIN(RADIANS(Параметры!$B$9)))</f>
        <v>0.28509352933535415</v>
      </c>
    </row>
    <row r="887" spans="1:3" ht="15.75" x14ac:dyDescent="0.25">
      <c r="A887" s="9">
        <v>8850</v>
      </c>
      <c r="B887" s="10">
        <f>1-EXP(-((4*Параметры!$B$2/Параметры!$B$3*Параметры!$B$10*Параметры!$B$4)*(Параметры!$B$6*Параметры!$B$7/Параметры!$B$8*1E-24))*(A887*0.0000001)/SIN(RADIANS(Параметры!$B$9)))</f>
        <v>7.1943748967792209E-2</v>
      </c>
      <c r="C887" s="10">
        <f>1-EXP(-((4*Параметры!$B$2/Параметры!$B$3*Параметры!$B$10*Параметры!$B$5)*(Параметры!$B$6*Параметры!$B$7/Параметры!$B$8*1E-24))*(A887*0.0000001)/SIN(RADIANS(Параметры!$B$9)))</f>
        <v>0.28536488636708301</v>
      </c>
    </row>
    <row r="888" spans="1:3" ht="15.75" x14ac:dyDescent="0.25">
      <c r="A888" s="9">
        <v>8860</v>
      </c>
      <c r="B888" s="10">
        <f>1-EXP(-((4*Параметры!$B$2/Параметры!$B$3*Параметры!$B$10*Параметры!$B$4)*(Параметры!$B$6*Параметры!$B$7/Параметры!$B$8*1E-24))*(A888*0.0000001)/SIN(RADIANS(Параметры!$B$9)))</f>
        <v>7.2022041034018991E-2</v>
      </c>
      <c r="C888" s="10">
        <f>1-EXP(-((4*Параметры!$B$2/Параметры!$B$3*Параметры!$B$10*Параметры!$B$5)*(Параметры!$B$6*Параметры!$B$7/Параметры!$B$8*1E-24))*(A888*0.0000001)/SIN(RADIANS(Параметры!$B$9)))</f>
        <v>0.28563614039982999</v>
      </c>
    </row>
    <row r="889" spans="1:3" ht="15.75" x14ac:dyDescent="0.25">
      <c r="A889" s="9">
        <v>8870</v>
      </c>
      <c r="B889" s="10">
        <f>1-EXP(-((4*Параметры!$B$2/Параметры!$B$3*Параметры!$B$10*Параметры!$B$4)*(Параметры!$B$6*Параметры!$B$7/Параметры!$B$8*1E-24))*(A889*0.0000001)/SIN(RADIANS(Параметры!$B$9)))</f>
        <v>7.2100326495422418E-2</v>
      </c>
      <c r="C889" s="10">
        <f>1-EXP(-((4*Параметры!$B$2/Параметры!$B$3*Параметры!$B$10*Параметры!$B$5)*(Параметры!$B$6*Параметры!$B$7/Параметры!$B$8*1E-24))*(A889*0.0000001)/SIN(RADIANS(Параметры!$B$9)))</f>
        <v>0.28590729147269034</v>
      </c>
    </row>
    <row r="890" spans="1:3" ht="15.75" x14ac:dyDescent="0.25">
      <c r="A890" s="9">
        <v>8880</v>
      </c>
      <c r="B890" s="10">
        <f>1-EXP(-((4*Параметры!$B$2/Параметры!$B$3*Параметры!$B$10*Параметры!$B$4)*(Параметры!$B$6*Параметры!$B$7/Параметры!$B$8*1E-24))*(A890*0.0000001)/SIN(RADIANS(Параметры!$B$9)))</f>
        <v>7.2178605352559599E-2</v>
      </c>
      <c r="C890" s="10">
        <f>1-EXP(-((4*Параметры!$B$2/Параметры!$B$3*Параметры!$B$10*Параметры!$B$5)*(Параметры!$B$6*Параметры!$B$7/Параметры!$B$8*1E-24))*(A890*0.0000001)/SIN(RADIANS(Параметры!$B$9)))</f>
        <v>0.28617833962474448</v>
      </c>
    </row>
    <row r="891" spans="1:3" ht="15.75" x14ac:dyDescent="0.25">
      <c r="A891" s="9">
        <v>8890</v>
      </c>
      <c r="B891" s="10">
        <f>1-EXP(-((4*Параметры!$B$2/Параметры!$B$3*Параметры!$B$10*Параметры!$B$4)*(Параметры!$B$6*Параметры!$B$7/Параметры!$B$8*1E-24))*(A891*0.0000001)/SIN(RADIANS(Параметры!$B$9)))</f>
        <v>7.2256877605987646E-2</v>
      </c>
      <c r="C891" s="10">
        <f>1-EXP(-((4*Параметры!$B$2/Параметры!$B$3*Параметры!$B$10*Параметры!$B$5)*(Параметры!$B$6*Параметры!$B$7/Параметры!$B$8*1E-24))*(A891*0.0000001)/SIN(RADIANS(Параметры!$B$9)))</f>
        <v>0.28644928489505816</v>
      </c>
    </row>
    <row r="892" spans="1:3" ht="15.75" x14ac:dyDescent="0.25">
      <c r="A892" s="9">
        <v>8900</v>
      </c>
      <c r="B892" s="10">
        <f>1-EXP(-((4*Параметры!$B$2/Параметры!$B$3*Параметры!$B$10*Параметры!$B$4)*(Параметры!$B$6*Параметры!$B$7/Параметры!$B$8*1E-24))*(A892*0.0000001)/SIN(RADIANS(Параметры!$B$9)))</f>
        <v>7.233514325626389E-2</v>
      </c>
      <c r="C892" s="10">
        <f>1-EXP(-((4*Параметры!$B$2/Параметры!$B$3*Параметры!$B$10*Параметры!$B$5)*(Параметры!$B$6*Параметры!$B$7/Параметры!$B$8*1E-24))*(A892*0.0000001)/SIN(RADIANS(Параметры!$B$9)))</f>
        <v>0.28672012732268215</v>
      </c>
    </row>
    <row r="893" spans="1:3" ht="15.75" x14ac:dyDescent="0.25">
      <c r="A893" s="9">
        <v>8910</v>
      </c>
      <c r="B893" s="10">
        <f>1-EXP(-((4*Параметры!$B$2/Параметры!$B$3*Параметры!$B$10*Параметры!$B$4)*(Параметры!$B$6*Параметры!$B$7/Параметры!$B$8*1E-24))*(A893*0.0000001)/SIN(RADIANS(Параметры!$B$9)))</f>
        <v>7.2413402303945107E-2</v>
      </c>
      <c r="C893" s="10">
        <f>1-EXP(-((4*Параметры!$B$2/Параметры!$B$3*Параметры!$B$10*Параметры!$B$5)*(Параметры!$B$6*Параметры!$B$7/Параметры!$B$8*1E-24))*(A893*0.0000001)/SIN(RADIANS(Параметры!$B$9)))</f>
        <v>0.28699086694665243</v>
      </c>
    </row>
    <row r="894" spans="1:3" ht="15.75" x14ac:dyDescent="0.25">
      <c r="A894" s="9">
        <v>8920</v>
      </c>
      <c r="B894" s="10">
        <f>1-EXP(-((4*Параметры!$B$2/Параметры!$B$3*Параметры!$B$10*Параметры!$B$4)*(Параметры!$B$6*Параметры!$B$7/Параметры!$B$8*1E-24))*(A894*0.0000001)/SIN(RADIANS(Параметры!$B$9)))</f>
        <v>7.2491654749588519E-2</v>
      </c>
      <c r="C894" s="10">
        <f>1-EXP(-((4*Параметры!$B$2/Параметры!$B$3*Параметры!$B$10*Параметры!$B$5)*(Параметры!$B$6*Параметры!$B$7/Параметры!$B$8*1E-24))*(A894*0.0000001)/SIN(RADIANS(Параметры!$B$9)))</f>
        <v>0.28726150380599025</v>
      </c>
    </row>
    <row r="895" spans="1:3" ht="15.75" x14ac:dyDescent="0.25">
      <c r="A895" s="9">
        <v>8930</v>
      </c>
      <c r="B895" s="10">
        <f>1-EXP(-((4*Параметры!$B$2/Параметры!$B$3*Параметры!$B$10*Параметры!$B$4)*(Параметры!$B$6*Параметры!$B$7/Параметры!$B$8*1E-24))*(A895*0.0000001)/SIN(RADIANS(Параметры!$B$9)))</f>
        <v>7.2569900593750902E-2</v>
      </c>
      <c r="C895" s="10">
        <f>1-EXP(-((4*Параметры!$B$2/Параметры!$B$3*Параметры!$B$10*Параметры!$B$5)*(Параметры!$B$6*Параметры!$B$7/Параметры!$B$8*1E-24))*(A895*0.0000001)/SIN(RADIANS(Параметры!$B$9)))</f>
        <v>0.28753203793970195</v>
      </c>
    </row>
    <row r="896" spans="1:3" ht="15.75" x14ac:dyDescent="0.25">
      <c r="A896" s="9">
        <v>8940</v>
      </c>
      <c r="B896" s="10">
        <f>1-EXP(-((4*Параметры!$B$2/Параметры!$B$3*Параметры!$B$10*Параметры!$B$4)*(Параметры!$B$6*Параметры!$B$7/Параметры!$B$8*1E-24))*(A896*0.0000001)/SIN(RADIANS(Параметры!$B$9)))</f>
        <v>7.2648139836989256E-2</v>
      </c>
      <c r="C896" s="10">
        <f>1-EXP(-((4*Параметры!$B$2/Параметры!$B$3*Параметры!$B$10*Параметры!$B$5)*(Параметры!$B$6*Параметры!$B$7/Параметры!$B$8*1E-24))*(A896*0.0000001)/SIN(RADIANS(Параметры!$B$9)))</f>
        <v>0.287802469386779</v>
      </c>
    </row>
    <row r="897" spans="1:3" ht="15.75" x14ac:dyDescent="0.25">
      <c r="A897" s="9">
        <v>8950</v>
      </c>
      <c r="B897" s="10">
        <f>1-EXP(-((4*Параметры!$B$2/Параметры!$B$3*Параметры!$B$10*Параметры!$B$4)*(Параметры!$B$6*Параметры!$B$7/Параметры!$B$8*1E-24))*(A897*0.0000001)/SIN(RADIANS(Параметры!$B$9)))</f>
        <v>7.2726372479860468E-2</v>
      </c>
      <c r="C897" s="10">
        <f>1-EXP(-((4*Параметры!$B$2/Параметры!$B$3*Параметры!$B$10*Параметры!$B$5)*(Параметры!$B$6*Параметры!$B$7/Параметры!$B$8*1E-24))*(A897*0.0000001)/SIN(RADIANS(Параметры!$B$9)))</f>
        <v>0.28807279818619835</v>
      </c>
    </row>
    <row r="898" spans="1:3" ht="15.75" x14ac:dyDescent="0.25">
      <c r="A898" s="9">
        <v>8960</v>
      </c>
      <c r="B898" s="10">
        <f>1-EXP(-((4*Параметры!$B$2/Параметры!$B$3*Параметры!$B$10*Параметры!$B$4)*(Параметры!$B$6*Параметры!$B$7/Параметры!$B$8*1E-24))*(A898*0.0000001)/SIN(RADIANS(Параметры!$B$9)))</f>
        <v>7.2804598522921427E-2</v>
      </c>
      <c r="C898" s="10">
        <f>1-EXP(-((4*Параметры!$B$2/Параметры!$B$3*Параметры!$B$10*Параметры!$B$5)*(Параметры!$B$6*Параметры!$B$7/Параметры!$B$8*1E-24))*(A898*0.0000001)/SIN(RADIANS(Параметры!$B$9)))</f>
        <v>0.28834302437692183</v>
      </c>
    </row>
    <row r="899" spans="1:3" ht="15.75" x14ac:dyDescent="0.25">
      <c r="A899" s="9">
        <v>8970</v>
      </c>
      <c r="B899" s="10">
        <f>1-EXP(-((4*Параметры!$B$2/Параметры!$B$3*Параметры!$B$10*Параметры!$B$4)*(Параметры!$B$6*Параметры!$B$7/Параметры!$B$8*1E-24))*(A899*0.0000001)/SIN(RADIANS(Параметры!$B$9)))</f>
        <v>7.2882817966728686E-2</v>
      </c>
      <c r="C899" s="10">
        <f>1-EXP(-((4*Параметры!$B$2/Параметры!$B$3*Параметры!$B$10*Параметры!$B$5)*(Параметры!$B$6*Параметры!$B$7/Параметры!$B$8*1E-24))*(A899*0.0000001)/SIN(RADIANS(Параметры!$B$9)))</f>
        <v>0.28861314799789661</v>
      </c>
    </row>
    <row r="900" spans="1:3" ht="15.75" x14ac:dyDescent="0.25">
      <c r="A900" s="9">
        <v>8980</v>
      </c>
      <c r="B900" s="10">
        <f>1-EXP(-((4*Параметры!$B$2/Параметры!$B$3*Параметры!$B$10*Параметры!$B$4)*(Параметры!$B$6*Параметры!$B$7/Параметры!$B$8*1E-24))*(A900*0.0000001)/SIN(RADIANS(Параметры!$B$9)))</f>
        <v>7.2961030811839023E-2</v>
      </c>
      <c r="C900" s="10">
        <f>1-EXP(-((4*Параметры!$B$2/Параметры!$B$3*Параметры!$B$10*Параметры!$B$5)*(Параметры!$B$6*Параметры!$B$7/Параметры!$B$8*1E-24))*(A900*0.0000001)/SIN(RADIANS(Параметры!$B$9)))</f>
        <v>0.28888316908805511</v>
      </c>
    </row>
    <row r="901" spans="1:3" ht="15.75" x14ac:dyDescent="0.25">
      <c r="A901" s="9">
        <v>8990</v>
      </c>
      <c r="B901" s="10">
        <f>1-EXP(-((4*Параметры!$B$2/Параметры!$B$3*Параметры!$B$10*Параметры!$B$4)*(Параметры!$B$6*Параметры!$B$7/Параметры!$B$8*1E-24))*(A901*0.0000001)/SIN(RADIANS(Параметры!$B$9)))</f>
        <v>7.3039237058809214E-2</v>
      </c>
      <c r="C901" s="10">
        <f>1-EXP(-((4*Параметры!$B$2/Параметры!$B$3*Параметры!$B$10*Параметры!$B$5)*(Параметры!$B$6*Параметры!$B$7/Параметры!$B$8*1E-24))*(A901*0.0000001)/SIN(RADIANS(Параметры!$B$9)))</f>
        <v>0.28915308768631509</v>
      </c>
    </row>
    <row r="902" spans="1:3" ht="15.75" x14ac:dyDescent="0.25">
      <c r="A902" s="9">
        <v>9000</v>
      </c>
      <c r="B902" s="10">
        <f>1-EXP(-((4*Параметры!$B$2/Параметры!$B$3*Параметры!$B$10*Параметры!$B$4)*(Параметры!$B$6*Параметры!$B$7/Параметры!$B$8*1E-24))*(A902*0.0000001)/SIN(RADIANS(Параметры!$B$9)))</f>
        <v>7.3117436708195926E-2</v>
      </c>
      <c r="C902" s="10">
        <f>1-EXP(-((4*Параметры!$B$2/Параметры!$B$3*Параметры!$B$10*Параметры!$B$5)*(Параметры!$B$6*Параметры!$B$7/Параметры!$B$8*1E-24))*(A902*0.0000001)/SIN(RADIANS(Параметры!$B$9)))</f>
        <v>0.2894229038315792</v>
      </c>
    </row>
    <row r="903" spans="1:3" ht="15.75" x14ac:dyDescent="0.25">
      <c r="A903" s="9">
        <v>9010</v>
      </c>
      <c r="B903" s="10">
        <f>1-EXP(-((4*Параметры!$B$2/Параметры!$B$3*Параметры!$B$10*Параметры!$B$4)*(Параметры!$B$6*Параметры!$B$7/Параметры!$B$8*1E-24))*(A903*0.0000001)/SIN(RADIANS(Параметры!$B$9)))</f>
        <v>7.3195629760555603E-2</v>
      </c>
      <c r="C903" s="10">
        <f>1-EXP(-((4*Параметры!$B$2/Параметры!$B$3*Параметры!$B$10*Параметры!$B$5)*(Параметры!$B$6*Параметры!$B$7/Параметры!$B$8*1E-24))*(A903*0.0000001)/SIN(RADIANS(Параметры!$B$9)))</f>
        <v>0.28969261756273557</v>
      </c>
    </row>
    <row r="904" spans="1:3" ht="15.75" x14ac:dyDescent="0.25">
      <c r="A904" s="9">
        <v>9020</v>
      </c>
      <c r="B904" s="10">
        <f>1-EXP(-((4*Параметры!$B$2/Параметры!$B$3*Параметры!$B$10*Параметры!$B$4)*(Параметры!$B$6*Параметры!$B$7/Параметры!$B$8*1E-24))*(A904*0.0000001)/SIN(RADIANS(Параметры!$B$9)))</f>
        <v>7.3273816216444798E-2</v>
      </c>
      <c r="C904" s="10">
        <f>1-EXP(-((4*Параметры!$B$2/Параметры!$B$3*Параметры!$B$10*Параметры!$B$5)*(Параметры!$B$6*Параметры!$B$7/Параметры!$B$8*1E-24))*(A904*0.0000001)/SIN(RADIANS(Параметры!$B$9)))</f>
        <v>0.28996222891865753</v>
      </c>
    </row>
    <row r="905" spans="1:3" ht="15.75" x14ac:dyDescent="0.25">
      <c r="A905" s="9">
        <v>9030</v>
      </c>
      <c r="B905" s="10">
        <f>1-EXP(-((4*Параметры!$B$2/Параметры!$B$3*Параметры!$B$10*Параметры!$B$4)*(Параметры!$B$6*Параметры!$B$7/Параметры!$B$8*1E-24))*(A905*0.0000001)/SIN(RADIANS(Параметры!$B$9)))</f>
        <v>7.3351996076420067E-2</v>
      </c>
      <c r="C905" s="10">
        <f>1-EXP(-((4*Параметры!$B$2/Параметры!$B$3*Параметры!$B$10*Параметры!$B$5)*(Параметры!$B$6*Параметры!$B$7/Параметры!$B$8*1E-24))*(A905*0.0000001)/SIN(RADIANS(Параметры!$B$9)))</f>
        <v>0.29023173793820378</v>
      </c>
    </row>
    <row r="906" spans="1:3" ht="15.75" x14ac:dyDescent="0.25">
      <c r="A906" s="9">
        <v>9040</v>
      </c>
      <c r="B906" s="10">
        <f>1-EXP(-((4*Параметры!$B$2/Параметры!$B$3*Параметры!$B$10*Параметры!$B$4)*(Параметры!$B$6*Параметры!$B$7/Параметры!$B$8*1E-24))*(A906*0.0000001)/SIN(RADIANS(Параметры!$B$9)))</f>
        <v>7.3430169341037743E-2</v>
      </c>
      <c r="C906" s="10">
        <f>1-EXP(-((4*Параметры!$B$2/Параметры!$B$3*Параметры!$B$10*Параметры!$B$5)*(Параметры!$B$6*Параметры!$B$7/Параметры!$B$8*1E-24))*(A906*0.0000001)/SIN(RADIANS(Параметры!$B$9)))</f>
        <v>0.29050114466021792</v>
      </c>
    </row>
    <row r="907" spans="1:3" ht="15.75" x14ac:dyDescent="0.25">
      <c r="A907" s="9">
        <v>9050</v>
      </c>
      <c r="B907" s="10">
        <f>1-EXP(-((4*Параметры!$B$2/Параметры!$B$3*Параметры!$B$10*Параметры!$B$4)*(Параметры!$B$6*Параметры!$B$7/Параметры!$B$8*1E-24))*(A907*0.0000001)/SIN(RADIANS(Параметры!$B$9)))</f>
        <v>7.350833601085438E-2</v>
      </c>
      <c r="C907" s="10">
        <f>1-EXP(-((4*Параметры!$B$2/Параметры!$B$3*Параметры!$B$10*Параметры!$B$5)*(Параметры!$B$6*Параметры!$B$7/Параметры!$B$8*1E-24))*(A907*0.0000001)/SIN(RADIANS(Параметры!$B$9)))</f>
        <v>0.29077044912352912</v>
      </c>
    </row>
    <row r="908" spans="1:3" ht="15.75" x14ac:dyDescent="0.25">
      <c r="A908" s="9">
        <v>9060</v>
      </c>
      <c r="B908" s="10">
        <f>1-EXP(-((4*Параметры!$B$2/Параметры!$B$3*Параметры!$B$10*Параметры!$B$4)*(Параметры!$B$6*Параметры!$B$7/Параметры!$B$8*1E-24))*(A908*0.0000001)/SIN(RADIANS(Параметры!$B$9)))</f>
        <v>7.3586496086426201E-2</v>
      </c>
      <c r="C908" s="10">
        <f>1-EXP(-((4*Параметры!$B$2/Параметры!$B$3*Параметры!$B$10*Параметры!$B$5)*(Параметры!$B$6*Параметры!$B$7/Параметры!$B$8*1E-24))*(A908*0.0000001)/SIN(RADIANS(Параметры!$B$9)))</f>
        <v>0.29103965136695176</v>
      </c>
    </row>
    <row r="909" spans="1:3" ht="15.75" x14ac:dyDescent="0.25">
      <c r="A909" s="9">
        <v>9070</v>
      </c>
      <c r="B909" s="10">
        <f>1-EXP(-((4*Параметры!$B$2/Параметры!$B$3*Параметры!$B$10*Параметры!$B$4)*(Параметры!$B$6*Параметры!$B$7/Параметры!$B$8*1E-24))*(A909*0.0000001)/SIN(RADIANS(Параметры!$B$9)))</f>
        <v>7.3664649568309537E-2</v>
      </c>
      <c r="C909" s="10">
        <f>1-EXP(-((4*Параметры!$B$2/Параметры!$B$3*Параметры!$B$10*Параметры!$B$5)*(Параметры!$B$6*Параметры!$B$7/Параметры!$B$8*1E-24))*(A909*0.0000001)/SIN(RADIANS(Параметры!$B$9)))</f>
        <v>0.29130875142928536</v>
      </c>
    </row>
    <row r="910" spans="1:3" ht="15.75" x14ac:dyDescent="0.25">
      <c r="A910" s="9">
        <v>9080</v>
      </c>
      <c r="B910" s="10">
        <f>1-EXP(-((4*Параметры!$B$2/Параметры!$B$3*Параметры!$B$10*Параметры!$B$4)*(Параметры!$B$6*Параметры!$B$7/Параметры!$B$8*1E-24))*(A910*0.0000001)/SIN(RADIANS(Параметры!$B$9)))</f>
        <v>7.3742796457060722E-2</v>
      </c>
      <c r="C910" s="10">
        <f>1-EXP(-((4*Параметры!$B$2/Параметры!$B$3*Параметры!$B$10*Параметры!$B$5)*(Параметры!$B$6*Параметры!$B$7/Параметры!$B$8*1E-24))*(A910*0.0000001)/SIN(RADIANS(Параметры!$B$9)))</f>
        <v>0.2915777493493148</v>
      </c>
    </row>
    <row r="911" spans="1:3" ht="15.75" x14ac:dyDescent="0.25">
      <c r="A911" s="9">
        <v>9090</v>
      </c>
      <c r="B911" s="10">
        <f>1-EXP(-((4*Параметры!$B$2/Параметры!$B$3*Параметры!$B$10*Параметры!$B$4)*(Параметры!$B$6*Параметры!$B$7/Параметры!$B$8*1E-24))*(A911*0.0000001)/SIN(RADIANS(Параметры!$B$9)))</f>
        <v>7.3820936753235755E-2</v>
      </c>
      <c r="C911" s="10">
        <f>1-EXP(-((4*Параметры!$B$2/Параметры!$B$3*Параметры!$B$10*Параметры!$B$5)*(Параметры!$B$6*Параметры!$B$7/Параметры!$B$8*1E-24))*(A911*0.0000001)/SIN(RADIANS(Параметры!$B$9)))</f>
        <v>0.29184664516581038</v>
      </c>
    </row>
    <row r="912" spans="1:3" ht="15.75" x14ac:dyDescent="0.25">
      <c r="A912" s="9">
        <v>9100</v>
      </c>
      <c r="B912" s="10">
        <f>1-EXP(-((4*Параметры!$B$2/Параметры!$B$3*Параметры!$B$10*Параметры!$B$4)*(Параметры!$B$6*Параметры!$B$7/Параметры!$B$8*1E-24))*(A912*0.0000001)/SIN(RADIANS(Параметры!$B$9)))</f>
        <v>7.389907045739097E-2</v>
      </c>
      <c r="C912" s="10">
        <f>1-EXP(-((4*Параметры!$B$2/Параметры!$B$3*Параметры!$B$10*Параметры!$B$5)*(Параметры!$B$6*Параметры!$B$7/Параметры!$B$8*1E-24))*(A912*0.0000001)/SIN(RADIANS(Параметры!$B$9)))</f>
        <v>0.29211543891752734</v>
      </c>
    </row>
    <row r="913" spans="1:3" ht="15.75" x14ac:dyDescent="0.25">
      <c r="A913" s="9">
        <v>9110</v>
      </c>
      <c r="B913" s="10">
        <f>1-EXP(-((4*Параметры!$B$2/Параметры!$B$3*Параметры!$B$10*Параметры!$B$4)*(Параметры!$B$6*Параметры!$B$7/Параметры!$B$8*1E-24))*(A913*0.0000001)/SIN(RADIANS(Параметры!$B$9)))</f>
        <v>7.3977197570082476E-2</v>
      </c>
      <c r="C913" s="10">
        <f>1-EXP(-((4*Параметры!$B$2/Параметры!$B$3*Параметры!$B$10*Параметры!$B$5)*(Параметры!$B$6*Параметры!$B$7/Параметры!$B$8*1E-24))*(A913*0.0000001)/SIN(RADIANS(Параметры!$B$9)))</f>
        <v>0.29238413064320634</v>
      </c>
    </row>
    <row r="914" spans="1:3" ht="15.75" x14ac:dyDescent="0.25">
      <c r="A914" s="9">
        <v>9120</v>
      </c>
      <c r="B914" s="10">
        <f>1-EXP(-((4*Параметры!$B$2/Параметры!$B$3*Параметры!$B$10*Параметры!$B$4)*(Параметры!$B$6*Параметры!$B$7/Параметры!$B$8*1E-24))*(A914*0.0000001)/SIN(RADIANS(Параметры!$B$9)))</f>
        <v>7.4055318091866273E-2</v>
      </c>
      <c r="C914" s="10">
        <f>1-EXP(-((4*Параметры!$B$2/Параметры!$B$3*Параметры!$B$10*Параметры!$B$5)*(Параметры!$B$6*Параметры!$B$7/Параметры!$B$8*1E-24))*(A914*0.0000001)/SIN(RADIANS(Параметры!$B$9)))</f>
        <v>0.29265272038157375</v>
      </c>
    </row>
    <row r="915" spans="1:3" ht="15.75" x14ac:dyDescent="0.25">
      <c r="A915" s="9">
        <v>9130</v>
      </c>
      <c r="B915" s="10">
        <f>1-EXP(-((4*Параметры!$B$2/Параметры!$B$3*Параметры!$B$10*Параметры!$B$4)*(Параметры!$B$6*Параметры!$B$7/Параметры!$B$8*1E-24))*(A915*0.0000001)/SIN(RADIANS(Параметры!$B$9)))</f>
        <v>7.4133432023298362E-2</v>
      </c>
      <c r="C915" s="10">
        <f>1-EXP(-((4*Параметры!$B$2/Параметры!$B$3*Параметры!$B$10*Параметры!$B$5)*(Параметры!$B$6*Параметры!$B$7/Параметры!$B$8*1E-24))*(A915*0.0000001)/SIN(RADIANS(Параметры!$B$9)))</f>
        <v>0.2929212081713406</v>
      </c>
    </row>
    <row r="916" spans="1:3" ht="15.75" x14ac:dyDescent="0.25">
      <c r="A916" s="9">
        <v>9140</v>
      </c>
      <c r="B916" s="10">
        <f>1-EXP(-((4*Параметры!$B$2/Параметры!$B$3*Параметры!$B$10*Параметры!$B$4)*(Параметры!$B$6*Параметры!$B$7/Параметры!$B$8*1E-24))*(A916*0.0000001)/SIN(RADIANS(Параметры!$B$9)))</f>
        <v>7.4211539364934853E-2</v>
      </c>
      <c r="C916" s="10">
        <f>1-EXP(-((4*Параметры!$B$2/Параметры!$B$3*Параметры!$B$10*Параметры!$B$5)*(Параметры!$B$6*Параметры!$B$7/Параметры!$B$8*1E-24))*(A916*0.0000001)/SIN(RADIANS(Параметры!$B$9)))</f>
        <v>0.29318959405120359</v>
      </c>
    </row>
    <row r="917" spans="1:3" ht="15.75" x14ac:dyDescent="0.25">
      <c r="A917" s="9">
        <v>9150</v>
      </c>
      <c r="B917" s="10">
        <f>1-EXP(-((4*Параметры!$B$2/Параметры!$B$3*Параметры!$B$10*Параметры!$B$4)*(Параметры!$B$6*Параметры!$B$7/Параметры!$B$8*1E-24))*(A917*0.0000001)/SIN(RADIANS(Параметры!$B$9)))</f>
        <v>7.4289640117331412E-2</v>
      </c>
      <c r="C917" s="10">
        <f>1-EXP(-((4*Параметры!$B$2/Параметры!$B$3*Параметры!$B$10*Параметры!$B$5)*(Параметры!$B$6*Параметры!$B$7/Параметры!$B$8*1E-24))*(A917*0.0000001)/SIN(RADIANS(Параметры!$B$9)))</f>
        <v>0.29345787805984469</v>
      </c>
    </row>
    <row r="918" spans="1:3" ht="15.75" x14ac:dyDescent="0.25">
      <c r="A918" s="9">
        <v>9160</v>
      </c>
      <c r="B918" s="10">
        <f>1-EXP(-((4*Параметры!$B$2/Параметры!$B$3*Параметры!$B$10*Параметры!$B$4)*(Параметры!$B$6*Параметры!$B$7/Параметры!$B$8*1E-24))*(A918*0.0000001)/SIN(RADIANS(Параметры!$B$9)))</f>
        <v>7.4367734281044151E-2</v>
      </c>
      <c r="C918" s="10">
        <f>1-EXP(-((4*Параметры!$B$2/Параметры!$B$3*Параметры!$B$10*Параметры!$B$5)*(Параметры!$B$6*Параметры!$B$7/Параметры!$B$8*1E-24))*(A918*0.0000001)/SIN(RADIANS(Параметры!$B$9)))</f>
        <v>0.29372606023593117</v>
      </c>
    </row>
    <row r="919" spans="1:3" ht="15.75" x14ac:dyDescent="0.25">
      <c r="A919" s="9">
        <v>9170</v>
      </c>
      <c r="B919" s="10">
        <f>1-EXP(-((4*Параметры!$B$2/Параметры!$B$3*Параметры!$B$10*Параметры!$B$4)*(Параметры!$B$6*Параметры!$B$7/Параметры!$B$8*1E-24))*(A919*0.0000001)/SIN(RADIANS(Параметры!$B$9)))</f>
        <v>7.4445821856628847E-2</v>
      </c>
      <c r="C919" s="10">
        <f>1-EXP(-((4*Параметры!$B$2/Параметры!$B$3*Параметры!$B$10*Параметры!$B$5)*(Параметры!$B$6*Параметры!$B$7/Параметры!$B$8*1E-24))*(A919*0.0000001)/SIN(RADIANS(Параметры!$B$9)))</f>
        <v>0.29399414061811557</v>
      </c>
    </row>
    <row r="920" spans="1:3" ht="15.75" x14ac:dyDescent="0.25">
      <c r="A920" s="9">
        <v>9180</v>
      </c>
      <c r="B920" s="10">
        <f>1-EXP(-((4*Параметры!$B$2/Параметры!$B$3*Параметры!$B$10*Параметры!$B$4)*(Параметры!$B$6*Параметры!$B$7/Параметры!$B$8*1E-24))*(A920*0.0000001)/SIN(RADIANS(Параметры!$B$9)))</f>
        <v>7.4523902844641277E-2</v>
      </c>
      <c r="C920" s="10">
        <f>1-EXP(-((4*Параметры!$B$2/Параметры!$B$3*Параметры!$B$10*Параметры!$B$5)*(Параметры!$B$6*Параметры!$B$7/Параметры!$B$8*1E-24))*(A920*0.0000001)/SIN(RADIANS(Параметры!$B$9)))</f>
        <v>0.29426211924503576</v>
      </c>
    </row>
    <row r="921" spans="1:3" ht="15.75" x14ac:dyDescent="0.25">
      <c r="A921" s="9">
        <v>9190</v>
      </c>
      <c r="B921" s="10">
        <f>1-EXP(-((4*Параметры!$B$2/Параметры!$B$3*Параметры!$B$10*Параметры!$B$4)*(Параметры!$B$6*Параметры!$B$7/Параметры!$B$8*1E-24))*(A921*0.0000001)/SIN(RADIANS(Параметры!$B$9)))</f>
        <v>7.4601977245637108E-2</v>
      </c>
      <c r="C921" s="10">
        <f>1-EXP(-((4*Параметры!$B$2/Параметры!$B$3*Параметры!$B$10*Параметры!$B$5)*(Параметры!$B$6*Параметры!$B$7/Параметры!$B$8*1E-24))*(A921*0.0000001)/SIN(RADIANS(Параметры!$B$9)))</f>
        <v>0.29452999615531505</v>
      </c>
    </row>
    <row r="922" spans="1:3" ht="15.75" x14ac:dyDescent="0.25">
      <c r="A922" s="9">
        <v>9200</v>
      </c>
      <c r="B922" s="10">
        <f>1-EXP(-((4*Параметры!$B$2/Параметры!$B$3*Параметры!$B$10*Параметры!$B$4)*(Параметры!$B$6*Параметры!$B$7/Параметры!$B$8*1E-24))*(A922*0.0000001)/SIN(RADIANS(Параметры!$B$9)))</f>
        <v>7.4680045060172007E-2</v>
      </c>
      <c r="C922" s="10">
        <f>1-EXP(-((4*Параметры!$B$2/Параметры!$B$3*Параметры!$B$10*Параметры!$B$5)*(Параметры!$B$6*Параметры!$B$7/Параметры!$B$8*1E-24))*(A922*0.0000001)/SIN(RADIANS(Параметры!$B$9)))</f>
        <v>0.29479777138756191</v>
      </c>
    </row>
    <row r="923" spans="1:3" ht="15.75" x14ac:dyDescent="0.25">
      <c r="A923" s="9">
        <v>9210</v>
      </c>
      <c r="B923" s="10">
        <f>1-EXP(-((4*Параметры!$B$2/Параметры!$B$3*Параметры!$B$10*Параметры!$B$4)*(Параметры!$B$6*Параметры!$B$7/Параметры!$B$8*1E-24))*(A923*0.0000001)/SIN(RADIANS(Параметры!$B$9)))</f>
        <v>7.4758106288801751E-2</v>
      </c>
      <c r="C923" s="10">
        <f>1-EXP(-((4*Параметры!$B$2/Параметры!$B$3*Параметры!$B$10*Параметры!$B$5)*(Параметры!$B$6*Параметры!$B$7/Параметры!$B$8*1E-24))*(A923*0.0000001)/SIN(RADIANS(Параметры!$B$9)))</f>
        <v>0.29506544498037057</v>
      </c>
    </row>
    <row r="924" spans="1:3" ht="15.75" x14ac:dyDescent="0.25">
      <c r="A924" s="9">
        <v>9220</v>
      </c>
      <c r="B924" s="10">
        <f>1-EXP(-((4*Параметры!$B$2/Параметры!$B$3*Параметры!$B$10*Параметры!$B$4)*(Параметры!$B$6*Параметры!$B$7/Параметры!$B$8*1E-24))*(A924*0.0000001)/SIN(RADIANS(Параметры!$B$9)))</f>
        <v>7.4836160932081897E-2</v>
      </c>
      <c r="C924" s="10">
        <f>1-EXP(-((4*Параметры!$B$2/Параметры!$B$3*Параметры!$B$10*Параметры!$B$5)*(Параметры!$B$6*Параметры!$B$7/Параметры!$B$8*1E-24))*(A924*0.0000001)/SIN(RADIANS(Параметры!$B$9)))</f>
        <v>0.29533301697231995</v>
      </c>
    </row>
    <row r="925" spans="1:3" ht="15.75" x14ac:dyDescent="0.25">
      <c r="A925" s="9">
        <v>9230</v>
      </c>
      <c r="B925" s="10">
        <f>1-EXP(-((4*Параметры!$B$2/Параметры!$B$3*Параметры!$B$10*Параметры!$B$4)*(Параметры!$B$6*Параметры!$B$7/Параметры!$B$8*1E-24))*(A925*0.0000001)/SIN(RADIANS(Параметры!$B$9)))</f>
        <v>7.4914208990567999E-2</v>
      </c>
      <c r="C925" s="10">
        <f>1-EXP(-((4*Параметры!$B$2/Параметры!$B$3*Параметры!$B$10*Параметры!$B$5)*(Параметры!$B$6*Параметры!$B$7/Параметры!$B$8*1E-24))*(A925*0.0000001)/SIN(RADIANS(Параметры!$B$9)))</f>
        <v>0.29560048740197487</v>
      </c>
    </row>
    <row r="926" spans="1:3" ht="15.75" x14ac:dyDescent="0.25">
      <c r="A926" s="9">
        <v>9240</v>
      </c>
      <c r="B926" s="10">
        <f>1-EXP(-((4*Параметры!$B$2/Параметры!$B$3*Параметры!$B$10*Параметры!$B$4)*(Параметры!$B$6*Параметры!$B$7/Параметры!$B$8*1E-24))*(A926*0.0000001)/SIN(RADIANS(Параметры!$B$9)))</f>
        <v>7.4992250464815502E-2</v>
      </c>
      <c r="C926" s="10">
        <f>1-EXP(-((4*Параметры!$B$2/Параметры!$B$3*Параметры!$B$10*Параметры!$B$5)*(Параметры!$B$6*Параметры!$B$7/Параметры!$B$8*1E-24))*(A926*0.0000001)/SIN(RADIANS(Параметры!$B$9)))</f>
        <v>0.29586785630788526</v>
      </c>
    </row>
    <row r="927" spans="1:3" ht="15.75" x14ac:dyDescent="0.25">
      <c r="A927" s="9">
        <v>9250</v>
      </c>
      <c r="B927" s="10">
        <f>1-EXP(-((4*Параметры!$B$2/Параметры!$B$3*Параметры!$B$10*Параметры!$B$4)*(Параметры!$B$6*Параметры!$B$7/Параметры!$B$8*1E-24))*(A927*0.0000001)/SIN(RADIANS(Параметры!$B$9)))</f>
        <v>7.5070285355379851E-2</v>
      </c>
      <c r="C927" s="10">
        <f>1-EXP(-((4*Параметры!$B$2/Параметры!$B$3*Параметры!$B$10*Параметры!$B$5)*(Параметры!$B$6*Параметры!$B$7/Параметры!$B$8*1E-24))*(A927*0.0000001)/SIN(RADIANS(Параметры!$B$9)))</f>
        <v>0.29613512372858664</v>
      </c>
    </row>
    <row r="928" spans="1:3" ht="15.75" x14ac:dyDescent="0.25">
      <c r="A928" s="9">
        <v>9260</v>
      </c>
      <c r="B928" s="10">
        <f>1-EXP(-((4*Параметры!$B$2/Параметры!$B$3*Параметры!$B$10*Параметры!$B$4)*(Параметры!$B$6*Параметры!$B$7/Параметры!$B$8*1E-24))*(A928*0.0000001)/SIN(RADIANS(Параметры!$B$9)))</f>
        <v>7.514831366281649E-2</v>
      </c>
      <c r="C928" s="10">
        <f>1-EXP(-((4*Параметры!$B$2/Параметры!$B$3*Параметры!$B$10*Параметры!$B$5)*(Параметры!$B$6*Параметры!$B$7/Параметры!$B$8*1E-24))*(A928*0.0000001)/SIN(RADIANS(Параметры!$B$9)))</f>
        <v>0.29640228970259952</v>
      </c>
    </row>
    <row r="929" spans="1:3" ht="15.75" x14ac:dyDescent="0.25">
      <c r="A929" s="9">
        <v>9270</v>
      </c>
      <c r="B929" s="10">
        <f>1-EXP(-((4*Параметры!$B$2/Параметры!$B$3*Параметры!$B$10*Параметры!$B$4)*(Параметры!$B$6*Параметры!$B$7/Параметры!$B$8*1E-24))*(A929*0.0000001)/SIN(RADIANS(Параметры!$B$9)))</f>
        <v>7.5226335387680865E-2</v>
      </c>
      <c r="C929" s="10">
        <f>1-EXP(-((4*Параметры!$B$2/Параметры!$B$3*Параметры!$B$10*Параметры!$B$5)*(Параметры!$B$6*Параметры!$B$7/Параметры!$B$8*1E-24))*(A929*0.0000001)/SIN(RADIANS(Параметры!$B$9)))</f>
        <v>0.29666935426843011</v>
      </c>
    </row>
    <row r="930" spans="1:3" ht="15.75" x14ac:dyDescent="0.25">
      <c r="A930" s="9">
        <v>9280</v>
      </c>
      <c r="B930" s="10">
        <f>1-EXP(-((4*Параметры!$B$2/Параметры!$B$3*Параметры!$B$10*Параметры!$B$4)*(Параметры!$B$6*Параметры!$B$7/Параметры!$B$8*1E-24))*(A930*0.0000001)/SIN(RADIANS(Параметры!$B$9)))</f>
        <v>7.5304350530528197E-2</v>
      </c>
      <c r="C930" s="10">
        <f>1-EXP(-((4*Параметры!$B$2/Параметры!$B$3*Параметры!$B$10*Параметры!$B$5)*(Параметры!$B$6*Параметры!$B$7/Параметры!$B$8*1E-24))*(A930*0.0000001)/SIN(RADIANS(Параметры!$B$9)))</f>
        <v>0.29693631746456994</v>
      </c>
    </row>
    <row r="931" spans="1:3" ht="15.75" x14ac:dyDescent="0.25">
      <c r="A931" s="9">
        <v>9290</v>
      </c>
      <c r="B931" s="10">
        <f>1-EXP(-((4*Параметры!$B$2/Параметры!$B$3*Параметры!$B$10*Параметры!$B$4)*(Параметры!$B$6*Параметры!$B$7/Параметры!$B$8*1E-24))*(A931*0.0000001)/SIN(RADIANS(Параметры!$B$9)))</f>
        <v>7.5382359091913709E-2</v>
      </c>
      <c r="C931" s="10">
        <f>1-EXP(-((4*Параметры!$B$2/Параметры!$B$3*Параметры!$B$10*Параметры!$B$5)*(Параметры!$B$6*Параметры!$B$7/Параметры!$B$8*1E-24))*(A931*0.0000001)/SIN(RADIANS(Параметры!$B$9)))</f>
        <v>0.29720317932949591</v>
      </c>
    </row>
    <row r="932" spans="1:3" ht="15.75" x14ac:dyDescent="0.25">
      <c r="A932" s="9">
        <v>9300</v>
      </c>
      <c r="B932" s="10">
        <f>1-EXP(-((4*Параметры!$B$2/Параметры!$B$3*Параметры!$B$10*Параметры!$B$4)*(Параметры!$B$6*Параметры!$B$7/Параметры!$B$8*1E-24))*(A932*0.0000001)/SIN(RADIANS(Параметры!$B$9)))</f>
        <v>7.5460361072392623E-2</v>
      </c>
      <c r="C932" s="10">
        <f>1-EXP(-((4*Параметры!$B$2/Параметры!$B$3*Параметры!$B$10*Параметры!$B$5)*(Параметры!$B$6*Параметры!$B$7/Параметры!$B$8*1E-24))*(A932*0.0000001)/SIN(RADIANS(Параметры!$B$9)))</f>
        <v>0.29746993990167037</v>
      </c>
    </row>
    <row r="933" spans="1:3" ht="15.75" x14ac:dyDescent="0.25">
      <c r="A933" s="9">
        <v>9310</v>
      </c>
      <c r="B933" s="10">
        <f>1-EXP(-((4*Параметры!$B$2/Параметры!$B$3*Параметры!$B$10*Параметры!$B$4)*(Параметры!$B$6*Параметры!$B$7/Параметры!$B$8*1E-24))*(A933*0.0000001)/SIN(RADIANS(Параметры!$B$9)))</f>
        <v>7.5538356472520274E-2</v>
      </c>
      <c r="C933" s="10">
        <f>1-EXP(-((4*Параметры!$B$2/Параметры!$B$3*Параметры!$B$10*Параметры!$B$5)*(Параметры!$B$6*Параметры!$B$7/Параметры!$B$8*1E-24))*(A933*0.0000001)/SIN(RADIANS(Параметры!$B$9)))</f>
        <v>0.29773659921954077</v>
      </c>
    </row>
    <row r="934" spans="1:3" ht="15.75" x14ac:dyDescent="0.25">
      <c r="A934" s="9">
        <v>9320</v>
      </c>
      <c r="B934" s="10">
        <f>1-EXP(-((4*Параметры!$B$2/Параметры!$B$3*Параметры!$B$10*Параметры!$B$4)*(Параметры!$B$6*Параметры!$B$7/Параметры!$B$8*1E-24))*(A934*0.0000001)/SIN(RADIANS(Параметры!$B$9)))</f>
        <v>7.5616345292851661E-2</v>
      </c>
      <c r="C934" s="10">
        <f>1-EXP(-((4*Параметры!$B$2/Параметры!$B$3*Параметры!$B$10*Параметры!$B$5)*(Параметры!$B$6*Параметры!$B$7/Параметры!$B$8*1E-24))*(A934*0.0000001)/SIN(RADIANS(Параметры!$B$9)))</f>
        <v>0.29800315732154048</v>
      </c>
    </row>
    <row r="935" spans="1:3" ht="15.75" x14ac:dyDescent="0.25">
      <c r="A935" s="9">
        <v>9330</v>
      </c>
      <c r="B935" s="10">
        <f>1-EXP(-((4*Параметры!$B$2/Параметры!$B$3*Параметры!$B$10*Параметры!$B$4)*(Параметры!$B$6*Параметры!$B$7/Параметры!$B$8*1E-24))*(A935*0.0000001)/SIN(RADIANS(Параметры!$B$9)))</f>
        <v>7.5694327533941896E-2</v>
      </c>
      <c r="C935" s="10">
        <f>1-EXP(-((4*Параметры!$B$2/Параметры!$B$3*Параметры!$B$10*Параметры!$B$5)*(Параметры!$B$6*Параметры!$B$7/Параметры!$B$8*1E-24))*(A935*0.0000001)/SIN(RADIANS(Параметры!$B$9)))</f>
        <v>0.29826961424608778</v>
      </c>
    </row>
    <row r="936" spans="1:3" ht="15.75" x14ac:dyDescent="0.25">
      <c r="A936" s="9">
        <v>9340</v>
      </c>
      <c r="B936" s="10">
        <f>1-EXP(-((4*Параметры!$B$2/Параметры!$B$3*Параметры!$B$10*Параметры!$B$4)*(Параметры!$B$6*Параметры!$B$7/Параметры!$B$8*1E-24))*(A936*0.0000001)/SIN(RADIANS(Параметры!$B$9)))</f>
        <v>7.577230319634598E-2</v>
      </c>
      <c r="C936" s="10">
        <f>1-EXP(-((4*Параметры!$B$2/Параметры!$B$3*Параметры!$B$10*Параметры!$B$5)*(Параметры!$B$6*Параметры!$B$7/Параметры!$B$8*1E-24))*(A936*0.0000001)/SIN(RADIANS(Параметры!$B$9)))</f>
        <v>0.29853597003158672</v>
      </c>
    </row>
    <row r="937" spans="1:3" ht="15.75" x14ac:dyDescent="0.25">
      <c r="A937" s="9">
        <v>9350</v>
      </c>
      <c r="B937" s="10">
        <f>1-EXP(-((4*Параметры!$B$2/Параметры!$B$3*Параметры!$B$10*Параметры!$B$4)*(Параметры!$B$6*Параметры!$B$7/Параметры!$B$8*1E-24))*(A937*0.0000001)/SIN(RADIANS(Параметры!$B$9)))</f>
        <v>7.5850272280618913E-2</v>
      </c>
      <c r="C937" s="10">
        <f>1-EXP(-((4*Параметры!$B$2/Параметры!$B$3*Параметры!$B$10*Параметры!$B$5)*(Параметры!$B$6*Параметры!$B$7/Параметры!$B$8*1E-24))*(A937*0.0000001)/SIN(RADIANS(Параметры!$B$9)))</f>
        <v>0.29880222471642659</v>
      </c>
    </row>
    <row r="938" spans="1:3" ht="15.75" x14ac:dyDescent="0.25">
      <c r="A938" s="9">
        <v>9360</v>
      </c>
      <c r="B938" s="10">
        <f>1-EXP(-((4*Параметры!$B$2/Параметры!$B$3*Параметры!$B$10*Параметры!$B$4)*(Параметры!$B$6*Параметры!$B$7/Параметры!$B$8*1E-24))*(A938*0.0000001)/SIN(RADIANS(Параметры!$B$9)))</f>
        <v>7.5928234787315585E-2</v>
      </c>
      <c r="C938" s="10">
        <f>1-EXP(-((4*Параметры!$B$2/Параметры!$B$3*Параметры!$B$10*Параметры!$B$5)*(Параметры!$B$6*Параметры!$B$7/Параметры!$B$8*1E-24))*(A938*0.0000001)/SIN(RADIANS(Параметры!$B$9)))</f>
        <v>0.29906837833898225</v>
      </c>
    </row>
    <row r="939" spans="1:3" ht="15.75" x14ac:dyDescent="0.25">
      <c r="A939" s="9">
        <v>9370</v>
      </c>
      <c r="B939" s="10">
        <f>1-EXP(-((4*Параметры!$B$2/Параметры!$B$3*Параметры!$B$10*Параметры!$B$4)*(Параметры!$B$6*Параметры!$B$7/Параметры!$B$8*1E-24))*(A939*0.0000001)/SIN(RADIANS(Параметры!$B$9)))</f>
        <v>7.6006190716991107E-2</v>
      </c>
      <c r="C939" s="10">
        <f>1-EXP(-((4*Параметры!$B$2/Параметры!$B$3*Параметры!$B$10*Параметры!$B$5)*(Параметры!$B$6*Параметры!$B$7/Параметры!$B$8*1E-24))*(A939*0.0000001)/SIN(RADIANS(Параметры!$B$9)))</f>
        <v>0.29933443093761392</v>
      </c>
    </row>
    <row r="940" spans="1:3" ht="15.75" x14ac:dyDescent="0.25">
      <c r="A940" s="9">
        <v>9380</v>
      </c>
      <c r="B940" s="10">
        <f>1-EXP(-((4*Параметры!$B$2/Параметры!$B$3*Параметры!$B$10*Параметры!$B$4)*(Параметры!$B$6*Параметры!$B$7/Параметры!$B$8*1E-24))*(A940*0.0000001)/SIN(RADIANS(Параметры!$B$9)))</f>
        <v>7.6084140070200035E-2</v>
      </c>
      <c r="C940" s="10">
        <f>1-EXP(-((4*Параметры!$B$2/Параметры!$B$3*Параметры!$B$10*Параметры!$B$5)*(Параметры!$B$6*Параметры!$B$7/Параметры!$B$8*1E-24))*(A940*0.0000001)/SIN(RADIANS(Параметры!$B$9)))</f>
        <v>0.29960038255066701</v>
      </c>
    </row>
    <row r="941" spans="1:3" ht="15.75" x14ac:dyDescent="0.25">
      <c r="A941" s="9">
        <v>9390</v>
      </c>
      <c r="B941" s="10">
        <f>1-EXP(-((4*Параметры!$B$2/Параметры!$B$3*Параметры!$B$10*Параметры!$B$4)*(Параметры!$B$6*Параметры!$B$7/Параметры!$B$8*1E-24))*(A941*0.0000001)/SIN(RADIANS(Параметры!$B$9)))</f>
        <v>7.616208284749737E-2</v>
      </c>
      <c r="C941" s="10">
        <f>1-EXP(-((4*Параметры!$B$2/Параметры!$B$3*Параметры!$B$10*Параметры!$B$5)*(Параметры!$B$6*Параметры!$B$7/Параметры!$B$8*1E-24))*(A941*0.0000001)/SIN(RADIANS(Параметры!$B$9)))</f>
        <v>0.29986623321647288</v>
      </c>
    </row>
    <row r="942" spans="1:3" ht="15.75" x14ac:dyDescent="0.25">
      <c r="A942" s="9">
        <v>9400</v>
      </c>
      <c r="B942" s="10">
        <f>1-EXP(-((4*Параметры!$B$2/Параметры!$B$3*Параметры!$B$10*Параметры!$B$4)*(Параметры!$B$6*Параметры!$B$7/Параметры!$B$8*1E-24))*(A942*0.0000001)/SIN(RADIANS(Параметры!$B$9)))</f>
        <v>7.6240019049437779E-2</v>
      </c>
      <c r="C942" s="10">
        <f>1-EXP(-((4*Параметры!$B$2/Параметры!$B$3*Параметры!$B$10*Параметры!$B$5)*(Параметры!$B$6*Параметры!$B$7/Параметры!$B$8*1E-24))*(A942*0.0000001)/SIN(RADIANS(Параметры!$B$9)))</f>
        <v>0.30013198297334798</v>
      </c>
    </row>
    <row r="943" spans="1:3" ht="15.75" x14ac:dyDescent="0.25">
      <c r="A943" s="9">
        <v>9410</v>
      </c>
      <c r="B943" s="10">
        <f>1-EXP(-((4*Параметры!$B$2/Параметры!$B$3*Параметры!$B$10*Параметры!$B$4)*(Параметры!$B$6*Параметры!$B$7/Параметры!$B$8*1E-24))*(A943*0.0000001)/SIN(RADIANS(Параметры!$B$9)))</f>
        <v>7.6317948676576042E-2</v>
      </c>
      <c r="C943" s="10">
        <f>1-EXP(-((4*Параметры!$B$2/Параметры!$B$3*Параметры!$B$10*Параметры!$B$5)*(Параметры!$B$6*Параметры!$B$7/Параметры!$B$8*1E-24))*(A943*0.0000001)/SIN(RADIANS(Параметры!$B$9)))</f>
        <v>0.30039763185959434</v>
      </c>
    </row>
    <row r="944" spans="1:3" ht="15.75" x14ac:dyDescent="0.25">
      <c r="A944" s="9">
        <v>9420</v>
      </c>
      <c r="B944" s="10">
        <f>1-EXP(-((4*Параметры!$B$2/Параметры!$B$3*Параметры!$B$10*Параметры!$B$4)*(Параметры!$B$6*Параметры!$B$7/Параметры!$B$8*1E-24))*(A944*0.0000001)/SIN(RADIANS(Параметры!$B$9)))</f>
        <v>7.6395871729466602E-2</v>
      </c>
      <c r="C944" s="10">
        <f>1-EXP(-((4*Параметры!$B$2/Параметры!$B$3*Параметры!$B$10*Параметры!$B$5)*(Параметры!$B$6*Параметры!$B$7/Параметры!$B$8*1E-24))*(A944*0.0000001)/SIN(RADIANS(Параметры!$B$9)))</f>
        <v>0.30066317991349933</v>
      </c>
    </row>
    <row r="945" spans="1:3" ht="15.75" x14ac:dyDescent="0.25">
      <c r="A945" s="9">
        <v>9430</v>
      </c>
      <c r="B945" s="10">
        <f>1-EXP(-((4*Параметры!$B$2/Параметры!$B$3*Параметры!$B$10*Параметры!$B$4)*(Параметры!$B$6*Параметры!$B$7/Параметры!$B$8*1E-24))*(A945*0.0000001)/SIN(RADIANS(Параметры!$B$9)))</f>
        <v>7.6473788208664351E-2</v>
      </c>
      <c r="C945" s="10">
        <f>1-EXP(-((4*Параметры!$B$2/Параметры!$B$3*Параметры!$B$10*Параметры!$B$5)*(Параметры!$B$6*Параметры!$B$7/Параметры!$B$8*1E-24))*(A945*0.0000001)/SIN(RADIANS(Параметры!$B$9)))</f>
        <v>0.30092862717333591</v>
      </c>
    </row>
    <row r="946" spans="1:3" ht="15.75" x14ac:dyDescent="0.25">
      <c r="A946" s="9">
        <v>9440</v>
      </c>
      <c r="B946" s="10">
        <f>1-EXP(-((4*Параметры!$B$2/Параметры!$B$3*Параметры!$B$10*Параметры!$B$4)*(Параметры!$B$6*Параметры!$B$7/Параметры!$B$8*1E-24))*(A946*0.0000001)/SIN(RADIANS(Параметры!$B$9)))</f>
        <v>7.6551698114723732E-2</v>
      </c>
      <c r="C946" s="10">
        <f>1-EXP(-((4*Параметры!$B$2/Параметры!$B$3*Параметры!$B$10*Параметры!$B$5)*(Параметры!$B$6*Параметры!$B$7/Параметры!$B$8*1E-24))*(A946*0.0000001)/SIN(RADIANS(Параметры!$B$9)))</f>
        <v>0.30119397367736256</v>
      </c>
    </row>
    <row r="947" spans="1:3" ht="15.75" x14ac:dyDescent="0.25">
      <c r="A947" s="9">
        <v>9450</v>
      </c>
      <c r="B947" s="10">
        <f>1-EXP(-((4*Параметры!$B$2/Параметры!$B$3*Параметры!$B$10*Параметры!$B$4)*(Параметры!$B$6*Параметры!$B$7/Параметры!$B$8*1E-24))*(A947*0.0000001)/SIN(RADIANS(Параметры!$B$9)))</f>
        <v>7.6629601448199192E-2</v>
      </c>
      <c r="C947" s="10">
        <f>1-EXP(-((4*Параметры!$B$2/Параметры!$B$3*Параметры!$B$10*Параметры!$B$5)*(Параметры!$B$6*Параметры!$B$7/Параметры!$B$8*1E-24))*(A947*0.0000001)/SIN(RADIANS(Параметры!$B$9)))</f>
        <v>0.30145921946382315</v>
      </c>
    </row>
    <row r="948" spans="1:3" ht="15.75" x14ac:dyDescent="0.25">
      <c r="A948" s="9">
        <v>9460</v>
      </c>
      <c r="B948" s="10">
        <f>1-EXP(-((4*Параметры!$B$2/Параметры!$B$3*Параметры!$B$10*Параметры!$B$4)*(Параметры!$B$6*Параметры!$B$7/Параметры!$B$8*1E-24))*(A948*0.0000001)/SIN(RADIANS(Параметры!$B$9)))</f>
        <v>7.6707498209645397E-2</v>
      </c>
      <c r="C948" s="10">
        <f>1-EXP(-((4*Параметры!$B$2/Параметры!$B$3*Параметры!$B$10*Параметры!$B$5)*(Параметры!$B$6*Параметры!$B$7/Параметры!$B$8*1E-24))*(A948*0.0000001)/SIN(RADIANS(Параметры!$B$9)))</f>
        <v>0.30172436457094698</v>
      </c>
    </row>
    <row r="949" spans="1:3" ht="15.75" x14ac:dyDescent="0.25">
      <c r="A949" s="9">
        <v>9470</v>
      </c>
      <c r="B949" s="10">
        <f>1-EXP(-((4*Параметры!$B$2/Параметры!$B$3*Параметры!$B$10*Параметры!$B$4)*(Параметры!$B$6*Параметры!$B$7/Параметры!$B$8*1E-24))*(A949*0.0000001)/SIN(RADIANS(Параметры!$B$9)))</f>
        <v>7.6785388399616572E-2</v>
      </c>
      <c r="C949" s="10">
        <f>1-EXP(-((4*Параметры!$B$2/Параметры!$B$3*Параметры!$B$10*Параметры!$B$5)*(Параметры!$B$6*Параметры!$B$7/Параметры!$B$8*1E-24))*(A949*0.0000001)/SIN(RADIANS(Параметры!$B$9)))</f>
        <v>0.30198940903694893</v>
      </c>
    </row>
    <row r="950" spans="1:3" ht="15.75" x14ac:dyDescent="0.25">
      <c r="A950" s="9">
        <v>9480</v>
      </c>
      <c r="B950" s="10">
        <f>1-EXP(-((4*Параметры!$B$2/Параметры!$B$3*Параметры!$B$10*Параметры!$B$4)*(Параметры!$B$6*Параметры!$B$7/Параметры!$B$8*1E-24))*(A950*0.0000001)/SIN(RADIANS(Параметры!$B$9)))</f>
        <v>7.6863272018667161E-2</v>
      </c>
      <c r="C950" s="10">
        <f>1-EXP(-((4*Параметры!$B$2/Параметры!$B$3*Параметры!$B$10*Параметры!$B$5)*(Параметры!$B$6*Параметры!$B$7/Параметры!$B$8*1E-24))*(A950*0.0000001)/SIN(RADIANS(Параметры!$B$9)))</f>
        <v>0.30225435290002933</v>
      </c>
    </row>
    <row r="951" spans="1:3" ht="15.75" x14ac:dyDescent="0.25">
      <c r="A951" s="9">
        <v>9490</v>
      </c>
      <c r="B951" s="10">
        <f>1-EXP(-((4*Параметры!$B$2/Параметры!$B$3*Параметры!$B$10*Параметры!$B$4)*(Параметры!$B$6*Параметры!$B$7/Параметры!$B$8*1E-24))*(A951*0.0000001)/SIN(RADIANS(Параметры!$B$9)))</f>
        <v>7.6941149067351611E-2</v>
      </c>
      <c r="C951" s="10">
        <f>1-EXP(-((4*Параметры!$B$2/Параметры!$B$3*Параметры!$B$10*Параметры!$B$5)*(Параметры!$B$6*Параметры!$B$7/Параметры!$B$8*1E-24))*(A951*0.0000001)/SIN(RADIANS(Параметры!$B$9)))</f>
        <v>0.30251919619837409</v>
      </c>
    </row>
    <row r="952" spans="1:3" ht="15.75" x14ac:dyDescent="0.25">
      <c r="A952" s="9">
        <v>9500</v>
      </c>
      <c r="B952" s="10">
        <f>1-EXP(-((4*Параметры!$B$2/Параметры!$B$3*Параметры!$B$10*Параметры!$B$4)*(Параметры!$B$6*Параметры!$B$7/Параметры!$B$8*1E-24))*(A952*0.0000001)/SIN(RADIANS(Параметры!$B$9)))</f>
        <v>7.7019019546224032E-2</v>
      </c>
      <c r="C952" s="10">
        <f>1-EXP(-((4*Параметры!$B$2/Параметры!$B$3*Параметры!$B$10*Параметры!$B$5)*(Параметры!$B$6*Параметры!$B$7/Параметры!$B$8*1E-24))*(A952*0.0000001)/SIN(RADIANS(Параметры!$B$9)))</f>
        <v>0.30278393897015454</v>
      </c>
    </row>
    <row r="953" spans="1:3" ht="15.75" x14ac:dyDescent="0.25">
      <c r="A953" s="9">
        <v>9510</v>
      </c>
      <c r="B953" s="10">
        <f>1-EXP(-((4*Параметры!$B$2/Параметры!$B$3*Параметры!$B$10*Параметры!$B$4)*(Параметры!$B$6*Параметры!$B$7/Параметры!$B$8*1E-24))*(A953*0.0000001)/SIN(RADIANS(Параметры!$B$9)))</f>
        <v>7.709688345583865E-2</v>
      </c>
      <c r="C953" s="10">
        <f>1-EXP(-((4*Параметры!$B$2/Параметры!$B$3*Параметры!$B$10*Параметры!$B$5)*(Параметры!$B$6*Параметры!$B$7/Параметры!$B$8*1E-24))*(A953*0.0000001)/SIN(RADIANS(Параметры!$B$9)))</f>
        <v>0.3030485812535274</v>
      </c>
    </row>
    <row r="954" spans="1:3" ht="15.75" x14ac:dyDescent="0.25">
      <c r="A954" s="9">
        <v>9520</v>
      </c>
      <c r="B954" s="10">
        <f>1-EXP(-((4*Параметры!$B$2/Параметры!$B$3*Параметры!$B$10*Параметры!$B$4)*(Параметры!$B$6*Параметры!$B$7/Параметры!$B$8*1E-24))*(A954*0.0000001)/SIN(RADIANS(Параметры!$B$9)))</f>
        <v>7.7174740796749908E-2</v>
      </c>
      <c r="C954" s="10">
        <f>1-EXP(-((4*Параметры!$B$2/Параметры!$B$3*Параметры!$B$10*Параметры!$B$5)*(Параметры!$B$6*Параметры!$B$7/Параметры!$B$8*1E-24))*(A954*0.0000001)/SIN(RADIANS(Параметры!$B$9)))</f>
        <v>0.30331312308663527</v>
      </c>
    </row>
    <row r="955" spans="1:3" ht="15.75" x14ac:dyDescent="0.25">
      <c r="A955" s="9">
        <v>9530</v>
      </c>
      <c r="B955" s="10">
        <f>1-EXP(-((4*Параметры!$B$2/Параметры!$B$3*Параметры!$B$10*Параметры!$B$4)*(Параметры!$B$6*Параметры!$B$7/Параметры!$B$8*1E-24))*(A955*0.0000001)/SIN(RADIANS(Параметры!$B$9)))</f>
        <v>7.7252591569511697E-2</v>
      </c>
      <c r="C955" s="10">
        <f>1-EXP(-((4*Параметры!$B$2/Параметры!$B$3*Параметры!$B$10*Параметры!$B$5)*(Параметры!$B$6*Параметры!$B$7/Параметры!$B$8*1E-24))*(A955*0.0000001)/SIN(RADIANS(Параметры!$B$9)))</f>
        <v>0.30357756450760598</v>
      </c>
    </row>
    <row r="956" spans="1:3" ht="15.75" x14ac:dyDescent="0.25">
      <c r="A956" s="9">
        <v>9540</v>
      </c>
      <c r="B956" s="10">
        <f>1-EXP(-((4*Параметры!$B$2/Параметры!$B$3*Параметры!$B$10*Параметры!$B$4)*(Параметры!$B$6*Параметры!$B$7/Параметры!$B$8*1E-24))*(A956*0.0000001)/SIN(RADIANS(Параметры!$B$9)))</f>
        <v>7.7330435774678241E-2</v>
      </c>
      <c r="C956" s="10">
        <f>1-EXP(-((4*Параметры!$B$2/Параметры!$B$3*Параметры!$B$10*Параметры!$B$5)*(Параметры!$B$6*Параметры!$B$7/Параметры!$B$8*1E-24))*(A956*0.0000001)/SIN(RADIANS(Параметры!$B$9)))</f>
        <v>0.30384190555455293</v>
      </c>
    </row>
    <row r="957" spans="1:3" ht="15.75" x14ac:dyDescent="0.25">
      <c r="A957" s="9">
        <v>9550</v>
      </c>
      <c r="B957" s="10">
        <f>1-EXP(-((4*Параметры!$B$2/Параметры!$B$3*Параметры!$B$10*Параметры!$B$4)*(Параметры!$B$6*Параметры!$B$7/Параметры!$B$8*1E-24))*(A957*0.0000001)/SIN(RADIANS(Параметры!$B$9)))</f>
        <v>7.740827341280343E-2</v>
      </c>
      <c r="C957" s="10">
        <f>1-EXP(-((4*Параметры!$B$2/Параметры!$B$3*Параметры!$B$10*Параметры!$B$5)*(Параметры!$B$6*Параметры!$B$7/Параметры!$B$8*1E-24))*(A957*0.0000001)/SIN(RADIANS(Параметры!$B$9)))</f>
        <v>0.30410614626557508</v>
      </c>
    </row>
    <row r="958" spans="1:3" ht="15.75" x14ac:dyDescent="0.25">
      <c r="A958" s="9">
        <v>9560</v>
      </c>
      <c r="B958" s="10">
        <f>1-EXP(-((4*Параметры!$B$2/Параметры!$B$3*Параметры!$B$10*Параметры!$B$4)*(Параметры!$B$6*Параметры!$B$7/Параметры!$B$8*1E-24))*(A958*0.0000001)/SIN(RADIANS(Параметры!$B$9)))</f>
        <v>7.7486104484441487E-2</v>
      </c>
      <c r="C958" s="10">
        <f>1-EXP(-((4*Параметры!$B$2/Параметры!$B$3*Параметры!$B$10*Параметры!$B$5)*(Параметры!$B$6*Параметры!$B$7/Параметры!$B$8*1E-24))*(A958*0.0000001)/SIN(RADIANS(Параметры!$B$9)))</f>
        <v>0.30437028667875698</v>
      </c>
    </row>
    <row r="959" spans="1:3" ht="15.75" x14ac:dyDescent="0.25">
      <c r="A959" s="9">
        <v>9570</v>
      </c>
      <c r="B959" s="10">
        <f>1-EXP(-((4*Параметры!$B$2/Параметры!$B$3*Параметры!$B$10*Параметры!$B$4)*(Параметры!$B$6*Параметры!$B$7/Параметры!$B$8*1E-24))*(A959*0.0000001)/SIN(RADIANS(Параметры!$B$9)))</f>
        <v>7.7563928990146302E-2</v>
      </c>
      <c r="C959" s="10">
        <f>1-EXP(-((4*Параметры!$B$2/Параметры!$B$3*Параметры!$B$10*Параметры!$B$5)*(Параметры!$B$6*Параметры!$B$7/Параметры!$B$8*1E-24))*(A959*0.0000001)/SIN(RADIANS(Параметры!$B$9)))</f>
        <v>0.30463432683216862</v>
      </c>
    </row>
    <row r="960" spans="1:3" ht="15.75" x14ac:dyDescent="0.25">
      <c r="A960" s="9">
        <v>9580</v>
      </c>
      <c r="B960" s="10">
        <f>1-EXP(-((4*Параметры!$B$2/Параметры!$B$3*Параметры!$B$10*Параметры!$B$4)*(Параметры!$B$6*Параметры!$B$7/Параметры!$B$8*1E-24))*(A960*0.0000001)/SIN(RADIANS(Параметры!$B$9)))</f>
        <v>7.7641746930471767E-2</v>
      </c>
      <c r="C960" s="10">
        <f>1-EXP(-((4*Параметры!$B$2/Параметры!$B$3*Параметры!$B$10*Параметры!$B$5)*(Параметры!$B$6*Параметры!$B$7/Параметры!$B$8*1E-24))*(A960*0.0000001)/SIN(RADIANS(Параметры!$B$9)))</f>
        <v>0.30489826676386567</v>
      </c>
    </row>
    <row r="961" spans="1:3" ht="15.75" x14ac:dyDescent="0.25">
      <c r="A961" s="9">
        <v>9590</v>
      </c>
      <c r="B961" s="10">
        <f>1-EXP(-((4*Параметры!$B$2/Параметры!$B$3*Параметры!$B$10*Параметры!$B$4)*(Параметры!$B$6*Параметры!$B$7/Параметры!$B$8*1E-24))*(A961*0.0000001)/SIN(RADIANS(Параметры!$B$9)))</f>
        <v>7.7719558305971659E-2</v>
      </c>
      <c r="C961" s="10">
        <f>1-EXP(-((4*Параметры!$B$2/Параметры!$B$3*Параметры!$B$10*Параметры!$B$5)*(Параметры!$B$6*Параметры!$B$7/Параметры!$B$8*1E-24))*(A961*0.0000001)/SIN(RADIANS(Параметры!$B$9)))</f>
        <v>0.30516210651188924</v>
      </c>
    </row>
    <row r="962" spans="1:3" ht="15.75" x14ac:dyDescent="0.25">
      <c r="A962" s="9">
        <v>9600</v>
      </c>
      <c r="B962" s="10">
        <f>1-EXP(-((4*Параметры!$B$2/Параметры!$B$3*Параметры!$B$10*Параметры!$B$4)*(Параметры!$B$6*Параметры!$B$7/Параметры!$B$8*1E-24))*(A962*0.0000001)/SIN(RADIANS(Параметры!$B$9)))</f>
        <v>7.7797363117199869E-2</v>
      </c>
      <c r="C962" s="10">
        <f>1-EXP(-((4*Параметры!$B$2/Параметры!$B$3*Параметры!$B$10*Параметры!$B$5)*(Параметры!$B$6*Параметры!$B$7/Параметры!$B$8*1E-24))*(A962*0.0000001)/SIN(RADIANS(Параметры!$B$9)))</f>
        <v>0.30542584611426604</v>
      </c>
    </row>
    <row r="963" spans="1:3" ht="15.75" x14ac:dyDescent="0.25">
      <c r="A963" s="9">
        <v>9610</v>
      </c>
      <c r="B963" s="10">
        <f>1-EXP(-((4*Параметры!$B$2/Параметры!$B$3*Параметры!$B$10*Параметры!$B$4)*(Параметры!$B$6*Параметры!$B$7/Параметры!$B$8*1E-24))*(A963*0.0000001)/SIN(RADIANS(Параметры!$B$9)))</f>
        <v>7.7875161364710288E-2</v>
      </c>
      <c r="C963" s="10">
        <f>1-EXP(-((4*Параметры!$B$2/Параметры!$B$3*Параметры!$B$10*Параметры!$B$5)*(Параметры!$B$6*Параметры!$B$7/Параметры!$B$8*1E-24))*(A963*0.0000001)/SIN(RADIANS(Параметры!$B$9)))</f>
        <v>0.30568948560900844</v>
      </c>
    </row>
    <row r="964" spans="1:3" ht="15.75" x14ac:dyDescent="0.25">
      <c r="A964" s="9">
        <v>9620</v>
      </c>
      <c r="B964" s="10">
        <f>1-EXP(-((4*Параметры!$B$2/Параметры!$B$3*Параметры!$B$10*Параметры!$B$4)*(Параметры!$B$6*Параметры!$B$7/Параметры!$B$8*1E-24))*(A964*0.0000001)/SIN(RADIANS(Параметры!$B$9)))</f>
        <v>7.7952953049056473E-2</v>
      </c>
      <c r="C964" s="10">
        <f>1-EXP(-((4*Параметры!$B$2/Параметры!$B$3*Параметры!$B$10*Параметры!$B$5)*(Параметры!$B$6*Параметры!$B$7/Параметры!$B$8*1E-24))*(A964*0.0000001)/SIN(RADIANS(Параметры!$B$9)))</f>
        <v>0.30595302503411415</v>
      </c>
    </row>
    <row r="965" spans="1:3" ht="15.75" x14ac:dyDescent="0.25">
      <c r="A965" s="9">
        <v>9630</v>
      </c>
      <c r="B965" s="10">
        <f>1-EXP(-((4*Параметры!$B$2/Параметры!$B$3*Параметры!$B$10*Параметры!$B$4)*(Параметры!$B$6*Параметры!$B$7/Параметры!$B$8*1E-24))*(A965*0.0000001)/SIN(RADIANS(Параметры!$B$9)))</f>
        <v>7.8030738170792091E-2</v>
      </c>
      <c r="C965" s="10">
        <f>1-EXP(-((4*Параметры!$B$2/Параметры!$B$3*Параметры!$B$10*Параметры!$B$5)*(Параметры!$B$6*Параметры!$B$7/Параметры!$B$8*1E-24))*(A965*0.0000001)/SIN(RADIANS(Параметры!$B$9)))</f>
        <v>0.30621646442756656</v>
      </c>
    </row>
    <row r="966" spans="1:3" ht="15.75" x14ac:dyDescent="0.25">
      <c r="A966" s="9">
        <v>9640</v>
      </c>
      <c r="B966" s="10">
        <f>1-EXP(-((4*Параметры!$B$2/Параметры!$B$3*Параметры!$B$10*Параметры!$B$4)*(Параметры!$B$6*Параметры!$B$7/Параметры!$B$8*1E-24))*(A966*0.0000001)/SIN(RADIANS(Параметры!$B$9)))</f>
        <v>7.8108516730470923E-2</v>
      </c>
      <c r="C966" s="10">
        <f>1-EXP(-((4*Параметры!$B$2/Параметры!$B$3*Параметры!$B$10*Параметры!$B$5)*(Параметры!$B$6*Параметры!$B$7/Параметры!$B$8*1E-24))*(A966*0.0000001)/SIN(RADIANS(Параметры!$B$9)))</f>
        <v>0.30647980382733486</v>
      </c>
    </row>
    <row r="967" spans="1:3" ht="15.75" x14ac:dyDescent="0.25">
      <c r="A967" s="9">
        <v>9650</v>
      </c>
      <c r="B967" s="10">
        <f>1-EXP(-((4*Параметры!$B$2/Параметры!$B$3*Параметры!$B$10*Параметры!$B$4)*(Параметры!$B$6*Параметры!$B$7/Параметры!$B$8*1E-24))*(A967*0.0000001)/SIN(RADIANS(Параметры!$B$9)))</f>
        <v>7.8186288728646414E-2</v>
      </c>
      <c r="C967" s="10">
        <f>1-EXP(-((4*Параметры!$B$2/Параметры!$B$3*Параметры!$B$10*Параметры!$B$5)*(Параметры!$B$6*Параметры!$B$7/Параметры!$B$8*1E-24))*(A967*0.0000001)/SIN(RADIANS(Параметры!$B$9)))</f>
        <v>0.30674304327137369</v>
      </c>
    </row>
    <row r="968" spans="1:3" ht="15.75" x14ac:dyDescent="0.25">
      <c r="A968" s="9">
        <v>9660</v>
      </c>
      <c r="B968" s="10">
        <f>1-EXP(-((4*Параметры!$B$2/Параметры!$B$3*Параметры!$B$10*Параметры!$B$4)*(Параметры!$B$6*Параметры!$B$7/Параметры!$B$8*1E-24))*(A968*0.0000001)/SIN(RADIANS(Параметры!$B$9)))</f>
        <v>7.8264054165872121E-2</v>
      </c>
      <c r="C968" s="10">
        <f>1-EXP(-((4*Параметры!$B$2/Параметры!$B$3*Параметры!$B$10*Параметры!$B$5)*(Параметры!$B$6*Параметры!$B$7/Параметры!$B$8*1E-24))*(A968*0.0000001)/SIN(RADIANS(Параметры!$B$9)))</f>
        <v>0.30700618279762304</v>
      </c>
    </row>
    <row r="969" spans="1:3" ht="15.75" x14ac:dyDescent="0.25">
      <c r="A969" s="9">
        <v>9670</v>
      </c>
      <c r="B969" s="10">
        <f>1-EXP(-((4*Параметры!$B$2/Параметры!$B$3*Параметры!$B$10*Параметры!$B$4)*(Параметры!$B$6*Параметры!$B$7/Параметры!$B$8*1E-24))*(A969*0.0000001)/SIN(RADIANS(Параметры!$B$9)))</f>
        <v>7.8341813042701602E-2</v>
      </c>
      <c r="C969" s="10">
        <f>1-EXP(-((4*Параметры!$B$2/Параметры!$B$3*Параметры!$B$10*Параметры!$B$5)*(Параметры!$B$6*Параметры!$B$7/Параметры!$B$8*1E-24))*(A969*0.0000001)/SIN(RADIANS(Параметры!$B$9)))</f>
        <v>0.30726922244400878</v>
      </c>
    </row>
    <row r="970" spans="1:3" ht="15.75" x14ac:dyDescent="0.25">
      <c r="A970" s="9">
        <v>9680</v>
      </c>
      <c r="B970" s="10">
        <f>1-EXP(-((4*Параметры!$B$2/Параметры!$B$3*Параметры!$B$10*Параметры!$B$4)*(Параметры!$B$6*Параметры!$B$7/Параметры!$B$8*1E-24))*(A970*0.0000001)/SIN(RADIANS(Параметры!$B$9)))</f>
        <v>7.8419565359688304E-2</v>
      </c>
      <c r="C970" s="10">
        <f>1-EXP(-((4*Параметры!$B$2/Параметры!$B$3*Параметры!$B$10*Параметры!$B$5)*(Параметры!$B$6*Параметры!$B$7/Параметры!$B$8*1E-24))*(A970*0.0000001)/SIN(RADIANS(Параметры!$B$9)))</f>
        <v>0.30753216224844238</v>
      </c>
    </row>
    <row r="971" spans="1:3" ht="15.75" x14ac:dyDescent="0.25">
      <c r="A971" s="9">
        <v>9690</v>
      </c>
      <c r="B971" s="10">
        <f>1-EXP(-((4*Параметры!$B$2/Параметры!$B$3*Параметры!$B$10*Параметры!$B$4)*(Параметры!$B$6*Параметры!$B$7/Параметры!$B$8*1E-24))*(A971*0.0000001)/SIN(RADIANS(Параметры!$B$9)))</f>
        <v>7.8497311117385449E-2</v>
      </c>
      <c r="C971" s="10">
        <f>1-EXP(-((4*Параметры!$B$2/Параметры!$B$3*Параметры!$B$10*Параметры!$B$5)*(Параметры!$B$6*Параметры!$B$7/Параметры!$B$8*1E-24))*(A971*0.0000001)/SIN(RADIANS(Параметры!$B$9)))</f>
        <v>0.30779500224882073</v>
      </c>
    </row>
    <row r="972" spans="1:3" ht="15.75" x14ac:dyDescent="0.25">
      <c r="A972" s="9">
        <v>9700</v>
      </c>
      <c r="B972" s="10">
        <f>1-EXP(-((4*Параметры!$B$2/Параметры!$B$3*Параметры!$B$10*Параметры!$B$4)*(Параметры!$B$6*Параметры!$B$7/Параметры!$B$8*1E-24))*(A972*0.0000001)/SIN(RADIANS(Параметры!$B$9)))</f>
        <v>7.8575050316346595E-2</v>
      </c>
      <c r="C972" s="10">
        <f>1-EXP(-((4*Параметры!$B$2/Параметры!$B$3*Параметры!$B$10*Параметры!$B$5)*(Параметры!$B$6*Параметры!$B$7/Параметры!$B$8*1E-24))*(A972*0.0000001)/SIN(RADIANS(Параметры!$B$9)))</f>
        <v>0.30805774248302653</v>
      </c>
    </row>
    <row r="973" spans="1:3" ht="15.75" x14ac:dyDescent="0.25">
      <c r="A973" s="9">
        <v>9710</v>
      </c>
      <c r="B973" s="10">
        <f>1-EXP(-((4*Параметры!$B$2/Параметры!$B$3*Параметры!$B$10*Параметры!$B$4)*(Параметры!$B$6*Параметры!$B$7/Параметры!$B$8*1E-24))*(A973*0.0000001)/SIN(RADIANS(Параметры!$B$9)))</f>
        <v>7.8652782957125078E-2</v>
      </c>
      <c r="C973" s="10">
        <f>1-EXP(-((4*Параметры!$B$2/Параметры!$B$3*Параметры!$B$10*Параметры!$B$5)*(Параметры!$B$6*Параметры!$B$7/Параметры!$B$8*1E-24))*(A973*0.0000001)/SIN(RADIANS(Параметры!$B$9)))</f>
        <v>0.30832038298892805</v>
      </c>
    </row>
    <row r="974" spans="1:3" ht="15.75" x14ac:dyDescent="0.25">
      <c r="A974" s="9">
        <v>9720</v>
      </c>
      <c r="B974" s="10">
        <f>1-EXP(-((4*Параметры!$B$2/Параметры!$B$3*Параметры!$B$10*Параметры!$B$4)*(Параметры!$B$6*Параметры!$B$7/Параметры!$B$8*1E-24))*(A974*0.0000001)/SIN(RADIANS(Параметры!$B$9)))</f>
        <v>7.8730509040273899E-2</v>
      </c>
      <c r="C974" s="10">
        <f>1-EXP(-((4*Параметры!$B$2/Параметры!$B$3*Параметры!$B$10*Параметры!$B$5)*(Параметры!$B$6*Параметры!$B$7/Параметры!$B$8*1E-24))*(A974*0.0000001)/SIN(RADIANS(Параметры!$B$9)))</f>
        <v>0.30858292380437902</v>
      </c>
    </row>
    <row r="975" spans="1:3" ht="15.75" x14ac:dyDescent="0.25">
      <c r="A975" s="9">
        <v>9730</v>
      </c>
      <c r="B975" s="10">
        <f>1-EXP(-((4*Параметры!$B$2/Параметры!$B$3*Параметры!$B$10*Параметры!$B$4)*(Параметры!$B$6*Параметры!$B$7/Параметры!$B$8*1E-24))*(A975*0.0000001)/SIN(RADIANS(Параметры!$B$9)))</f>
        <v>7.8808228566346505E-2</v>
      </c>
      <c r="C975" s="10">
        <f>1-EXP(-((4*Параметры!$B$2/Параметры!$B$3*Параметры!$B$10*Параметры!$B$5)*(Параметры!$B$6*Параметры!$B$7/Параметры!$B$8*1E-24))*(A975*0.0000001)/SIN(RADIANS(Параметры!$B$9)))</f>
        <v>0.30884536496721915</v>
      </c>
    </row>
    <row r="976" spans="1:3" ht="15.75" x14ac:dyDescent="0.25">
      <c r="A976" s="9">
        <v>9740</v>
      </c>
      <c r="B976" s="10">
        <f>1-EXP(-((4*Параметры!$B$2/Параметры!$B$3*Параметры!$B$10*Параметры!$B$4)*(Параметры!$B$6*Параметры!$B$7/Параметры!$B$8*1E-24))*(A976*0.0000001)/SIN(RADIANS(Параметры!$B$9)))</f>
        <v>7.8885941535895898E-2</v>
      </c>
      <c r="C976" s="10">
        <f>1-EXP(-((4*Параметры!$B$2/Параметры!$B$3*Параметры!$B$10*Параметры!$B$5)*(Параметры!$B$6*Параметры!$B$7/Параметры!$B$8*1E-24))*(A976*0.0000001)/SIN(RADIANS(Параметры!$B$9)))</f>
        <v>0.30910770651527342</v>
      </c>
    </row>
    <row r="977" spans="1:3" ht="15.75" x14ac:dyDescent="0.25">
      <c r="A977" s="9">
        <v>9750</v>
      </c>
      <c r="B977" s="10">
        <f>1-EXP(-((4*Параметры!$B$2/Параметры!$B$3*Параметры!$B$10*Параметры!$B$4)*(Параметры!$B$6*Параметры!$B$7/Параметры!$B$8*1E-24))*(A977*0.0000001)/SIN(RADIANS(Параметры!$B$9)))</f>
        <v>7.8963647949475413E-2</v>
      </c>
      <c r="C977" s="10">
        <f>1-EXP(-((4*Параметры!$B$2/Параметры!$B$3*Параметры!$B$10*Параметры!$B$5)*(Параметры!$B$6*Параметры!$B$7/Параметры!$B$8*1E-24))*(A977*0.0000001)/SIN(RADIANS(Параметры!$B$9)))</f>
        <v>0.30936994848635269</v>
      </c>
    </row>
    <row r="978" spans="1:3" ht="15.75" x14ac:dyDescent="0.25">
      <c r="A978" s="9">
        <v>9760</v>
      </c>
      <c r="B978" s="10">
        <f>1-EXP(-((4*Параметры!$B$2/Параметры!$B$3*Параметры!$B$10*Параметры!$B$4)*(Параметры!$B$6*Параметры!$B$7/Параметры!$B$8*1E-24))*(A978*0.0000001)/SIN(RADIANS(Параметры!$B$9)))</f>
        <v>7.904134780763783E-2</v>
      </c>
      <c r="C978" s="10">
        <f>1-EXP(-((4*Параметры!$B$2/Параметры!$B$3*Параметры!$B$10*Параметры!$B$5)*(Параметры!$B$6*Параметры!$B$7/Параметры!$B$8*1E-24))*(A978*0.0000001)/SIN(RADIANS(Параметры!$B$9)))</f>
        <v>0.30963209091825328</v>
      </c>
    </row>
    <row r="979" spans="1:3" ht="15.75" x14ac:dyDescent="0.25">
      <c r="A979" s="9">
        <v>9770</v>
      </c>
      <c r="B979" s="10">
        <f>1-EXP(-((4*Параметры!$B$2/Параметры!$B$3*Параметры!$B$10*Параметры!$B$4)*(Параметры!$B$6*Параметры!$B$7/Параметры!$B$8*1E-24))*(A979*0.0000001)/SIN(RADIANS(Параметры!$B$9)))</f>
        <v>7.9119041110936372E-2</v>
      </c>
      <c r="C979" s="10">
        <f>1-EXP(-((4*Параметры!$B$2/Параметры!$B$3*Параметры!$B$10*Параметры!$B$5)*(Параметры!$B$6*Параметры!$B$7/Параметры!$B$8*1E-24))*(A979*0.0000001)/SIN(RADIANS(Параметры!$B$9)))</f>
        <v>0.30989413384875741</v>
      </c>
    </row>
    <row r="980" spans="1:3" ht="15.75" x14ac:dyDescent="0.25">
      <c r="A980" s="9">
        <v>9780</v>
      </c>
      <c r="B980" s="10">
        <f>1-EXP(-((4*Параметры!$B$2/Параметры!$B$3*Параметры!$B$10*Параметры!$B$4)*(Параметры!$B$6*Параметры!$B$7/Параметры!$B$8*1E-24))*(A980*0.0000001)/SIN(RADIANS(Параметры!$B$9)))</f>
        <v>7.9196727859924043E-2</v>
      </c>
      <c r="C980" s="10">
        <f>1-EXP(-((4*Параметры!$B$2/Параметры!$B$3*Параметры!$B$10*Параметры!$B$5)*(Параметры!$B$6*Параметры!$B$7/Параметры!$B$8*1E-24))*(A980*0.0000001)/SIN(RADIANS(Параметры!$B$9)))</f>
        <v>0.31015607731563277</v>
      </c>
    </row>
    <row r="981" spans="1:3" ht="15.75" x14ac:dyDescent="0.25">
      <c r="A981" s="9">
        <v>9790</v>
      </c>
      <c r="B981" s="10">
        <f>1-EXP(-((4*Параметры!$B$2/Параметры!$B$3*Параметры!$B$10*Параметры!$B$4)*(Параметры!$B$6*Параметры!$B$7/Параметры!$B$8*1E-24))*(A981*0.0000001)/SIN(RADIANS(Параметры!$B$9)))</f>
        <v>7.9274408055153622E-2</v>
      </c>
      <c r="C981" s="10">
        <f>1-EXP(-((4*Параметры!$B$2/Параметры!$B$3*Параметры!$B$10*Параметры!$B$5)*(Параметры!$B$6*Параметры!$B$7/Параметры!$B$8*1E-24))*(A981*0.0000001)/SIN(RADIANS(Параметры!$B$9)))</f>
        <v>0.31041792135663271</v>
      </c>
    </row>
    <row r="982" spans="1:3" ht="15.75" x14ac:dyDescent="0.25">
      <c r="A982" s="9">
        <v>9800</v>
      </c>
      <c r="B982" s="10">
        <f>1-EXP(-((4*Параметры!$B$2/Параметры!$B$3*Параметры!$B$10*Параметры!$B$4)*(Параметры!$B$6*Параметры!$B$7/Параметры!$B$8*1E-24))*(A982*0.0000001)/SIN(RADIANS(Параметры!$B$9)))</f>
        <v>7.9352081697178001E-2</v>
      </c>
      <c r="C982" s="10">
        <f>1-EXP(-((4*Параметры!$B$2/Параметры!$B$3*Параметры!$B$10*Параметры!$B$5)*(Параметры!$B$6*Параметры!$B$7/Параметры!$B$8*1E-24))*(A982*0.0000001)/SIN(RADIANS(Параметры!$B$9)))</f>
        <v>0.31067966600949637</v>
      </c>
    </row>
    <row r="983" spans="1:3" ht="15.75" x14ac:dyDescent="0.25">
      <c r="A983" s="9">
        <v>9810</v>
      </c>
      <c r="B983" s="10">
        <f>1-EXP(-((4*Параметры!$B$2/Параметры!$B$3*Параметры!$B$10*Параметры!$B$4)*(Параметры!$B$6*Параметры!$B$7/Параметры!$B$8*1E-24))*(A983*0.0000001)/SIN(RADIANS(Параметры!$B$9)))</f>
        <v>7.9429748786550181E-2</v>
      </c>
      <c r="C983" s="10">
        <f>1-EXP(-((4*Параметры!$B$2/Параметры!$B$3*Параметры!$B$10*Параметры!$B$5)*(Параметры!$B$6*Параметры!$B$7/Параметры!$B$8*1E-24))*(A983*0.0000001)/SIN(RADIANS(Параметры!$B$9)))</f>
        <v>0.31094131131194847</v>
      </c>
    </row>
    <row r="984" spans="1:3" ht="15.75" x14ac:dyDescent="0.25">
      <c r="A984" s="9">
        <v>9820</v>
      </c>
      <c r="B984" s="10">
        <f>1-EXP(-((4*Параметры!$B$2/Параметры!$B$3*Параметры!$B$10*Параметры!$B$4)*(Параметры!$B$6*Параметры!$B$7/Параметры!$B$8*1E-24))*(A984*0.0000001)/SIN(RADIANS(Параметры!$B$9)))</f>
        <v>7.9507409323822831E-2</v>
      </c>
      <c r="C984" s="10">
        <f>1-EXP(-((4*Параметры!$B$2/Параметры!$B$3*Параметры!$B$10*Параметры!$B$5)*(Параметры!$B$6*Параметры!$B$7/Параметры!$B$8*1E-24))*(A984*0.0000001)/SIN(RADIANS(Параметры!$B$9)))</f>
        <v>0.31120285730169961</v>
      </c>
    </row>
    <row r="985" spans="1:3" ht="15.75" x14ac:dyDescent="0.25">
      <c r="A985" s="9">
        <v>9830</v>
      </c>
      <c r="B985" s="10">
        <f>1-EXP(-((4*Параметры!$B$2/Параметры!$B$3*Параметры!$B$10*Параметры!$B$4)*(Параметры!$B$6*Параметры!$B$7/Параметры!$B$8*1E-24))*(A985*0.0000001)/SIN(RADIANS(Параметры!$B$9)))</f>
        <v>7.9585063309548731E-2</v>
      </c>
      <c r="C985" s="10">
        <f>1-EXP(-((4*Параметры!$B$2/Параметры!$B$3*Параметры!$B$10*Параметры!$B$5)*(Параметры!$B$6*Параметры!$B$7/Параметры!$B$8*1E-24))*(A985*0.0000001)/SIN(RADIANS(Параметры!$B$9)))</f>
        <v>0.31146430401644554</v>
      </c>
    </row>
    <row r="986" spans="1:3" ht="15.75" x14ac:dyDescent="0.25">
      <c r="A986" s="9">
        <v>9840</v>
      </c>
      <c r="B986" s="10">
        <f>1-EXP(-((4*Параметры!$B$2/Параметры!$B$3*Параметры!$B$10*Параметры!$B$4)*(Параметры!$B$6*Параметры!$B$7/Параметры!$B$8*1E-24))*(A986*0.0000001)/SIN(RADIANS(Параметры!$B$9)))</f>
        <v>7.9662710744280552E-2</v>
      </c>
      <c r="C986" s="10">
        <f>1-EXP(-((4*Параметры!$B$2/Параметры!$B$3*Параметры!$B$10*Параметры!$B$5)*(Параметры!$B$6*Параметры!$B$7/Параметры!$B$8*1E-24))*(A986*0.0000001)/SIN(RADIANS(Параметры!$B$9)))</f>
        <v>0.31172565149386844</v>
      </c>
    </row>
    <row r="987" spans="1:3" ht="15.75" x14ac:dyDescent="0.25">
      <c r="A987" s="9">
        <v>9850</v>
      </c>
      <c r="B987" s="10">
        <f>1-EXP(-((4*Параметры!$B$2/Параметры!$B$3*Параметры!$B$10*Параметры!$B$4)*(Параметры!$B$6*Параметры!$B$7/Параметры!$B$8*1E-24))*(A987*0.0000001)/SIN(RADIANS(Параметры!$B$9)))</f>
        <v>7.974035162857096E-2</v>
      </c>
      <c r="C987" s="10">
        <f>1-EXP(-((4*Параметры!$B$2/Параметры!$B$3*Параметры!$B$10*Параметры!$B$5)*(Параметры!$B$6*Параметры!$B$7/Параметры!$B$8*1E-24))*(A987*0.0000001)/SIN(RADIANS(Параметры!$B$9)))</f>
        <v>0.31198689977163574</v>
      </c>
    </row>
    <row r="988" spans="1:3" ht="15.75" x14ac:dyDescent="0.25">
      <c r="A988" s="9">
        <v>9860</v>
      </c>
      <c r="B988" s="10">
        <f>1-EXP(-((4*Параметры!$B$2/Параметры!$B$3*Параметры!$B$10*Параметры!$B$4)*(Параметры!$B$6*Параметры!$B$7/Параметры!$B$8*1E-24))*(A988*0.0000001)/SIN(RADIANS(Параметры!$B$9)))</f>
        <v>7.9817985962972515E-2</v>
      </c>
      <c r="C988" s="10">
        <f>1-EXP(-((4*Параметры!$B$2/Параметры!$B$3*Параметры!$B$10*Параметры!$B$5)*(Параметры!$B$6*Параметры!$B$7/Параметры!$B$8*1E-24))*(A988*0.0000001)/SIN(RADIANS(Параметры!$B$9)))</f>
        <v>0.31224804888740043</v>
      </c>
    </row>
    <row r="989" spans="1:3" ht="15.75" x14ac:dyDescent="0.25">
      <c r="A989" s="9">
        <v>9870</v>
      </c>
      <c r="B989" s="10">
        <f>1-EXP(-((4*Параметры!$B$2/Параметры!$B$3*Параметры!$B$10*Параметры!$B$4)*(Параметры!$B$6*Параметры!$B$7/Параметры!$B$8*1E-24))*(A989*0.0000001)/SIN(RADIANS(Параметры!$B$9)))</f>
        <v>7.9895613748037886E-2</v>
      </c>
      <c r="C989" s="10">
        <f>1-EXP(-((4*Параметры!$B$2/Параметры!$B$3*Параметры!$B$10*Параметры!$B$5)*(Параметры!$B$6*Параметры!$B$7/Параметры!$B$8*1E-24))*(A989*0.0000001)/SIN(RADIANS(Параметры!$B$9)))</f>
        <v>0.31250909887880163</v>
      </c>
    </row>
    <row r="990" spans="1:3" ht="15.75" x14ac:dyDescent="0.25">
      <c r="A990" s="9">
        <v>9880</v>
      </c>
      <c r="B990" s="10">
        <f>1-EXP(-((4*Параметры!$B$2/Параметры!$B$3*Параметры!$B$10*Параметры!$B$4)*(Параметры!$B$6*Параметры!$B$7/Параметры!$B$8*1E-24))*(A990*0.0000001)/SIN(RADIANS(Параметры!$B$9)))</f>
        <v>7.9973234984319408E-2</v>
      </c>
      <c r="C990" s="10">
        <f>1-EXP(-((4*Параметры!$B$2/Параметры!$B$3*Параметры!$B$10*Параметры!$B$5)*(Параметры!$B$6*Параметры!$B$7/Параметры!$B$8*1E-24))*(A990*0.0000001)/SIN(RADIANS(Параметры!$B$9)))</f>
        <v>0.31277004978346401</v>
      </c>
    </row>
    <row r="991" spans="1:3" ht="15.75" x14ac:dyDescent="0.25">
      <c r="A991" s="9">
        <v>9890</v>
      </c>
      <c r="B991" s="10">
        <f>1-EXP(-((4*Параметры!$B$2/Параметры!$B$3*Параметры!$B$10*Параметры!$B$4)*(Параметры!$B$6*Параметры!$B$7/Параметры!$B$8*1E-24))*(A991*0.0000001)/SIN(RADIANS(Параметры!$B$9)))</f>
        <v>8.005084967236975E-2</v>
      </c>
      <c r="C991" s="10">
        <f>1-EXP(-((4*Параметры!$B$2/Параметры!$B$3*Параметры!$B$10*Параметры!$B$5)*(Параметры!$B$6*Параметры!$B$7/Параметры!$B$8*1E-24))*(A991*0.0000001)/SIN(RADIANS(Параметры!$B$9)))</f>
        <v>0.31303090163899772</v>
      </c>
    </row>
    <row r="992" spans="1:3" ht="15.75" x14ac:dyDescent="0.25">
      <c r="A992" s="9">
        <v>9900</v>
      </c>
      <c r="B992" s="10">
        <f>1-EXP(-((4*Параметры!$B$2/Параметры!$B$3*Параметры!$B$10*Параметры!$B$4)*(Параметры!$B$6*Параметры!$B$7/Параметры!$B$8*1E-24))*(A992*0.0000001)/SIN(RADIANS(Параметры!$B$9)))</f>
        <v>8.0128457812741138E-2</v>
      </c>
      <c r="C992" s="10">
        <f>1-EXP(-((4*Параметры!$B$2/Параметры!$B$3*Параметры!$B$10*Параметры!$B$5)*(Параметры!$B$6*Параметры!$B$7/Параметры!$B$8*1E-24))*(A992*0.0000001)/SIN(RADIANS(Параметры!$B$9)))</f>
        <v>0.313291654482999</v>
      </c>
    </row>
    <row r="993" spans="1:3" ht="15.75" x14ac:dyDescent="0.25">
      <c r="A993" s="9">
        <v>9910</v>
      </c>
      <c r="B993" s="10">
        <f>1-EXP(-((4*Параметры!$B$2/Параметры!$B$3*Параметры!$B$10*Параметры!$B$4)*(Параметры!$B$6*Параметры!$B$7/Параметры!$B$8*1E-24))*(A993*0.0000001)/SIN(RADIANS(Параметры!$B$9)))</f>
        <v>8.020605940598613E-2</v>
      </c>
      <c r="C993" s="10">
        <f>1-EXP(-((4*Параметры!$B$2/Параметры!$B$3*Параметры!$B$10*Параметры!$B$5)*(Параметры!$B$6*Параметры!$B$7/Параметры!$B$8*1E-24))*(A993*0.0000001)/SIN(RADIANS(Параметры!$B$9)))</f>
        <v>0.31355230835304959</v>
      </c>
    </row>
    <row r="994" spans="1:3" ht="15.75" x14ac:dyDescent="0.25">
      <c r="A994" s="9">
        <v>9920</v>
      </c>
      <c r="B994" s="10">
        <f>1-EXP(-((4*Параметры!$B$2/Параметры!$B$3*Параметры!$B$10*Параметры!$B$4)*(Параметры!$B$6*Параметры!$B$7/Параметры!$B$8*1E-24))*(A994*0.0000001)/SIN(RADIANS(Параметры!$B$9)))</f>
        <v>8.028365445265695E-2</v>
      </c>
      <c r="C994" s="10">
        <f>1-EXP(-((4*Параметры!$B$2/Параметры!$B$3*Параметры!$B$10*Параметры!$B$5)*(Параметры!$B$6*Параметры!$B$7/Параметры!$B$8*1E-24))*(A994*0.0000001)/SIN(RADIANS(Параметры!$B$9)))</f>
        <v>0.31381286328671709</v>
      </c>
    </row>
    <row r="995" spans="1:3" ht="15.75" x14ac:dyDescent="0.25">
      <c r="A995" s="9">
        <v>9930</v>
      </c>
      <c r="B995" s="10">
        <f>1-EXP(-((4*Параметры!$B$2/Параметры!$B$3*Параметры!$B$10*Параметры!$B$4)*(Параметры!$B$6*Параметры!$B$7/Параметры!$B$8*1E-24))*(A995*0.0000001)/SIN(RADIANS(Параметры!$B$9)))</f>
        <v>8.0361242953305823E-2</v>
      </c>
      <c r="C995" s="10">
        <f>1-EXP(-((4*Параметры!$B$2/Параметры!$B$3*Параметры!$B$10*Параметры!$B$5)*(Параметры!$B$6*Параметры!$B$7/Параметры!$B$8*1E-24))*(A995*0.0000001)/SIN(RADIANS(Параметры!$B$9)))</f>
        <v>0.3140733193215548</v>
      </c>
    </row>
    <row r="996" spans="1:3" ht="15.75" x14ac:dyDescent="0.25">
      <c r="A996" s="9">
        <v>9940</v>
      </c>
      <c r="B996" s="10">
        <f>1-EXP(-((4*Параметры!$B$2/Параметры!$B$3*Параметры!$B$10*Параметры!$B$4)*(Параметры!$B$6*Параметры!$B$7/Параметры!$B$8*1E-24))*(A996*0.0000001)/SIN(RADIANS(Параметры!$B$9)))</f>
        <v>8.0438824908485085E-2</v>
      </c>
      <c r="C996" s="10">
        <f>1-EXP(-((4*Параметры!$B$2/Параметры!$B$3*Параметры!$B$10*Параметры!$B$5)*(Параметры!$B$6*Параметры!$B$7/Параметры!$B$8*1E-24))*(A996*0.0000001)/SIN(RADIANS(Параметры!$B$9)))</f>
        <v>0.31433367649510147</v>
      </c>
    </row>
    <row r="997" spans="1:3" ht="15.75" x14ac:dyDescent="0.25">
      <c r="A997" s="9">
        <v>9950</v>
      </c>
      <c r="B997" s="10">
        <f>1-EXP(-((4*Параметры!$B$2/Параметры!$B$3*Параметры!$B$10*Параметры!$B$4)*(Параметры!$B$6*Параметры!$B$7/Параметры!$B$8*1E-24))*(A997*0.0000001)/SIN(RADIANS(Параметры!$B$9)))</f>
        <v>8.051640031874685E-2</v>
      </c>
      <c r="C997" s="10">
        <f>1-EXP(-((4*Параметры!$B$2/Параметры!$B$3*Параметры!$B$10*Параметры!$B$5)*(Параметры!$B$6*Параметры!$B$7/Параметры!$B$8*1E-24))*(A997*0.0000001)/SIN(RADIANS(Параметры!$B$9)))</f>
        <v>0.31459393484488229</v>
      </c>
    </row>
    <row r="998" spans="1:3" ht="15.75" x14ac:dyDescent="0.25">
      <c r="A998" s="9">
        <v>9960</v>
      </c>
      <c r="B998" s="10">
        <f>1-EXP(-((4*Параметры!$B$2/Параметры!$B$3*Параметры!$B$10*Параметры!$B$4)*(Параметры!$B$6*Параметры!$B$7/Параметры!$B$8*1E-24))*(A998*0.0000001)/SIN(RADIANS(Параметры!$B$9)))</f>
        <v>8.0593969184643344E-2</v>
      </c>
      <c r="C998" s="10">
        <f>1-EXP(-((4*Параметры!$B$2/Параметры!$B$3*Параметры!$B$10*Параметры!$B$5)*(Параметры!$B$6*Параметры!$B$7/Параметры!$B$8*1E-24))*(A998*0.0000001)/SIN(RADIANS(Параметры!$B$9)))</f>
        <v>0.3148540944084075</v>
      </c>
    </row>
    <row r="999" spans="1:3" ht="15.75" x14ac:dyDescent="0.25">
      <c r="A999" s="9">
        <v>9970</v>
      </c>
      <c r="B999" s="10">
        <f>1-EXP(-((4*Параметры!$B$2/Параметры!$B$3*Параметры!$B$10*Параметры!$B$4)*(Параметры!$B$6*Параметры!$B$7/Параметры!$B$8*1E-24))*(A999*0.0000001)/SIN(RADIANS(Параметры!$B$9)))</f>
        <v>8.0671531506726568E-2</v>
      </c>
      <c r="C999" s="10">
        <f>1-EXP(-((4*Параметры!$B$2/Параметры!$B$3*Параметры!$B$10*Параметры!$B$5)*(Параметры!$B$6*Параметры!$B$7/Параметры!$B$8*1E-24))*(A999*0.0000001)/SIN(RADIANS(Параметры!$B$9)))</f>
        <v>0.31511415522317354</v>
      </c>
    </row>
    <row r="1000" spans="1:3" ht="15.75" x14ac:dyDescent="0.25">
      <c r="A1000" s="9">
        <v>9980</v>
      </c>
      <c r="B1000" s="10">
        <f>1-EXP(-((4*Параметры!$B$2/Параметры!$B$3*Параметры!$B$10*Параметры!$B$4)*(Параметры!$B$6*Параметры!$B$7/Параметры!$B$8*1E-24))*(A1000*0.0000001)/SIN(RADIANS(Параметры!$B$9)))</f>
        <v>8.0749087285548526E-2</v>
      </c>
      <c r="C1000" s="10">
        <f>1-EXP(-((4*Параметры!$B$2/Параметры!$B$3*Параметры!$B$10*Параметры!$B$5)*(Параметры!$B$6*Параметры!$B$7/Параметры!$B$8*1E-24))*(A1000*0.0000001)/SIN(RADIANS(Параметры!$B$9)))</f>
        <v>0.31537411732666243</v>
      </c>
    </row>
    <row r="1001" spans="1:3" ht="15.75" x14ac:dyDescent="0.25">
      <c r="A1001" s="9">
        <v>9990</v>
      </c>
      <c r="B1001" s="10">
        <f>1-EXP(-((4*Параметры!$B$2/Параметры!$B$3*Параметры!$B$10*Параметры!$B$4)*(Параметры!$B$6*Параметры!$B$7/Параметры!$B$8*1E-24))*(A1001*0.0000001)/SIN(RADIANS(Параметры!$B$9)))</f>
        <v>8.0826636521661333E-2</v>
      </c>
      <c r="C1001" s="10">
        <f>1-EXP(-((4*Параметры!$B$2/Параметры!$B$3*Параметры!$B$10*Параметры!$B$5)*(Параметры!$B$6*Параметры!$B$7/Параметры!$B$8*1E-24))*(A1001*0.0000001)/SIN(RADIANS(Параметры!$B$9)))</f>
        <v>0.31563398075634197</v>
      </c>
    </row>
    <row r="1002" spans="1:3" ht="15.75" x14ac:dyDescent="0.25">
      <c r="A1002" s="9">
        <v>10000</v>
      </c>
      <c r="B1002" s="10">
        <f>1-EXP(-((4*Параметры!$B$2/Параметры!$B$3*Параметры!$B$10*Параметры!$B$4)*(Параметры!$B$6*Параметры!$B$7/Параметры!$B$8*1E-24))*(A1002*0.0000001)/SIN(RADIANS(Параметры!$B$9)))</f>
        <v>8.0904179215616878E-2</v>
      </c>
      <c r="C1002" s="10">
        <f>1-EXP(-((4*Параметры!$B$2/Параметры!$B$3*Параметры!$B$10*Параметры!$B$5)*(Параметры!$B$6*Параметры!$B$7/Параметры!$B$8*1E-24))*(A1002*0.0000001)/SIN(RADIANS(Параметры!$B$9)))</f>
        <v>0.31589374554966587</v>
      </c>
    </row>
    <row r="1003" spans="1:3" ht="15.75" x14ac:dyDescent="0.25">
      <c r="A1003" s="9"/>
      <c r="B1003" s="10"/>
      <c r="C1003" s="10"/>
    </row>
    <row r="1004" spans="1:3" ht="15.75" x14ac:dyDescent="0.25">
      <c r="A1004" s="9"/>
      <c r="B1004" s="10"/>
      <c r="C1004" s="10"/>
    </row>
    <row r="1005" spans="1:3" ht="15.75" x14ac:dyDescent="0.25">
      <c r="A1005" s="9"/>
      <c r="B1005" s="10"/>
      <c r="C1005" s="10"/>
    </row>
    <row r="1006" spans="1:3" ht="15.75" x14ac:dyDescent="0.25">
      <c r="A1006" s="9"/>
      <c r="B1006" s="10"/>
      <c r="C1006" s="10"/>
    </row>
    <row r="1007" spans="1:3" ht="15.75" x14ac:dyDescent="0.25">
      <c r="A1007" s="9"/>
      <c r="B1007" s="10"/>
      <c r="C1007" s="10"/>
    </row>
    <row r="1008" spans="1:3" ht="15.75" x14ac:dyDescent="0.25">
      <c r="A1008" s="9"/>
      <c r="B1008" s="10"/>
      <c r="C1008" s="10"/>
    </row>
    <row r="1009" spans="1:3" ht="15.75" x14ac:dyDescent="0.25">
      <c r="A1009" s="9"/>
      <c r="B1009" s="10"/>
      <c r="C1009" s="10"/>
    </row>
    <row r="1010" spans="1:3" ht="15.75" x14ac:dyDescent="0.25">
      <c r="A1010" s="9"/>
      <c r="B1010" s="10"/>
      <c r="C1010" s="10"/>
    </row>
    <row r="1011" spans="1:3" ht="15.75" x14ac:dyDescent="0.25">
      <c r="A1011" s="9"/>
      <c r="B1011" s="10"/>
      <c r="C1011" s="10"/>
    </row>
    <row r="1012" spans="1:3" ht="15.75" x14ac:dyDescent="0.25">
      <c r="A1012" s="9"/>
      <c r="B1012" s="10"/>
      <c r="C1012" s="10"/>
    </row>
    <row r="1013" spans="1:3" ht="15.75" x14ac:dyDescent="0.25">
      <c r="A1013" s="9"/>
      <c r="B1013" s="10"/>
      <c r="C1013" s="10"/>
    </row>
    <row r="1014" spans="1:3" ht="15.75" x14ac:dyDescent="0.25">
      <c r="A1014" s="9"/>
      <c r="B1014" s="10"/>
      <c r="C1014" s="10"/>
    </row>
    <row r="1015" spans="1:3" ht="15.75" x14ac:dyDescent="0.25">
      <c r="A1015" s="9"/>
      <c r="B1015" s="10"/>
      <c r="C1015" s="10"/>
    </row>
    <row r="1016" spans="1:3" ht="15.75" x14ac:dyDescent="0.25">
      <c r="A1016" s="9"/>
      <c r="B1016" s="10"/>
      <c r="C1016" s="10"/>
    </row>
    <row r="1017" spans="1:3" ht="15.75" x14ac:dyDescent="0.25">
      <c r="A1017" s="9"/>
      <c r="B1017" s="10"/>
      <c r="C1017" s="10"/>
    </row>
    <row r="1018" spans="1:3" ht="15.75" x14ac:dyDescent="0.25">
      <c r="A1018" s="9"/>
      <c r="B1018" s="10"/>
      <c r="C1018" s="10"/>
    </row>
    <row r="1019" spans="1:3" ht="15.75" x14ac:dyDescent="0.25">
      <c r="A1019" s="9"/>
      <c r="B1019" s="10"/>
      <c r="C1019" s="10"/>
    </row>
    <row r="1020" spans="1:3" ht="15.75" x14ac:dyDescent="0.25">
      <c r="A1020" s="9"/>
      <c r="B1020" s="10"/>
      <c r="C1020" s="10"/>
    </row>
    <row r="1021" spans="1:3" ht="15.75" x14ac:dyDescent="0.25">
      <c r="A1021" s="9"/>
      <c r="B1021" s="10"/>
      <c r="C1021" s="10"/>
    </row>
    <row r="1022" spans="1:3" ht="15.75" x14ac:dyDescent="0.25">
      <c r="A1022" s="9"/>
      <c r="B1022" s="10"/>
      <c r="C1022" s="10"/>
    </row>
    <row r="1023" spans="1:3" ht="15.75" x14ac:dyDescent="0.25">
      <c r="A1023" s="9"/>
      <c r="B1023" s="10"/>
      <c r="C1023" s="10"/>
    </row>
    <row r="1024" spans="1:3" ht="15.75" x14ac:dyDescent="0.25">
      <c r="A1024" s="9"/>
      <c r="B1024" s="10"/>
      <c r="C1024" s="10"/>
    </row>
    <row r="1025" spans="1:3" ht="15.75" x14ac:dyDescent="0.25">
      <c r="A1025" s="9"/>
      <c r="B1025" s="10"/>
      <c r="C1025" s="10"/>
    </row>
    <row r="1026" spans="1:3" ht="15.75" x14ac:dyDescent="0.25">
      <c r="A1026" s="9"/>
      <c r="B1026" s="10"/>
      <c r="C1026" s="10"/>
    </row>
    <row r="1027" spans="1:3" ht="15.75" x14ac:dyDescent="0.25">
      <c r="A1027" s="9"/>
      <c r="B1027" s="10"/>
      <c r="C1027" s="10"/>
    </row>
    <row r="1028" spans="1:3" ht="15.75" x14ac:dyDescent="0.25">
      <c r="A1028" s="9"/>
      <c r="B1028" s="10"/>
      <c r="C1028" s="10"/>
    </row>
    <row r="1029" spans="1:3" ht="15.75" x14ac:dyDescent="0.25">
      <c r="A1029" s="9"/>
      <c r="B1029" s="10"/>
      <c r="C1029" s="10"/>
    </row>
    <row r="1030" spans="1:3" ht="15.75" x14ac:dyDescent="0.25">
      <c r="A1030" s="9"/>
      <c r="B1030" s="10"/>
      <c r="C1030" s="10"/>
    </row>
    <row r="1031" spans="1:3" ht="15.75" x14ac:dyDescent="0.25">
      <c r="A1031" s="9"/>
      <c r="B1031" s="10"/>
      <c r="C1031" s="10"/>
    </row>
    <row r="1032" spans="1:3" ht="15.75" x14ac:dyDescent="0.25">
      <c r="A1032" s="9"/>
      <c r="B1032" s="10"/>
      <c r="C1032" s="10"/>
    </row>
    <row r="1033" spans="1:3" ht="15.75" x14ac:dyDescent="0.25">
      <c r="A1033" s="9"/>
      <c r="B1033" s="10"/>
      <c r="C1033" s="10"/>
    </row>
    <row r="1034" spans="1:3" ht="15.75" x14ac:dyDescent="0.25">
      <c r="A1034" s="9"/>
      <c r="B1034" s="10"/>
      <c r="C1034" s="10"/>
    </row>
    <row r="1035" spans="1:3" ht="15.75" x14ac:dyDescent="0.25">
      <c r="A1035" s="9"/>
      <c r="B1035" s="10"/>
      <c r="C1035" s="10"/>
    </row>
    <row r="1036" spans="1:3" ht="15.75" x14ac:dyDescent="0.25">
      <c r="A1036" s="9"/>
      <c r="B1036" s="10"/>
      <c r="C1036" s="10"/>
    </row>
    <row r="1037" spans="1:3" ht="15.75" x14ac:dyDescent="0.25">
      <c r="A1037" s="9"/>
      <c r="B1037" s="10"/>
      <c r="C1037" s="10"/>
    </row>
    <row r="1038" spans="1:3" ht="15.75" x14ac:dyDescent="0.25">
      <c r="A1038" s="9"/>
      <c r="B1038" s="10"/>
      <c r="C1038" s="10"/>
    </row>
    <row r="1039" spans="1:3" ht="15.75" x14ac:dyDescent="0.25">
      <c r="A1039" s="9"/>
      <c r="B1039" s="10"/>
      <c r="C1039" s="10"/>
    </row>
    <row r="1040" spans="1:3" ht="15.75" x14ac:dyDescent="0.25">
      <c r="A1040" s="9"/>
      <c r="B1040" s="10"/>
      <c r="C1040" s="10"/>
    </row>
    <row r="1041" spans="1:3" ht="15.75" x14ac:dyDescent="0.25">
      <c r="A1041" s="9"/>
      <c r="B1041" s="10"/>
      <c r="C1041" s="10"/>
    </row>
    <row r="1042" spans="1:3" ht="15.75" x14ac:dyDescent="0.25">
      <c r="A1042" s="9"/>
      <c r="B1042" s="10"/>
      <c r="C1042" s="10"/>
    </row>
    <row r="1043" spans="1:3" ht="15.75" x14ac:dyDescent="0.25">
      <c r="A1043" s="9"/>
      <c r="B1043" s="10"/>
      <c r="C1043" s="10"/>
    </row>
    <row r="1044" spans="1:3" ht="15.75" x14ac:dyDescent="0.25">
      <c r="A1044" s="9"/>
      <c r="B1044" s="10"/>
      <c r="C1044" s="10"/>
    </row>
    <row r="1045" spans="1:3" ht="15.75" x14ac:dyDescent="0.25">
      <c r="A1045" s="9"/>
      <c r="B1045" s="10"/>
      <c r="C1045" s="10"/>
    </row>
    <row r="1046" spans="1:3" ht="15.75" x14ac:dyDescent="0.25">
      <c r="A1046" s="9"/>
      <c r="B1046" s="10"/>
      <c r="C1046" s="10"/>
    </row>
    <row r="1047" spans="1:3" ht="15.75" x14ac:dyDescent="0.25">
      <c r="A1047" s="9"/>
      <c r="B1047" s="10"/>
      <c r="C1047" s="10"/>
    </row>
    <row r="1048" spans="1:3" ht="15.75" x14ac:dyDescent="0.25">
      <c r="A1048" s="9"/>
      <c r="B1048" s="10"/>
      <c r="C1048" s="10"/>
    </row>
    <row r="1049" spans="1:3" ht="15.75" x14ac:dyDescent="0.25">
      <c r="A1049" s="9"/>
      <c r="B1049" s="10"/>
      <c r="C1049" s="10"/>
    </row>
    <row r="1050" spans="1:3" ht="15.75" x14ac:dyDescent="0.25">
      <c r="A1050" s="9"/>
      <c r="B1050" s="10"/>
      <c r="C1050" s="10"/>
    </row>
    <row r="1051" spans="1:3" ht="15.75" x14ac:dyDescent="0.25">
      <c r="A1051" s="9"/>
      <c r="B1051" s="10"/>
      <c r="C1051" s="10"/>
    </row>
    <row r="1052" spans="1:3" ht="15.75" x14ac:dyDescent="0.25">
      <c r="A1052" s="9"/>
      <c r="B1052" s="10"/>
      <c r="C1052" s="10"/>
    </row>
    <row r="1053" spans="1:3" ht="15.75" x14ac:dyDescent="0.25">
      <c r="A1053" s="9"/>
      <c r="B1053" s="10"/>
      <c r="C1053" s="10"/>
    </row>
  </sheetData>
  <pageMargins left="0.75" right="0.75" top="1" bottom="1" header="0.5" footer="0.5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2"/>
  <sheetViews>
    <sheetView showGridLines="0" tabSelected="1" topLeftCell="A13" zoomScaleNormal="100" workbookViewId="0">
      <selection activeCell="N18" sqref="N18"/>
    </sheetView>
  </sheetViews>
  <sheetFormatPr defaultRowHeight="15" x14ac:dyDescent="0.25"/>
  <cols>
    <col min="1" max="9" width="16" customWidth="1"/>
    <col min="10" max="10" width="13.7109375" customWidth="1"/>
    <col min="11" max="11" width="14.28515625" customWidth="1"/>
    <col min="12" max="12" width="15.140625" customWidth="1"/>
    <col min="13" max="13" width="11.7109375" customWidth="1"/>
    <col min="14" max="14" width="10.85546875" customWidth="1"/>
    <col min="15" max="15" width="10.140625" customWidth="1"/>
    <col min="16" max="16" width="10" customWidth="1"/>
    <col min="17" max="17" width="11" customWidth="1"/>
  </cols>
  <sheetData>
    <row r="1" spans="1:21" ht="20.25" x14ac:dyDescent="0.3">
      <c r="A1" s="11" t="s">
        <v>36</v>
      </c>
      <c r="J1" s="12" t="s">
        <v>37</v>
      </c>
    </row>
    <row r="2" spans="1:21" ht="15.75" x14ac:dyDescent="0.25">
      <c r="J2" s="3" t="s">
        <v>38</v>
      </c>
      <c r="K2" s="3" t="s">
        <v>39</v>
      </c>
      <c r="L2" s="3" t="s">
        <v>40</v>
      </c>
      <c r="M2" s="3" t="s">
        <v>41</v>
      </c>
      <c r="N2" s="3" t="s">
        <v>42</v>
      </c>
      <c r="O2" s="3" t="s">
        <v>43</v>
      </c>
      <c r="P2" s="3" t="s">
        <v>44</v>
      </c>
      <c r="Q2" s="3" t="s">
        <v>45</v>
      </c>
      <c r="R2" s="3" t="s">
        <v>48</v>
      </c>
      <c r="S2" s="3" t="s">
        <v>49</v>
      </c>
      <c r="T2" s="3" t="s">
        <v>50</v>
      </c>
      <c r="U2" s="3" t="s">
        <v>51</v>
      </c>
    </row>
    <row r="3" spans="1:21" ht="15.75" x14ac:dyDescent="0.25">
      <c r="A3" s="14" t="s">
        <v>46</v>
      </c>
      <c r="B3" s="15"/>
      <c r="C3" s="15"/>
      <c r="D3" s="15"/>
      <c r="E3" s="15"/>
      <c r="F3" s="15"/>
      <c r="G3" s="15"/>
      <c r="H3" s="15"/>
      <c r="J3" s="3">
        <v>50</v>
      </c>
      <c r="K3" s="3">
        <v>0</v>
      </c>
      <c r="L3" s="3">
        <v>100</v>
      </c>
      <c r="M3" s="3">
        <v>0</v>
      </c>
      <c r="N3" s="3">
        <v>200</v>
      </c>
      <c r="O3" s="3">
        <v>0</v>
      </c>
      <c r="P3" s="3">
        <v>400</v>
      </c>
      <c r="Q3" s="3">
        <v>0</v>
      </c>
      <c r="R3" s="3">
        <v>1700</v>
      </c>
      <c r="S3" s="3">
        <v>0</v>
      </c>
      <c r="T3" s="3">
        <v>3500</v>
      </c>
      <c r="U3" s="3">
        <v>0</v>
      </c>
    </row>
    <row r="4" spans="1:21" ht="15.75" x14ac:dyDescent="0.25">
      <c r="A4" s="15"/>
      <c r="B4" s="15"/>
      <c r="C4" s="15"/>
      <c r="D4" s="15"/>
      <c r="E4" s="15"/>
      <c r="F4" s="15"/>
      <c r="G4" s="15"/>
      <c r="H4" s="15"/>
      <c r="J4" s="3">
        <v>50</v>
      </c>
      <c r="K4" s="3">
        <v>1</v>
      </c>
      <c r="L4" s="3">
        <v>100</v>
      </c>
      <c r="M4" s="3">
        <v>1</v>
      </c>
      <c r="N4" s="3">
        <v>200</v>
      </c>
      <c r="O4" s="3">
        <v>1</v>
      </c>
      <c r="P4" s="3">
        <v>400</v>
      </c>
      <c r="Q4" s="3">
        <v>1</v>
      </c>
      <c r="R4" s="3">
        <v>1700</v>
      </c>
      <c r="S4" s="3">
        <v>1</v>
      </c>
      <c r="T4" s="3">
        <v>3500</v>
      </c>
      <c r="U4" s="3">
        <v>1</v>
      </c>
    </row>
    <row r="5" spans="1:21" x14ac:dyDescent="0.25">
      <c r="A5" s="15"/>
      <c r="B5" s="15"/>
      <c r="C5" s="15"/>
      <c r="D5" s="15"/>
      <c r="E5" s="15"/>
      <c r="F5" s="15"/>
      <c r="G5" s="15"/>
      <c r="H5" s="15"/>
    </row>
    <row r="7" spans="1:21" ht="15.75" x14ac:dyDescent="0.25">
      <c r="J7" s="12" t="s">
        <v>47</v>
      </c>
    </row>
    <row r="8" spans="1:21" ht="15.75" x14ac:dyDescent="0.25">
      <c r="J8" s="13" t="s">
        <v>28</v>
      </c>
      <c r="K8" s="13" t="s">
        <v>29</v>
      </c>
      <c r="L8" s="13" t="s">
        <v>30</v>
      </c>
      <c r="M8" s="13" t="s">
        <v>31</v>
      </c>
    </row>
    <row r="9" spans="1:21" ht="15.75" x14ac:dyDescent="0.25">
      <c r="J9" s="3" t="str">
        <f>Расчет!E2</f>
        <v>B₄C-50</v>
      </c>
      <c r="K9" s="3">
        <f>Расчет!F2</f>
        <v>50</v>
      </c>
      <c r="L9" s="10">
        <f>Расчет!G2</f>
        <v>4.2173552307445128E-4</v>
      </c>
      <c r="M9" s="10">
        <f>Расчет!H2</f>
        <v>1.8964096918071549E-3</v>
      </c>
    </row>
    <row r="10" spans="1:21" ht="15.75" x14ac:dyDescent="0.25">
      <c r="J10" s="3" t="str">
        <f>Расчет!E3</f>
        <v>B₄C-100</v>
      </c>
      <c r="K10" s="3">
        <f>Расчет!F3</f>
        <v>100</v>
      </c>
      <c r="L10" s="10">
        <f>Расчет!G3</f>
        <v>8.4329318529752229E-4</v>
      </c>
      <c r="M10" s="10">
        <f>Расчет!H3</f>
        <v>3.78922301389506E-3</v>
      </c>
    </row>
    <row r="11" spans="1:21" ht="15.75" x14ac:dyDescent="0.25">
      <c r="J11" s="3" t="str">
        <f>Расчет!E4</f>
        <v>B₄C-200</v>
      </c>
      <c r="K11" s="3">
        <f>Расчет!F4</f>
        <v>200</v>
      </c>
      <c r="L11" s="10">
        <f>Расчет!G4</f>
        <v>1.6858752271987631E-3</v>
      </c>
      <c r="M11" s="10">
        <f>Расчет!H4</f>
        <v>7.5640878167411163E-3</v>
      </c>
    </row>
    <row r="12" spans="1:21" ht="15.75" x14ac:dyDescent="0.25">
      <c r="J12" s="3" t="str">
        <f>Расчет!E5</f>
        <v>B₄C-400</v>
      </c>
      <c r="K12" s="3">
        <f>Расчет!F5</f>
        <v>400</v>
      </c>
      <c r="L12" s="10">
        <f>Расчет!G5</f>
        <v>3.3689082791158453E-3</v>
      </c>
      <c r="M12" s="10">
        <f>Расчет!H5</f>
        <v>1.5070960208982798E-2</v>
      </c>
    </row>
  </sheetData>
  <mergeCells count="1">
    <mergeCell ref="A3:H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Параметры</vt:lpstr>
      <vt:lpstr>Расчет</vt:lpstr>
      <vt:lpstr>График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андрей леготин</cp:lastModifiedBy>
  <dcterms:created xsi:type="dcterms:W3CDTF">2026-06-10T23:54:07Z</dcterms:created>
  <dcterms:modified xsi:type="dcterms:W3CDTF">2026-06-13T21:07:08Z</dcterms:modified>
</cp:coreProperties>
</file>